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xr:revisionPtr revIDLastSave="0" documentId="8_{74831A0B-1A3C-4105-A386-1547FEC16FDC}" xr6:coauthVersionLast="47" xr6:coauthVersionMax="47" xr10:uidLastSave="{00000000-0000-0000-0000-000000000000}"/>
  <bookViews>
    <workbookView xWindow="0" yWindow="0" windowWidth="0" windowHeight="0" firstSheet="2" activeTab="3" xr2:uid="{00000000-000D-0000-FFFF-FFFF00000000}"/>
  </bookViews>
  <sheets>
    <sheet name="Instructions" sheetId="1" r:id="rId1"/>
    <sheet name="SH Diiscovery" sheetId="2" r:id="rId2"/>
    <sheet name="FIFA - Inventory - BY LISTING" sheetId="3" r:id="rId3"/>
    <sheet name="Event-by-Event CSV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7" i="4" l="1"/>
  <c r="C97" i="4"/>
  <c r="B97" i="4"/>
  <c r="A97" i="4"/>
  <c r="D96" i="4"/>
  <c r="C96" i="4"/>
  <c r="B96" i="4"/>
  <c r="A96" i="4"/>
  <c r="D95" i="4"/>
  <c r="C95" i="4"/>
  <c r="B95" i="4"/>
  <c r="A95" i="4"/>
  <c r="D94" i="4"/>
  <c r="C94" i="4"/>
  <c r="B94" i="4"/>
  <c r="A94" i="4"/>
  <c r="D93" i="4"/>
  <c r="C93" i="4"/>
  <c r="B93" i="4"/>
  <c r="A93" i="4"/>
  <c r="D92" i="4"/>
  <c r="C92" i="4"/>
  <c r="B92" i="4"/>
  <c r="A92" i="4"/>
  <c r="D91" i="4"/>
  <c r="C91" i="4"/>
  <c r="B91" i="4"/>
  <c r="A91" i="4"/>
  <c r="D90" i="4"/>
  <c r="C90" i="4"/>
  <c r="B90" i="4"/>
  <c r="A90" i="4"/>
  <c r="D89" i="4"/>
  <c r="C89" i="4"/>
  <c r="B89" i="4"/>
  <c r="A89" i="4"/>
  <c r="D88" i="4"/>
  <c r="C88" i="4"/>
  <c r="B88" i="4"/>
  <c r="A88" i="4"/>
  <c r="D87" i="4"/>
  <c r="C87" i="4"/>
  <c r="B87" i="4"/>
  <c r="A87" i="4"/>
  <c r="D86" i="4"/>
  <c r="C86" i="4"/>
  <c r="B86" i="4"/>
  <c r="A86" i="4"/>
  <c r="D85" i="4"/>
  <c r="C85" i="4"/>
  <c r="B85" i="4"/>
  <c r="A85" i="4"/>
  <c r="D84" i="4"/>
  <c r="C84" i="4"/>
  <c r="B84" i="4"/>
  <c r="A84" i="4"/>
  <c r="D83" i="4"/>
  <c r="C83" i="4"/>
  <c r="B83" i="4"/>
  <c r="A83" i="4"/>
  <c r="D82" i="4"/>
  <c r="C82" i="4"/>
  <c r="B82" i="4"/>
  <c r="A82" i="4"/>
  <c r="D81" i="4"/>
  <c r="C81" i="4"/>
  <c r="B81" i="4"/>
  <c r="A81" i="4"/>
  <c r="D80" i="4"/>
  <c r="C80" i="4"/>
  <c r="B80" i="4"/>
  <c r="A80" i="4"/>
  <c r="D79" i="4"/>
  <c r="C79" i="4"/>
  <c r="B79" i="4"/>
  <c r="A79" i="4"/>
  <c r="D78" i="4"/>
  <c r="C78" i="4"/>
  <c r="B78" i="4"/>
  <c r="A78" i="4"/>
  <c r="D77" i="4"/>
  <c r="C77" i="4"/>
  <c r="B77" i="4"/>
  <c r="A77" i="4"/>
  <c r="D76" i="4"/>
  <c r="C76" i="4"/>
  <c r="B76" i="4"/>
  <c r="A76" i="4"/>
  <c r="D75" i="4"/>
  <c r="C75" i="4"/>
  <c r="B75" i="4"/>
  <c r="A75" i="4"/>
  <c r="D74" i="4"/>
  <c r="C74" i="4"/>
  <c r="B74" i="4"/>
  <c r="A74" i="4"/>
  <c r="D73" i="4"/>
  <c r="C73" i="4"/>
  <c r="B73" i="4"/>
  <c r="A73" i="4"/>
  <c r="D72" i="4"/>
  <c r="C72" i="4"/>
  <c r="B72" i="4"/>
  <c r="A72" i="4"/>
  <c r="D71" i="4"/>
  <c r="C71" i="4"/>
  <c r="B71" i="4"/>
  <c r="A71" i="4"/>
  <c r="D70" i="4"/>
  <c r="C70" i="4"/>
  <c r="B70" i="4"/>
  <c r="A70" i="4"/>
  <c r="D69" i="4"/>
  <c r="C69" i="4"/>
  <c r="B69" i="4"/>
  <c r="A69" i="4"/>
  <c r="D68" i="4"/>
  <c r="C68" i="4"/>
  <c r="B68" i="4"/>
  <c r="A68" i="4"/>
  <c r="D67" i="4"/>
  <c r="C67" i="4"/>
  <c r="B67" i="4"/>
  <c r="A67" i="4"/>
  <c r="D66" i="4"/>
  <c r="C66" i="4"/>
  <c r="B66" i="4"/>
  <c r="A66" i="4"/>
  <c r="D65" i="4"/>
  <c r="C65" i="4"/>
  <c r="B65" i="4"/>
  <c r="A65" i="4"/>
  <c r="D64" i="4"/>
  <c r="C64" i="4"/>
  <c r="B64" i="4"/>
  <c r="A64" i="4"/>
  <c r="D63" i="4"/>
  <c r="C63" i="4"/>
  <c r="B63" i="4"/>
  <c r="A63" i="4"/>
  <c r="D62" i="4"/>
  <c r="C62" i="4"/>
  <c r="B62" i="4"/>
  <c r="A62" i="4"/>
  <c r="D61" i="4"/>
  <c r="C61" i="4"/>
  <c r="B61" i="4"/>
  <c r="A61" i="4"/>
  <c r="D60" i="4"/>
  <c r="C60" i="4"/>
  <c r="B60" i="4"/>
  <c r="A60" i="4"/>
  <c r="D59" i="4"/>
  <c r="C59" i="4"/>
  <c r="B59" i="4"/>
  <c r="A59" i="4"/>
  <c r="D58" i="4"/>
  <c r="C58" i="4"/>
  <c r="B58" i="4"/>
  <c r="A58" i="4"/>
  <c r="D57" i="4"/>
  <c r="C57" i="4"/>
  <c r="B57" i="4"/>
  <c r="A57" i="4"/>
  <c r="D56" i="4"/>
  <c r="C56" i="4"/>
  <c r="B56" i="4"/>
  <c r="A56" i="4"/>
  <c r="D55" i="4"/>
  <c r="C55" i="4"/>
  <c r="B55" i="4"/>
  <c r="A55" i="4"/>
  <c r="D54" i="4"/>
  <c r="C54" i="4"/>
  <c r="B54" i="4"/>
  <c r="A54" i="4"/>
  <c r="D53" i="4"/>
  <c r="C53" i="4"/>
  <c r="B53" i="4"/>
  <c r="A53" i="4"/>
  <c r="D52" i="4"/>
  <c r="C52" i="4"/>
  <c r="B52" i="4"/>
  <c r="A52" i="4"/>
  <c r="D51" i="4"/>
  <c r="C51" i="4"/>
  <c r="B51" i="4"/>
  <c r="A51" i="4"/>
  <c r="D50" i="4"/>
  <c r="C50" i="4"/>
  <c r="B50" i="4"/>
  <c r="A50" i="4"/>
  <c r="D49" i="4"/>
  <c r="C49" i="4"/>
  <c r="B49" i="4"/>
  <c r="A49" i="4"/>
  <c r="D48" i="4"/>
  <c r="C48" i="4"/>
  <c r="B48" i="4"/>
  <c r="A48" i="4"/>
  <c r="D47" i="4"/>
  <c r="C47" i="4"/>
  <c r="B47" i="4"/>
  <c r="A47" i="4"/>
  <c r="D46" i="4"/>
  <c r="C46" i="4"/>
  <c r="B46" i="4"/>
  <c r="A46" i="4"/>
  <c r="D45" i="4"/>
  <c r="C45" i="4"/>
  <c r="B45" i="4"/>
  <c r="A45" i="4"/>
  <c r="D44" i="4"/>
  <c r="C44" i="4"/>
  <c r="B44" i="4"/>
  <c r="A44" i="4"/>
  <c r="D43" i="4"/>
  <c r="C43" i="4"/>
  <c r="B43" i="4"/>
  <c r="A43" i="4"/>
  <c r="D42" i="4"/>
  <c r="C42" i="4"/>
  <c r="B42" i="4"/>
  <c r="A42" i="4"/>
  <c r="D41" i="4"/>
  <c r="C41" i="4"/>
  <c r="B41" i="4"/>
  <c r="A41" i="4"/>
  <c r="D40" i="4"/>
  <c r="C40" i="4"/>
  <c r="B40" i="4"/>
  <c r="A40" i="4"/>
  <c r="D39" i="4"/>
  <c r="C39" i="4"/>
  <c r="B39" i="4"/>
  <c r="A39" i="4"/>
  <c r="D38" i="4"/>
  <c r="C38" i="4"/>
  <c r="B38" i="4"/>
  <c r="A38" i="4"/>
  <c r="D37" i="4"/>
  <c r="C37" i="4"/>
  <c r="B37" i="4"/>
  <c r="A37" i="4"/>
  <c r="D36" i="4"/>
  <c r="C36" i="4"/>
  <c r="B36" i="4"/>
  <c r="A36" i="4"/>
  <c r="D35" i="4"/>
  <c r="C35" i="4"/>
  <c r="B35" i="4"/>
  <c r="A35" i="4"/>
  <c r="D34" i="4"/>
  <c r="C34" i="4"/>
  <c r="B34" i="4"/>
  <c r="A34" i="4"/>
  <c r="D33" i="4"/>
  <c r="C33" i="4"/>
  <c r="B33" i="4"/>
  <c r="A33" i="4"/>
  <c r="D32" i="4"/>
  <c r="C32" i="4"/>
  <c r="B32" i="4"/>
  <c r="A32" i="4"/>
  <c r="D31" i="4"/>
  <c r="C31" i="4"/>
  <c r="B31" i="4"/>
  <c r="A31" i="4"/>
  <c r="D30" i="4"/>
  <c r="C30" i="4"/>
  <c r="B30" i="4"/>
  <c r="A30" i="4"/>
  <c r="D29" i="4"/>
  <c r="C29" i="4"/>
  <c r="B29" i="4"/>
  <c r="A29" i="4"/>
  <c r="D28" i="4"/>
  <c r="C28" i="4"/>
  <c r="B28" i="4"/>
  <c r="A28" i="4"/>
  <c r="D27" i="4"/>
  <c r="C27" i="4"/>
  <c r="B27" i="4"/>
  <c r="A27" i="4"/>
  <c r="D26" i="4"/>
  <c r="C26" i="4"/>
  <c r="B26" i="4"/>
  <c r="A26" i="4"/>
  <c r="D25" i="4"/>
  <c r="C25" i="4"/>
  <c r="B25" i="4"/>
  <c r="A25" i="4"/>
  <c r="D24" i="4"/>
  <c r="C24" i="4"/>
  <c r="B24" i="4"/>
  <c r="A24" i="4"/>
  <c r="D23" i="4"/>
  <c r="C23" i="4"/>
  <c r="B23" i="4"/>
  <c r="A23" i="4"/>
  <c r="D22" i="4"/>
  <c r="C22" i="4"/>
  <c r="B22" i="4"/>
  <c r="A22" i="4"/>
  <c r="D21" i="4"/>
  <c r="C21" i="4"/>
  <c r="B21" i="4"/>
  <c r="A21" i="4"/>
  <c r="D20" i="4"/>
  <c r="C20" i="4"/>
  <c r="B20" i="4"/>
  <c r="A20" i="4"/>
  <c r="D19" i="4"/>
  <c r="C19" i="4"/>
  <c r="B19" i="4"/>
  <c r="A19" i="4"/>
  <c r="D18" i="4"/>
  <c r="C18" i="4"/>
  <c r="B18" i="4"/>
  <c r="A18" i="4"/>
  <c r="D17" i="4"/>
  <c r="C17" i="4"/>
  <c r="B17" i="4"/>
  <c r="A17" i="4"/>
  <c r="D16" i="4"/>
  <c r="C16" i="4"/>
  <c r="B16" i="4"/>
  <c r="A16" i="4"/>
  <c r="D15" i="4"/>
  <c r="C15" i="4"/>
  <c r="B15" i="4"/>
  <c r="A15" i="4"/>
  <c r="D14" i="4"/>
  <c r="C14" i="4"/>
  <c r="B14" i="4"/>
  <c r="A14" i="4"/>
  <c r="D13" i="4"/>
  <c r="C13" i="4"/>
  <c r="B13" i="4"/>
  <c r="A13" i="4"/>
  <c r="D12" i="4"/>
  <c r="C12" i="4"/>
  <c r="B12" i="4"/>
  <c r="A12" i="4"/>
  <c r="D11" i="4"/>
  <c r="C11" i="4"/>
  <c r="B11" i="4"/>
  <c r="A11" i="4"/>
  <c r="D10" i="4"/>
  <c r="C10" i="4"/>
  <c r="B10" i="4"/>
  <c r="A10" i="4"/>
  <c r="D9" i="4"/>
  <c r="C9" i="4"/>
  <c r="B9" i="4"/>
  <c r="A9" i="4"/>
  <c r="D8" i="4"/>
  <c r="C8" i="4"/>
  <c r="B8" i="4"/>
  <c r="A8" i="4"/>
  <c r="D7" i="4"/>
  <c r="C7" i="4"/>
  <c r="B7" i="4"/>
  <c r="A7" i="4"/>
  <c r="D6" i="4"/>
  <c r="C6" i="4"/>
  <c r="B6" i="4"/>
  <c r="A6" i="4"/>
  <c r="D5" i="4"/>
  <c r="C5" i="4"/>
  <c r="B5" i="4"/>
  <c r="A5" i="4"/>
  <c r="D4" i="4"/>
  <c r="C4" i="4"/>
  <c r="B4" i="4"/>
  <c r="A4" i="4"/>
  <c r="D3" i="4"/>
  <c r="C3" i="4"/>
  <c r="B3" i="4"/>
  <c r="A3" i="4"/>
  <c r="D2" i="4"/>
  <c r="C2" i="4"/>
  <c r="B2" i="4"/>
  <c r="A2" i="4"/>
  <c r="D1070" i="3"/>
  <c r="A1070" i="3"/>
  <c r="B1070" i="3"/>
  <c r="C1070" i="3"/>
</calcChain>
</file>

<file path=xl/sharedStrings.xml><?xml version="1.0" encoding="utf-8"?>
<sst xmlns="http://schemas.openxmlformats.org/spreadsheetml/2006/main" count="12713" uniqueCount="554">
  <si>
    <t>FIFA 2026 Sales Hub — CSV Templates</t>
  </si>
  <si>
    <t>HOW TO USE THESE TEMPLATES</t>
  </si>
  <si>
    <t>Sheet 1: Discovery CSV</t>
  </si>
  <si>
    <t xml:space="preserve">  • Source: Secondary market pricing (StubHub, SH)</t>
  </si>
  <si>
    <t xml:space="preserve">  • When: Daily or as-needed</t>
  </si>
  <si>
    <t xml:space="preserve">  • Copy the sample format and add your pricing data</t>
  </si>
  <si>
    <t>Sheet 2: Inventory CSV</t>
  </si>
  <si>
    <t xml:space="preserve">  • Source: Your internal inventory system</t>
  </si>
  <si>
    <t xml:space="preserve">  • When: After buying/selling tickets</t>
  </si>
  <si>
    <t xml:space="preserve">  • Update total held, sold quantity, and P&amp;L</t>
  </si>
  <si>
    <t>Sheet 3: Event-by-Event CSV</t>
  </si>
  <si>
    <t xml:space="preserve">  • Source: Individual transaction logs</t>
  </si>
  <si>
    <t xml:space="preserve">  • When: For detailed reconciliation</t>
  </si>
  <si>
    <t xml:space="preserve">  • One row per transaction</t>
  </si>
  <si>
    <t>UPLOAD INSTRUCTIONS</t>
  </si>
  <si>
    <t xml:space="preserve">  1. Fill in your data using the appropriate sheet</t>
  </si>
  <si>
    <t xml:space="preserve">  2. Export as .csv (File &gt; Export As &gt; CSV)</t>
  </si>
  <si>
    <t xml:space="preserve">  3. Go to fifa-hub.vercel.app</t>
  </si>
  <si>
    <t xml:space="preserve">  4. Click "Upload CSV" and select file type</t>
  </si>
  <si>
    <t xml:space="preserve">  5. Select your file and confirm</t>
  </si>
  <si>
    <t>MATCH #</t>
  </si>
  <si>
    <t>TEAM 1</t>
  </si>
  <si>
    <t>TEAM 2</t>
  </si>
  <si>
    <t>Group / Round</t>
  </si>
  <si>
    <t>LISTING
DATE</t>
  </si>
  <si>
    <t>Event Name</t>
  </si>
  <si>
    <t>PRIMARY</t>
  </si>
  <si>
    <t>VENUE</t>
  </si>
  <si>
    <t>CAPACITY</t>
  </si>
  <si>
    <t>LOCATION</t>
  </si>
  <si>
    <t>DATE</t>
  </si>
  <si>
    <t>Listing
Qt</t>
  </si>
  <si>
    <t>Ticket
Qty</t>
  </si>
  <si>
    <t>Price
Min</t>
  </si>
  <si>
    <t>Price
P25</t>
  </si>
  <si>
    <t>Price
P50</t>
  </si>
  <si>
    <t>Visits
L1H</t>
  </si>
  <si>
    <t>Visits
L24H</t>
  </si>
  <si>
    <t>Visits
L3D</t>
  </si>
  <si>
    <t>Trans.
L24H</t>
  </si>
  <si>
    <t>Trans.
L3D</t>
  </si>
  <si>
    <t>TRANS
L7</t>
  </si>
  <si>
    <t>PRESALE</t>
  </si>
  <si>
    <t>On Sale</t>
  </si>
  <si>
    <t>Trans.
L1H</t>
  </si>
  <si>
    <t>Visits
L7D</t>
  </si>
  <si>
    <t>Spread $
(P25−Min)</t>
  </si>
  <si>
    <t>Spread %</t>
  </si>
  <si>
    <t>P25/Min
Ratio</t>
  </si>
  <si>
    <t>Trans Accel
★★</t>
  </si>
  <si>
    <t>Burst
★★</t>
  </si>
  <si>
    <t>Mexico</t>
  </si>
  <si>
    <t>South Africa</t>
  </si>
  <si>
    <t>Group A</t>
  </si>
  <si>
    <t>Mexico vs South Africa - World Cup - Group A</t>
  </si>
  <si>
    <t>FIFA</t>
  </si>
  <si>
    <t>Estadio Azteca (Estadio Banorte)</t>
  </si>
  <si>
    <t>Ciudad de México, Estado de Mexico, Mexico</t>
  </si>
  <si>
    <t>Germany</t>
  </si>
  <si>
    <t>Curaçao</t>
  </si>
  <si>
    <t>Group E</t>
  </si>
  <si>
    <t>Germany vs Curaçao - World Cup - Group E</t>
  </si>
  <si>
    <t>NRG Stadium</t>
  </si>
  <si>
    <t>Houston, Texas, United States</t>
  </si>
  <si>
    <t>W95</t>
  </si>
  <si>
    <t>W96</t>
  </si>
  <si>
    <t>Quarter-Finals</t>
  </si>
  <si>
    <t>W95 vs W96 - World Cup - Quarter-Finals</t>
  </si>
  <si>
    <t>GEHA Field at Arrowhead Stadium</t>
  </si>
  <si>
    <t>Kansas City, Missouri, United States</t>
  </si>
  <si>
    <t>W97</t>
  </si>
  <si>
    <t>W98</t>
  </si>
  <si>
    <t>Semi Finals</t>
  </si>
  <si>
    <t>W97 vs W98 - World Cup - Semi Finals</t>
  </si>
  <si>
    <t>AT&amp;T Stadium</t>
  </si>
  <si>
    <t>Arlington, Texas, United States</t>
  </si>
  <si>
    <t>W99</t>
  </si>
  <si>
    <t>W100</t>
  </si>
  <si>
    <t>W99 vs W100 - World Cup - Semi Finals</t>
  </si>
  <si>
    <t>Mercedes-Benz Stadium</t>
  </si>
  <si>
    <t>Atlanta, Georgia, United States</t>
  </si>
  <si>
    <t>L101</t>
  </si>
  <si>
    <t>L102</t>
  </si>
  <si>
    <t>3rd Place</t>
  </si>
  <si>
    <t>L101 vs L102 - World Cup - 3rd Place</t>
  </si>
  <si>
    <t>Hard Rock Stadium</t>
  </si>
  <si>
    <t>Miami, Florida, United States</t>
  </si>
  <si>
    <t>W101</t>
  </si>
  <si>
    <t>W102</t>
  </si>
  <si>
    <t>Final</t>
  </si>
  <si>
    <t>W101 vs W102 - World Cup - Final</t>
  </si>
  <si>
    <t>MetLife Stadium</t>
  </si>
  <si>
    <t>East Rutherford, New Jersey, United States</t>
  </si>
  <si>
    <t>Netherlands</t>
  </si>
  <si>
    <t>Japan</t>
  </si>
  <si>
    <t>Group F</t>
  </si>
  <si>
    <t>Netherlands vs Japan - World Cup - Group F</t>
  </si>
  <si>
    <t>TBA</t>
  </si>
  <si>
    <t>Tunisia</t>
  </si>
  <si>
    <t>TBA vs Tunisia - World Cup - Group F</t>
  </si>
  <si>
    <t>Estadio BBVA Bancomer</t>
  </si>
  <si>
    <t>Monterrey, Nuevo Leon, Mexico</t>
  </si>
  <si>
    <t>Saudi Arabia</t>
  </si>
  <si>
    <t>Uruguay</t>
  </si>
  <si>
    <t>Group H</t>
  </si>
  <si>
    <t>Saudi Arabia vs Uruguay - World Cup - Group H</t>
  </si>
  <si>
    <t>Spain</t>
  </si>
  <si>
    <t>Cabo Verde</t>
  </si>
  <si>
    <t>Spain vs Cabo Verde - World Cup - Group H</t>
  </si>
  <si>
    <t>Iran</t>
  </si>
  <si>
    <t>New Zealand</t>
  </si>
  <si>
    <t>Group G</t>
  </si>
  <si>
    <t>Iran vs New Zealand - World Cup - Group G</t>
  </si>
  <si>
    <t>SoFi Stadium</t>
  </si>
  <si>
    <t>Inglewood, California, United States</t>
  </si>
  <si>
    <t>Belgium</t>
  </si>
  <si>
    <t>Egypt</t>
  </si>
  <si>
    <t>Belgium vs Egypt - World Cup - Group G</t>
  </si>
  <si>
    <t>Lumen Field</t>
  </si>
  <si>
    <t>Seattle, Washington, United States</t>
  </si>
  <si>
    <t>France</t>
  </si>
  <si>
    <t>Senegal</t>
  </si>
  <si>
    <t>Group I</t>
  </si>
  <si>
    <t>France vs Senegal - World Cup - Group I</t>
  </si>
  <si>
    <t>TBD</t>
  </si>
  <si>
    <t>Norway</t>
  </si>
  <si>
    <t>TBD vs Norway - World Cup - Group I</t>
  </si>
  <si>
    <t>Gillette Stadium</t>
  </si>
  <si>
    <t>Foxborough, Massachusetts, United States</t>
  </si>
  <si>
    <t>Argentina</t>
  </si>
  <si>
    <t>Algeria</t>
  </si>
  <si>
    <t>Group J</t>
  </si>
  <si>
    <t>Argentina vs Algeria - World Cup - Group J</t>
  </si>
  <si>
    <t>Korea Republic</t>
  </si>
  <si>
    <t>Korea Republic vs TBD - World Cup - Group A</t>
  </si>
  <si>
    <t>Estadio Akron (Chivas Stadium)</t>
  </si>
  <si>
    <t>Zapopan, Estado de Jalisco, Mexico</t>
  </si>
  <si>
    <t>Austria</t>
  </si>
  <si>
    <t>Jordan</t>
  </si>
  <si>
    <t>Austria vs Jordan - World Cup - Group J</t>
  </si>
  <si>
    <t>Levi's Stadium</t>
  </si>
  <si>
    <t>Santa Clara, California, United States</t>
  </si>
  <si>
    <t>Ghana</t>
  </si>
  <si>
    <t>Panama</t>
  </si>
  <si>
    <t>Group L</t>
  </si>
  <si>
    <t>Ghana vs Panama - World Cup - Group L</t>
  </si>
  <si>
    <t>BMO Field</t>
  </si>
  <si>
    <t>Toronto, Ontario, Canada</t>
  </si>
  <si>
    <t>England</t>
  </si>
  <si>
    <t>Croatia</t>
  </si>
  <si>
    <t>England vs Croatia - World Cup - Group L</t>
  </si>
  <si>
    <t>Portugal</t>
  </si>
  <si>
    <t>Group K</t>
  </si>
  <si>
    <t>Portugal vs TBD - World Cup - Group K</t>
  </si>
  <si>
    <t>Uzbekistan</t>
  </si>
  <si>
    <t>Colombia</t>
  </si>
  <si>
    <t>Uzbekistan vs Colombia - World Cup - Group K</t>
  </si>
  <si>
    <t>TBD vs South Africa - World Cup - Group A</t>
  </si>
  <si>
    <t>Switzerland</t>
  </si>
  <si>
    <t>Group B</t>
  </si>
  <si>
    <t>Switzerland vs TBD - World Cup - Group B</t>
  </si>
  <si>
    <t>Canada</t>
  </si>
  <si>
    <t>Qatar</t>
  </si>
  <si>
    <t>Canada vs Qatar - World Cup - Group B</t>
  </si>
  <si>
    <t>BC Place Stadium</t>
  </si>
  <si>
    <t>Vancouver, British Columbia, Canada</t>
  </si>
  <si>
    <t>Mexico vs Korea Republic - World Cup - Group A</t>
  </si>
  <si>
    <t>Brazil</t>
  </si>
  <si>
    <t>Haiti</t>
  </si>
  <si>
    <t>Group C</t>
  </si>
  <si>
    <t>Brazil vs Haiti - World Cup - Group C</t>
  </si>
  <si>
    <t>Lincoln Financial Field</t>
  </si>
  <si>
    <t>Philadelphia, Pennsylvania, United States</t>
  </si>
  <si>
    <t>Canada vs TBD - World Cup - Group B</t>
  </si>
  <si>
    <t>Scotland</t>
  </si>
  <si>
    <t>Morocco</t>
  </si>
  <si>
    <t>Scotland vs Morocco - World Cup - Group C</t>
  </si>
  <si>
    <t>Paraguay</t>
  </si>
  <si>
    <t>Group D</t>
  </si>
  <si>
    <t>TBD vs Paraguay - World Cup - Group D</t>
  </si>
  <si>
    <t>United States</t>
  </si>
  <si>
    <t>Australia</t>
  </si>
  <si>
    <t>United States vs Australia - World Cup - Group D</t>
  </si>
  <si>
    <t>Côte d'Ivoire</t>
  </si>
  <si>
    <t>Germany vs Côte d'Ivoire - World Cup - Group E</t>
  </si>
  <si>
    <t>Ecuador</t>
  </si>
  <si>
    <t>Ecuador vs Curaçao - World Cup - Group E</t>
  </si>
  <si>
    <t>Netherlands vs TBA - World Cup - Group F</t>
  </si>
  <si>
    <t>Tunisia vs Japan - World Cup - Group F</t>
  </si>
  <si>
    <t>Uruguay vs Cabo Verde - World Cup - Group H</t>
  </si>
  <si>
    <t>Spain vs Saudi Arabia - World Cup - Group H</t>
  </si>
  <si>
    <t>Belgium vs Iran - World Cup - Group G</t>
  </si>
  <si>
    <t>United States vs Paraguay - World Cup - Group D</t>
  </si>
  <si>
    <t>New Zealand vs Egypt - World Cup - Group G</t>
  </si>
  <si>
    <t>Norway vs Senegal - World Cup - Group I</t>
  </si>
  <si>
    <t>France vs TBD - World Cup - Group I</t>
  </si>
  <si>
    <t>Argentina vs Austria - World Cup - Group J</t>
  </si>
  <si>
    <t>Jordan vs Algeria - World Cup - Group J</t>
  </si>
  <si>
    <t>England vs Ghana - World Cup - Group L</t>
  </si>
  <si>
    <t>Panama vs Croatia - World Cup - Group L</t>
  </si>
  <si>
    <t>Portugal vs Uzbekistan - World Cup - Group K</t>
  </si>
  <si>
    <t>Colombia vs TBD - World Cup - Group K</t>
  </si>
  <si>
    <t>Scotland vs Brazil - World Cup - Group C</t>
  </si>
  <si>
    <t>Haiti vs Scotland - World Cup - Group C</t>
  </si>
  <si>
    <t>Morocco vs Haiti - World Cup - Group C</t>
  </si>
  <si>
    <t>Switzerland vs Canada - World Cup - Group B</t>
  </si>
  <si>
    <t>TBD vs Qatar - World Cup - Group B</t>
  </si>
  <si>
    <t>TBD vs Mexico - World Cup - Group A</t>
  </si>
  <si>
    <t>South Africa vs Korea Republic - World Cup - Group A</t>
  </si>
  <si>
    <t>Curaçao vs Côte d'Ivoire - World Cup - Group E</t>
  </si>
  <si>
    <t>Ecuador vs Germany - World Cup - Group E</t>
  </si>
  <si>
    <t>Japan vs TBD - World Cup - Group F</t>
  </si>
  <si>
    <t>Tunisia vs Netherlands - World Cup - Group F</t>
  </si>
  <si>
    <t>TBD vs United States - World Cup - Group D</t>
  </si>
  <si>
    <t>Australia vs TBD - World Cup - Group D</t>
  </si>
  <si>
    <t>Paraguay vs Australia - World Cup - Group D</t>
  </si>
  <si>
    <t>Norway vs France - World Cup - Group I</t>
  </si>
  <si>
    <t>Senegal vs TBD - World Cup - Group I</t>
  </si>
  <si>
    <t>Egypt vs Iran - World Cup - Group G</t>
  </si>
  <si>
    <t>New Zealand vs Belgium - World Cup - Group G</t>
  </si>
  <si>
    <t>Cabo Verde vs Saudi Arabia - World Cup - Group H</t>
  </si>
  <si>
    <t>Uruguay vs Spain - World Cup - Group H</t>
  </si>
  <si>
    <t>Panama vs England - World Cup - Group L</t>
  </si>
  <si>
    <t>Croatia vs Ghana - World Cup - Group L</t>
  </si>
  <si>
    <t>Algeria vs Austria - World Cup - Group J</t>
  </si>
  <si>
    <t>Brazil vs Morocco - World Cup - Group C</t>
  </si>
  <si>
    <t>Jordan vs Argentina - World Cup - Group J</t>
  </si>
  <si>
    <t>Colombia vs Portugal - World Cup - Group K</t>
  </si>
  <si>
    <t>TBD vs Uzbekistan - World Cup - Group K</t>
  </si>
  <si>
    <t>2A</t>
  </si>
  <si>
    <t>2B</t>
  </si>
  <si>
    <t>Round of 32</t>
  </si>
  <si>
    <t>2A vs 2B - World Cup - Round of 32</t>
  </si>
  <si>
    <t>1E</t>
  </si>
  <si>
    <t>3A/B/C/D/F</t>
  </si>
  <si>
    <t>1E vs 3A/B/C/D/F - World Cup - Round of 32</t>
  </si>
  <si>
    <t>1F</t>
  </si>
  <si>
    <t>2C</t>
  </si>
  <si>
    <t>1F vs 2C - World Cup - Round of 32</t>
  </si>
  <si>
    <t>1C</t>
  </si>
  <si>
    <t>2F</t>
  </si>
  <si>
    <t>1C vs 2F - World Cup - Round of 32</t>
  </si>
  <si>
    <t>1I</t>
  </si>
  <si>
    <t>3C/D/F/G/H</t>
  </si>
  <si>
    <t>1I vs 3C/D/F/G/H - World Cup - Round of 32</t>
  </si>
  <si>
    <t>2E</t>
  </si>
  <si>
    <t>2I</t>
  </si>
  <si>
    <t>2E vs 2I - World Cup - Round of 32</t>
  </si>
  <si>
    <t>1A</t>
  </si>
  <si>
    <t>3C/E/F/H/I</t>
  </si>
  <si>
    <t>1A vs 3C/E/F/H/I - World Cup - Round of 32</t>
  </si>
  <si>
    <t>Qatar vs Switzerland - World Cup - Group B</t>
  </si>
  <si>
    <t>1L</t>
  </si>
  <si>
    <t>3E/H/I/J/K</t>
  </si>
  <si>
    <t>1L vs 3E/H/I/J/K - World Cup - Round of 32</t>
  </si>
  <si>
    <t>1D</t>
  </si>
  <si>
    <t>3B/E/F/I/J</t>
  </si>
  <si>
    <t>1D vs 3B/E/F/I/J - World Cup - Round of 32</t>
  </si>
  <si>
    <t>1G</t>
  </si>
  <si>
    <t>3A/E/H/I/J</t>
  </si>
  <si>
    <t>1G vs 3A/E/H/I/J - World Cup - Round of 32</t>
  </si>
  <si>
    <t>2K</t>
  </si>
  <si>
    <t>2L</t>
  </si>
  <si>
    <t>2K vs 2L - World Cup - Round of 32</t>
  </si>
  <si>
    <t>1H</t>
  </si>
  <si>
    <t>2J</t>
  </si>
  <si>
    <t>1H vs 2J - World Cup - Round of 32</t>
  </si>
  <si>
    <t>1B</t>
  </si>
  <si>
    <t>3E/F/G/I/J</t>
  </si>
  <si>
    <t>1B vs 3E/F/G/I/J - World Cup - Round of 32</t>
  </si>
  <si>
    <t>1J</t>
  </si>
  <si>
    <t>2H</t>
  </si>
  <si>
    <t>1J vs 2H - World Cup - Round of 32</t>
  </si>
  <si>
    <t>1K</t>
  </si>
  <si>
    <t>3D/E/I/J/L</t>
  </si>
  <si>
    <t>1K vs 3D/E/I/J/L - World Cup - Round of 32</t>
  </si>
  <si>
    <t>2D</t>
  </si>
  <si>
    <t>2G</t>
  </si>
  <si>
    <t>2D vs 2G - World Cup - Round of 32</t>
  </si>
  <si>
    <t>W74</t>
  </si>
  <si>
    <t>W77</t>
  </si>
  <si>
    <t>Round of 16</t>
  </si>
  <si>
    <t>W74 vs W77 - World Cup - Round of 16</t>
  </si>
  <si>
    <t>Côte d'Ivoire vs Ecuador - World Cup - Group E</t>
  </si>
  <si>
    <t>W73</t>
  </si>
  <si>
    <t>W75</t>
  </si>
  <si>
    <t>W73 vs W75 - World Cup - Round of 16</t>
  </si>
  <si>
    <t>W76</t>
  </si>
  <si>
    <t>W78</t>
  </si>
  <si>
    <t>W76 vs W78 - World Cup - Round of 16</t>
  </si>
  <si>
    <t>W79</t>
  </si>
  <si>
    <t>W80</t>
  </si>
  <si>
    <t>W79 vs W80 - World Cup - Round of 16</t>
  </si>
  <si>
    <t>W83</t>
  </si>
  <si>
    <t>W84</t>
  </si>
  <si>
    <t>W83 vs W84 - World Cup - Round of 16</t>
  </si>
  <si>
    <t>W81</t>
  </si>
  <si>
    <t>W82</t>
  </si>
  <si>
    <t>W81 vs W82 - World Cup - Round of 16</t>
  </si>
  <si>
    <t>W86</t>
  </si>
  <si>
    <t>W88</t>
  </si>
  <si>
    <t>W86 vs W88 - World Cup - Round of 16</t>
  </si>
  <si>
    <t>W85</t>
  </si>
  <si>
    <t>W87</t>
  </si>
  <si>
    <t>W85 vs W87 - World Cup - Round of 16</t>
  </si>
  <si>
    <t>W89</t>
  </si>
  <si>
    <t>W90</t>
  </si>
  <si>
    <t>W89 vs W90 - World Cup - Quarter-Finals</t>
  </si>
  <si>
    <t>W93</t>
  </si>
  <si>
    <t>W94</t>
  </si>
  <si>
    <t>W93 vs W94 - World Cup - Quarter-Finals</t>
  </si>
  <si>
    <t>W91</t>
  </si>
  <si>
    <t>W92</t>
  </si>
  <si>
    <t>W91 vs W92 - World Cup - Quarter-Finals</t>
  </si>
  <si>
    <t>N/A</t>
  </si>
  <si>
    <t>AXS</t>
  </si>
  <si>
    <t>GROUP</t>
  </si>
  <si>
    <t>Event Id</t>
  </si>
  <si>
    <t>Event Date</t>
  </si>
  <si>
    <t>Venue</t>
  </si>
  <si>
    <t>Section</t>
  </si>
  <si>
    <t>Sold Quantity</t>
  </si>
  <si>
    <t>Sold Proceeds</t>
  </si>
  <si>
    <t>Sold Cost</t>
  </si>
  <si>
    <t>Margin</t>
  </si>
  <si>
    <t>P &amp; L</t>
  </si>
  <si>
    <t>UNIT.P&amp;L</t>
  </si>
  <si>
    <t>Unsold Quantity</t>
  </si>
  <si>
    <t>Unsold Cost</t>
  </si>
  <si>
    <t>UNIT LIST PRICE</t>
  </si>
  <si>
    <t>Unit Cost</t>
  </si>
  <si>
    <t>Korea Republic vs TBD - World Cup - Group A (Match 2)</t>
  </si>
  <si>
    <t>6/11/2026 9:00:00 PM +00:00</t>
  </si>
  <si>
    <t>Category 2</t>
  </si>
  <si>
    <t>Category 1</t>
  </si>
  <si>
    <t>Category 4</t>
  </si>
  <si>
    <t>CATEGORY 3</t>
  </si>
  <si>
    <t>Category 3</t>
  </si>
  <si>
    <t>CATEGORY 1</t>
  </si>
  <si>
    <t>Canada vs TBD - World Cup - Group B (Match 3)</t>
  </si>
  <si>
    <t>6/12/2026 3:00:00 PM +00:00</t>
  </si>
  <si>
    <t>United States vs Paraguay - World Cup - Group D (Match 4)</t>
  </si>
  <si>
    <t>6/12/2026 6:00:00 PM +00:00</t>
  </si>
  <si>
    <t>CATEGORY 2</t>
  </si>
  <si>
    <t>United States Supporters Value Tier</t>
  </si>
  <si>
    <t>Qatar vs Switzerland - World Cup - Group B (Match 8)</t>
  </si>
  <si>
    <t>6/13/2026 12:00:00 PM +00:00</t>
  </si>
  <si>
    <t>Brazil vs Morocco - World Cup - Group C (Match 7)</t>
  </si>
  <si>
    <t>6/13/2026 6:00:00 PM +00:00</t>
  </si>
  <si>
    <t>Australia vs TBD - World Cup - Group D (Match 6)</t>
  </si>
  <si>
    <t>6/13/2026 9:00:00 PM +00:00</t>
  </si>
  <si>
    <t>Haiti vs Scotland - World Cup - Group C (Match 5)</t>
  </si>
  <si>
    <t>CuraÃ§ao</t>
  </si>
  <si>
    <t>Germany vs CuraÃ§ao - World Cup - Group E (Match 10)</t>
  </si>
  <si>
    <t>6/14/2026 12:00:00 PM +00:00</t>
  </si>
  <si>
    <t>NRG Stadium at NRG Park - Complex</t>
  </si>
  <si>
    <t>Netherlands vs Japan - World Cup - Group F (Match 11)</t>
  </si>
  <si>
    <t>6/14/2026 3:00:00 PM +00:00</t>
  </si>
  <si>
    <t>CÃ´te d'Ivoire</t>
  </si>
  <si>
    <t>CÃ´te d'Ivoire vs Ecuador - World Cup - Group E (Match 9)</t>
  </si>
  <si>
    <t>6/14/2026 7:00:00 PM +00:00</t>
  </si>
  <si>
    <t>TBA vs Tunisia - World Cup - Group F (Match 12)</t>
  </si>
  <si>
    <t>6/14/2026 9:00:00 PM +00:00</t>
  </si>
  <si>
    <t>Belgium vs Egypt - World Cup - Group G (Match 16)</t>
  </si>
  <si>
    <t>6/15/2026 12:00:00 PM +00:00</t>
  </si>
  <si>
    <t>Lumen Field at Lumen Field Event Complex - Complex</t>
  </si>
  <si>
    <t>Spain vs Cabo Verde - World Cup - Group H (Match 14)</t>
  </si>
  <si>
    <t>Iran vs New Zealand - World Cup - Group G (Match 15)</t>
  </si>
  <si>
    <t>6/15/2026 6:00:00 PM +00:00</t>
  </si>
  <si>
    <t>Saudi Arabia vs Uruguay - World Cup - Group H (Match 13)</t>
  </si>
  <si>
    <t>Hard Rock Stadium - Complex</t>
  </si>
  <si>
    <t>France vs Senegal - World Cup - Group I (Match 17)</t>
  </si>
  <si>
    <t>6/16/2026 3:00:00 PM +00:00</t>
  </si>
  <si>
    <t>TBD vs Norway - World Cup - Group I (Match 18)</t>
  </si>
  <si>
    <t>6/16/2026 6:00:00 PM +00:00</t>
  </si>
  <si>
    <t>Argentina vs Algeria - World Cup - Group J (Match 19)</t>
  </si>
  <si>
    <t>6/16/2026 8:00:00 PM +00:00</t>
  </si>
  <si>
    <t>Austria vs Jordan - World Cup - Group J (Match 20)</t>
  </si>
  <si>
    <t>6/16/2026 9:00:00 PM +00:00</t>
  </si>
  <si>
    <t>Portugal vs TBD - World Cup - Group K (Match 23)</t>
  </si>
  <si>
    <t>6/17/2026 12:00:00 PM +00:00</t>
  </si>
  <si>
    <t>England vs Croatia - World Cup - Group L (Match 22)</t>
  </si>
  <si>
    <t>6/17/2026 3:00:00 PM +00:00</t>
  </si>
  <si>
    <t>Ghana vs Panama - World Cup - Group L (Match 21)</t>
  </si>
  <si>
    <t>6/17/2026 7:00:00 PM +00:00</t>
  </si>
  <si>
    <t>Switzerland vs TBD - World Cup - Group B (Match 26)</t>
  </si>
  <si>
    <t>6/18/2026 12:00:00 PM +00:00</t>
  </si>
  <si>
    <t>TBD vs South Africa - World Cup - Group A (Match 25)</t>
  </si>
  <si>
    <t>United States vs Australia - World Cup - Group D (Match 32)</t>
  </si>
  <si>
    <t>6/19/2026 12:00:00 PM +00:00</t>
  </si>
  <si>
    <t>Scotland vs Morocco - World Cup - Group C (Match 30)</t>
  </si>
  <si>
    <t>6/19/2026 6:00:00 PM +00:00</t>
  </si>
  <si>
    <t>Brazil vs Haiti - World Cup - Group C (Match 29)</t>
  </si>
  <si>
    <t>6/19/2026 9:00:00 PM +00:00</t>
  </si>
  <si>
    <t>TBD vs Paraguay - World Cup - Group D (Match 31)</t>
  </si>
  <si>
    <t>Netherlands vs TBA - World Cup - Group F (Match 35)</t>
  </si>
  <si>
    <t>6/20/2026 12:00:00 PM +00:00</t>
  </si>
  <si>
    <t>Ecuador vs CuraÃ§ao - World Cup - Group E (Match 34)</t>
  </si>
  <si>
    <t>6/20/2026 7:00:00 PM +00:00</t>
  </si>
  <si>
    <t>Tunisia vs Japan - World Cup - Group F (Match 36)</t>
  </si>
  <si>
    <t>6/20/2026 11:00:00 PM +00:00</t>
  </si>
  <si>
    <t>Belgium vs Iran - World Cup - Group G (Match 39)</t>
  </si>
  <si>
    <t>6/21/2026 12:00:00 PM +00:00</t>
  </si>
  <si>
    <t>Spain vs Saudi Arabia - World Cup - Group H (Match 38)</t>
  </si>
  <si>
    <t>CAT 3</t>
  </si>
  <si>
    <t>New Zealand vs Egypt - World Cup - Group G (Match 40)</t>
  </si>
  <si>
    <t>6/21/2026 6:00:00 PM +00:00</t>
  </si>
  <si>
    <t>Uruguay vs Cabo Verde - World Cup - Group H (Match 37)</t>
  </si>
  <si>
    <t>Argentina vs Austria - World Cup - Group J (Match 43)</t>
  </si>
  <si>
    <t>6/22/2026 12:00:00 PM +00:00</t>
  </si>
  <si>
    <t>Cat III</t>
  </si>
  <si>
    <t>France vs TBD - World Cup - Group I (Match 42)</t>
  </si>
  <si>
    <t>6/22/2026 5:00:00 PM +00:00</t>
  </si>
  <si>
    <t>Jordan vs Algeria - World Cup - Group J (Match 44)</t>
  </si>
  <si>
    <t>6/22/2026 8:00:00 PM +00:00</t>
  </si>
  <si>
    <t>Norway vs Senegal - World Cup - Group I (Match 41)</t>
  </si>
  <si>
    <t>Portugal vs Uzbekistan - World Cup - Group K (Match 47)</t>
  </si>
  <si>
    <t>6/23/2026 12:00:00 PM +00:00</t>
  </si>
  <si>
    <t>England vs Ghana - World Cup - Group L (Match 45)</t>
  </si>
  <si>
    <t>6/23/2026 4:00:00 PM +00:00</t>
  </si>
  <si>
    <t>Panama vs Croatia - World Cup - Group L (Match 46)</t>
  </si>
  <si>
    <t>6/23/2026 7:00:00 PM +00:00</t>
  </si>
  <si>
    <t>CATEGORY 4</t>
  </si>
  <si>
    <t>Switzerland vs Canada - World Cup - Group B (Match 51)</t>
  </si>
  <si>
    <t>6/24/2026 12:00:00 PM +00:00</t>
  </si>
  <si>
    <t>TBD vs Qatar - World Cup - Group B (Match 52)</t>
  </si>
  <si>
    <t>Morocco vs Haiti - World Cup - Group C (Match 50)</t>
  </si>
  <si>
    <t>6/24/2026 6:00:00 PM +00:00</t>
  </si>
  <si>
    <t>Scotland vs Brazil - World Cup - Group C (Match 49)</t>
  </si>
  <si>
    <t>South Africa vs Korea Republic - World Cup - Group A (Match 54)</t>
  </si>
  <si>
    <t>6/24/2026 8:00:00 PM +00:00</t>
  </si>
  <si>
    <t>CuraÃ§ao vs CÃ´te d'Ivoire - World Cup - Group E (Match 55)</t>
  </si>
  <si>
    <t>6/25/2026 4:00:00 PM +00:00</t>
  </si>
  <si>
    <t>Ecuador vs Germany - World Cup - Group E (Match 56)</t>
  </si>
  <si>
    <t>Japan vs TBD - World Cup - Group F (Match 57)</t>
  </si>
  <si>
    <t>6/25/2026 6:00:00 PM +00:00</t>
  </si>
  <si>
    <t>Tunisia vs Netherlands - World Cup - Group F (Match 58)</t>
  </si>
  <si>
    <t>Paraguay vs Australia - World Cup - Group D (Match 60)</t>
  </si>
  <si>
    <t>6/25/2026 7:00:00 PM +00:00</t>
  </si>
  <si>
    <t>TBD vs United States - World Cup - Group D (Match 59)</t>
  </si>
  <si>
    <t>Norway vs France - World Cup - Group I (Match 61)</t>
  </si>
  <si>
    <t>6/26/2026 3:00:00 PM +00:00</t>
  </si>
  <si>
    <t>Senegal vs TBD - World Cup - Group I (Match 62)</t>
  </si>
  <si>
    <t>Cabo Verde vs Saudi Arabia - World Cup - Group H (Match 65)</t>
  </si>
  <si>
    <t>6/26/2026 7:00:00 PM +00:00</t>
  </si>
  <si>
    <t>Uruguay vs Spain - World Cup - Group H (Match 66)</t>
  </si>
  <si>
    <t>Egypt vs Iran - World Cup - Group G (Match 63)</t>
  </si>
  <si>
    <t>6/26/2026 8:00:00 PM +00:00</t>
  </si>
  <si>
    <t>New Zealand vs Belgium - World Cup - Group G (Match 64)</t>
  </si>
  <si>
    <t>Croatia vs Ghana - World Cup - Group L (Match 68)</t>
  </si>
  <si>
    <t>6/27/2026 5:00:00 PM +00:00</t>
  </si>
  <si>
    <t>Panama vs England - World Cup - Group L (Match 67)</t>
  </si>
  <si>
    <t>Colombia vs Portugal - World Cup - Group K (Match 71)</t>
  </si>
  <si>
    <t>6/27/2026 7:30:00 PM +00:00</t>
  </si>
  <si>
    <t>TBD vs Uzbekistan - World Cup - Group K (Match 72)</t>
  </si>
  <si>
    <t>Algeria vs Austria - World Cup - Group J (Match 69)</t>
  </si>
  <si>
    <t>6/27/2026 9:00:00 PM +00:00</t>
  </si>
  <si>
    <t>Jordan vs Argentina - World Cup - Group J (Match 70)</t>
  </si>
  <si>
    <t>2A vs 2B - World Cup - Round of 32 (Match 73)</t>
  </si>
  <si>
    <t>6/28/2026 12:00:00 PM +00:00</t>
  </si>
  <si>
    <t>1C vs 2F - World Cup - Round of 32 (Match 76)</t>
  </si>
  <si>
    <t>6/29/2026 12:00:00 PM +00:00</t>
  </si>
  <si>
    <t>1E vs 3A/B/C/D/F - World Cup - Round of 32 (Match 74)</t>
  </si>
  <si>
    <t>6/29/2026 4:30:00 PM +00:00</t>
  </si>
  <si>
    <t>1F vs 2C -  World Cup - Round of 32 (Match 75)</t>
  </si>
  <si>
    <t>6/29/2026 8:00:00 PM +00:00</t>
  </si>
  <si>
    <t>2E vs 2I - World Cup - Round of 32 (Match 78)</t>
  </si>
  <si>
    <t>6/30/2026 12:00:00 PM +00:00</t>
  </si>
  <si>
    <t>1I vs 3C/D/F/G/H - World Cup - Round of 32 (Match 77)</t>
  </si>
  <si>
    <t>6/30/2026 5:00:00 PM +00:00</t>
  </si>
  <si>
    <t>1L vs 3E/H/I/J/K - World Cup - Round of 32 (Match 80)</t>
  </si>
  <si>
    <t>7/1/2026 12:00:00 PM +00:00</t>
  </si>
  <si>
    <t>1G vs 3A/E/H/I/J - World Cup - Round of 32 (Match 82)</t>
  </si>
  <si>
    <t>7/1/2026 1:00:00 PM +00:00</t>
  </si>
  <si>
    <t>1D vs 3B/E/F/I/J - World Cup - Round of 32 (Match 81)</t>
  </si>
  <si>
    <t>7/1/2026 5:00:00 PM +00:00</t>
  </si>
  <si>
    <t>1H vs 2J - World Cup - Round of 32 (Match 84)</t>
  </si>
  <si>
    <t>7/2/2026 12:00:00 PM +00:00</t>
  </si>
  <si>
    <t>Easy Access Amenity - Category 3</t>
  </si>
  <si>
    <t>2K vs 2L - World Cup - Round of 32 (Match 83)</t>
  </si>
  <si>
    <t>7/2/2026 7:00:00 PM +00:00</t>
  </si>
  <si>
    <t>1B vs 3E/F/G/I/J - World Cup - Round of 32 (Match 85)</t>
  </si>
  <si>
    <t>7/2/2026 8:00:00 PM +00:00</t>
  </si>
  <si>
    <t>2D vs 2G - World Cup - Round of 32 (Match 88)</t>
  </si>
  <si>
    <t>7/3/2026 1:00:00 PM +00:00</t>
  </si>
  <si>
    <t>1J vs 2H - World Cup - Round of 32 (Match 86)</t>
  </si>
  <si>
    <t>7/3/2026 6:00:00 PM +00:00</t>
  </si>
  <si>
    <t>CAT 1</t>
  </si>
  <si>
    <t>1K vs 3D/E/I/J/L - World Cup - Round of 32 (Match 87)</t>
  </si>
  <si>
    <t>7/3/2026 8:30:00 PM +00:00</t>
  </si>
  <si>
    <t>W73 vs W75 - World Cup - Round of 16 (Match 90)</t>
  </si>
  <si>
    <t>7/4/2026 12:00:00 PM +00:00</t>
  </si>
  <si>
    <t>W74 vs W77 - World Cup - Round of 16 (Match 89)</t>
  </si>
  <si>
    <t>7/4/2026 5:00:00 PM +00:00</t>
  </si>
  <si>
    <t>W76 vs W78 - World Cup - Round of 16 (Match 91)</t>
  </si>
  <si>
    <t>7/5/2026 4:00:00 PM +00:00</t>
  </si>
  <si>
    <t>W79 vs W80 - World Cup - Round of 16 (Match 92)</t>
  </si>
  <si>
    <t>7/5/2026 7:00:00 PM +00:00</t>
  </si>
  <si>
    <t>W83 vs W84 - World Cup - Round of 16 (Match 93)</t>
  </si>
  <si>
    <t>7/6/2026 2:00:00 PM +00:00</t>
  </si>
  <si>
    <t>W81 vs W82 - World Cup - Round of 16 (Match 94)</t>
  </si>
  <si>
    <t>7/6/2026 5:00:00 PM +00:00</t>
  </si>
  <si>
    <t>W86 vs W88 - World Cup - Round of 16 (Match 95)</t>
  </si>
  <si>
    <t>7/7/2026 12:00:00 PM +00:00</t>
  </si>
  <si>
    <t>AUSTRIA SUPPORTER</t>
  </si>
  <si>
    <t>W85 vs W87 - World Cup - Round of 16 (Match 96)</t>
  </si>
  <si>
    <t>7/7/2026 1:00:00 PM +00:00</t>
  </si>
  <si>
    <t>W89 vs W90 - World Cup - Quarter-Finals (Match 97)</t>
  </si>
  <si>
    <t>7/9/2026 4:00:00 PM +00:00</t>
  </si>
  <si>
    <t>W93 vs W94 - World Cup - Quarter-Finals (Match 98)</t>
  </si>
  <si>
    <t>7/10/2026 12:00:00 PM +00:00</t>
  </si>
  <si>
    <t>W91 vs W92 - World Cup - Quarter-Finals (Match 99)</t>
  </si>
  <si>
    <t>7/11/2026 5:00:00 PM +00:00</t>
  </si>
  <si>
    <t>W95 vs W96 - World Cup - Quarter-Finals (Match 100)</t>
  </si>
  <si>
    <t>7/11/2026 8:00:00 PM +00:00</t>
  </si>
  <si>
    <t>AUSTRIA SUPPORTERS</t>
  </si>
  <si>
    <t>USA SUPPORTERS</t>
  </si>
  <si>
    <t>USA - SUPPORTERS</t>
  </si>
  <si>
    <t>W97 vs W98 - World Cup - Semi Finals (Match 101)</t>
  </si>
  <si>
    <t>7/14/2026 2:00:00 PM +00:00</t>
  </si>
  <si>
    <t>BRAZIL- SUPPORTERS</t>
  </si>
  <si>
    <t>W99 vs W100 - World Cup - Semi Finals (Match 102)</t>
  </si>
  <si>
    <t>7/15/2026 3:00:00 PM +00:00</t>
  </si>
  <si>
    <t>L101 vs L102 - World Cup - 3rd Place (Match 103)</t>
  </si>
  <si>
    <t>7/18/2026 5:00:00 PM +00:00</t>
  </si>
  <si>
    <t>CROATIA SUPPORTERS</t>
  </si>
  <si>
    <t>W101 vs W102 - World Cup - Final (Match 104)</t>
  </si>
  <si>
    <t>7/19/2026 3:00:00 PM +00:00</t>
  </si>
  <si>
    <t>Match #</t>
  </si>
  <si>
    <t>Performer</t>
  </si>
  <si>
    <t>State/Province</t>
  </si>
  <si>
    <t>Country</t>
  </si>
  <si>
    <t>UNSOLD_UNITCOST</t>
  </si>
  <si>
    <t>World Cup</t>
  </si>
  <si>
    <t>New Jersey</t>
  </si>
  <si>
    <t>USA</t>
  </si>
  <si>
    <t>British Columbia</t>
  </si>
  <si>
    <t>Washington</t>
  </si>
  <si>
    <t>California</t>
  </si>
  <si>
    <t>Germany vs Curaçao - World Cup - Group E (Match 10)</t>
  </si>
  <si>
    <t>Texas</t>
  </si>
  <si>
    <t>Missouri</t>
  </si>
  <si>
    <t>Ecuador vs Curaçao - World Cup - Group E (Match 34)</t>
  </si>
  <si>
    <t>Ontario</t>
  </si>
  <si>
    <t>Massachusetts</t>
  </si>
  <si>
    <t>Côte d'Ivoire vs Ecuador - World Cup - Group E (Match 9)</t>
  </si>
  <si>
    <t>Pennsylvania</t>
  </si>
  <si>
    <t>Georgia</t>
  </si>
  <si>
    <t>Florida</t>
  </si>
  <si>
    <t>Curaçao vs Côte d'Ivoire - World Cup - Group E (Match 55)</t>
  </si>
  <si>
    <t>Estado de Jalisco</t>
  </si>
  <si>
    <t>Nuevo Leon</t>
  </si>
  <si>
    <t>1F vs 2C - World Cup - Round of 32 (Match 75)</t>
  </si>
  <si>
    <t>Estado de 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</si>
</sst>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0.0%"/>
  </numFmts>
  <fonts count="8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1F4E78"/>
      <name val="Calibri"/>
    </font>
    <font>
      <b/>
      <sz val="12"/>
      <name val="Calibri"/>
    </font>
    <font>
      <b/>
      <sz val="11"/>
      <color rgb="FF1F4E78"/>
      <name val="Calibri"/>
    </font>
    <font>
      <b/>
      <sz val="8"/>
      <color rgb="FF333333"/>
      <name val="Arial"/>
      <charset val="1"/>
    </font>
    <font>
      <sz val="10"/>
      <color theme="1"/>
      <name val="Calibri"/>
      <charset val="1"/>
    </font>
    <font>
      <sz val="10"/>
      <color theme="1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BEAFE"/>
        <bgColor rgb="FFEDE9FE"/>
      </patternFill>
    </fill>
    <fill>
      <patternFill patternType="solid">
        <fgColor rgb="FFFEF3C7"/>
        <bgColor rgb="FFF5F5F5"/>
      </patternFill>
    </fill>
    <fill>
      <patternFill patternType="solid">
        <fgColor rgb="FFD9E1F2"/>
        <bgColor indexed="64"/>
      </patternFill>
    </fill>
  </fills>
  <borders count="20">
    <border>
      <left/>
      <right/>
      <top/>
      <bottom/>
      <diagonal/>
    </border>
    <border>
      <left style="medium">
        <color rgb="FF000000"/>
      </left>
      <right style="thin">
        <color rgb="FFE0E0E0"/>
      </right>
      <top style="thin">
        <color rgb="FFE0E0E0"/>
      </top>
      <bottom style="medium">
        <color rgb="FF00000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medium">
        <color rgb="FF000000"/>
      </bottom>
      <diagonal/>
    </border>
    <border>
      <left style="thin">
        <color rgb="FFE0E0E0"/>
      </left>
      <right style="medium">
        <color rgb="FF000000"/>
      </right>
      <top style="thin">
        <color rgb="FFE0E0E0"/>
      </top>
      <bottom style="medium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8EA9DB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8EA9DB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8EA9DB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8EA9DB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8EA9DB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8EA9DB"/>
      </bottom>
      <diagonal/>
    </border>
    <border>
      <left style="thin">
        <color rgb="FF000000"/>
      </left>
      <right style="thin">
        <color rgb="FF8EA9DB"/>
      </right>
      <top style="thin">
        <color rgb="FFCCCCCC"/>
      </top>
      <bottom style="thin">
        <color rgb="FF8EA9DB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2" borderId="0" xfId="0" applyFont="1" applyFill="1" applyAlignment="1">
      <alignment horizontal="center" vertical="center"/>
    </xf>
    <xf numFmtId="8" fontId="0" fillId="0" borderId="0" xfId="0" applyNumberFormat="1"/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22" fontId="6" fillId="5" borderId="4" xfId="0" applyNumberFormat="1" applyFont="1" applyFill="1" applyBorder="1" applyAlignment="1">
      <alignment readingOrder="1"/>
    </xf>
    <xf numFmtId="0" fontId="6" fillId="5" borderId="5" xfId="0" applyFont="1" applyFill="1" applyBorder="1" applyAlignment="1">
      <alignment readingOrder="1"/>
    </xf>
    <xf numFmtId="3" fontId="6" fillId="5" borderId="5" xfId="0" applyNumberFormat="1" applyFont="1" applyFill="1" applyBorder="1" applyAlignment="1">
      <alignment readingOrder="1"/>
    </xf>
    <xf numFmtId="22" fontId="6" fillId="5" borderId="5" xfId="0" applyNumberFormat="1" applyFont="1" applyFill="1" applyBorder="1" applyAlignment="1">
      <alignment readingOrder="1"/>
    </xf>
    <xf numFmtId="8" fontId="6" fillId="5" borderId="5" xfId="0" applyNumberFormat="1" applyFont="1" applyFill="1" applyBorder="1" applyAlignment="1">
      <alignment readingOrder="1"/>
    </xf>
    <xf numFmtId="0" fontId="7" fillId="5" borderId="5" xfId="0" applyFont="1" applyFill="1" applyBorder="1" applyAlignment="1">
      <alignment readingOrder="1"/>
    </xf>
    <xf numFmtId="3" fontId="6" fillId="5" borderId="6" xfId="0" applyNumberFormat="1" applyFont="1" applyFill="1" applyBorder="1" applyAlignment="1">
      <alignment readingOrder="1"/>
    </xf>
    <xf numFmtId="164" fontId="0" fillId="0" borderId="0" xfId="0" applyNumberFormat="1"/>
    <xf numFmtId="2" fontId="0" fillId="0" borderId="0" xfId="0" applyNumberFormat="1"/>
    <xf numFmtId="22" fontId="6" fillId="0" borderId="7" xfId="0" applyNumberFormat="1" applyFont="1" applyBorder="1" applyAlignment="1">
      <alignment readingOrder="1"/>
    </xf>
    <xf numFmtId="0" fontId="6" fillId="0" borderId="8" xfId="0" applyFont="1" applyBorder="1" applyAlignment="1">
      <alignment readingOrder="1"/>
    </xf>
    <xf numFmtId="3" fontId="6" fillId="0" borderId="8" xfId="0" applyNumberFormat="1" applyFont="1" applyBorder="1" applyAlignment="1">
      <alignment readingOrder="1"/>
    </xf>
    <xf numFmtId="22" fontId="6" fillId="0" borderId="8" xfId="0" applyNumberFormat="1" applyFont="1" applyBorder="1" applyAlignment="1">
      <alignment readingOrder="1"/>
    </xf>
    <xf numFmtId="8" fontId="6" fillId="0" borderId="8" xfId="0" applyNumberFormat="1" applyFont="1" applyBorder="1" applyAlignment="1">
      <alignment readingOrder="1"/>
    </xf>
    <xf numFmtId="0" fontId="7" fillId="0" borderId="8" xfId="0" applyFont="1" applyBorder="1" applyAlignment="1">
      <alignment readingOrder="1"/>
    </xf>
    <xf numFmtId="3" fontId="6" fillId="0" borderId="9" xfId="0" applyNumberFormat="1" applyFont="1" applyBorder="1" applyAlignment="1">
      <alignment readingOrder="1"/>
    </xf>
    <xf numFmtId="22" fontId="6" fillId="5" borderId="7" xfId="0" applyNumberFormat="1" applyFont="1" applyFill="1" applyBorder="1" applyAlignment="1">
      <alignment readingOrder="1"/>
    </xf>
    <xf numFmtId="0" fontId="6" fillId="5" borderId="8" xfId="0" applyFont="1" applyFill="1" applyBorder="1" applyAlignment="1">
      <alignment readingOrder="1"/>
    </xf>
    <xf numFmtId="3" fontId="6" fillId="5" borderId="8" xfId="0" applyNumberFormat="1" applyFont="1" applyFill="1" applyBorder="1" applyAlignment="1">
      <alignment readingOrder="1"/>
    </xf>
    <xf numFmtId="22" fontId="6" fillId="5" borderId="8" xfId="0" applyNumberFormat="1" applyFont="1" applyFill="1" applyBorder="1" applyAlignment="1">
      <alignment readingOrder="1"/>
    </xf>
    <xf numFmtId="8" fontId="6" fillId="5" borderId="8" xfId="0" applyNumberFormat="1" applyFont="1" applyFill="1" applyBorder="1" applyAlignment="1">
      <alignment readingOrder="1"/>
    </xf>
    <xf numFmtId="0" fontId="7" fillId="5" borderId="8" xfId="0" applyFont="1" applyFill="1" applyBorder="1" applyAlignment="1">
      <alignment readingOrder="1"/>
    </xf>
    <xf numFmtId="3" fontId="6" fillId="5" borderId="9" xfId="0" applyNumberFormat="1" applyFont="1" applyFill="1" applyBorder="1" applyAlignment="1">
      <alignment readingOrder="1"/>
    </xf>
    <xf numFmtId="0" fontId="6" fillId="0" borderId="9" xfId="0" applyFont="1" applyBorder="1" applyAlignment="1">
      <alignment readingOrder="1"/>
    </xf>
    <xf numFmtId="0" fontId="6" fillId="5" borderId="9" xfId="0" applyFont="1" applyFill="1" applyBorder="1" applyAlignment="1">
      <alignment readingOrder="1"/>
    </xf>
    <xf numFmtId="22" fontId="6" fillId="5" borderId="10" xfId="0" applyNumberFormat="1" applyFont="1" applyFill="1" applyBorder="1" applyAlignment="1">
      <alignment readingOrder="1"/>
    </xf>
    <xf numFmtId="22" fontId="6" fillId="0" borderId="10" xfId="0" applyNumberFormat="1" applyFont="1" applyBorder="1" applyAlignment="1">
      <alignment readingOrder="1"/>
    </xf>
    <xf numFmtId="22" fontId="6" fillId="0" borderId="11" xfId="0" applyNumberFormat="1" applyFont="1" applyBorder="1" applyAlignment="1">
      <alignment readingOrder="1"/>
    </xf>
    <xf numFmtId="0" fontId="6" fillId="0" borderId="12" xfId="0" applyFont="1" applyBorder="1" applyAlignment="1">
      <alignment readingOrder="1"/>
    </xf>
    <xf numFmtId="0" fontId="7" fillId="0" borderId="12" xfId="0" applyFont="1" applyBorder="1" applyAlignment="1">
      <alignment readingOrder="1"/>
    </xf>
    <xf numFmtId="3" fontId="6" fillId="0" borderId="12" xfId="0" applyNumberFormat="1" applyFont="1" applyBorder="1" applyAlignment="1">
      <alignment readingOrder="1"/>
    </xf>
    <xf numFmtId="22" fontId="6" fillId="0" borderId="12" xfId="0" applyNumberFormat="1" applyFont="1" applyBorder="1" applyAlignment="1">
      <alignment readingOrder="1"/>
    </xf>
    <xf numFmtId="8" fontId="6" fillId="0" borderId="12" xfId="0" applyNumberFormat="1" applyFont="1" applyBorder="1" applyAlignment="1">
      <alignment readingOrder="1"/>
    </xf>
    <xf numFmtId="3" fontId="6" fillId="0" borderId="13" xfId="0" applyNumberFormat="1" applyFont="1" applyBorder="1" applyAlignment="1">
      <alignment readingOrder="1"/>
    </xf>
    <xf numFmtId="0" fontId="7" fillId="0" borderId="14" xfId="0" applyFont="1" applyBorder="1" applyAlignment="1">
      <alignment readingOrder="1"/>
    </xf>
    <xf numFmtId="0" fontId="7" fillId="0" borderId="15" xfId="0" applyFont="1" applyBorder="1" applyAlignment="1">
      <alignment readingOrder="1"/>
    </xf>
    <xf numFmtId="8" fontId="7" fillId="0" borderId="15" xfId="0" applyNumberFormat="1" applyFont="1" applyBorder="1" applyAlignment="1">
      <alignment readingOrder="1"/>
    </xf>
    <xf numFmtId="8" fontId="7" fillId="0" borderId="16" xfId="0" applyNumberFormat="1" applyFont="1" applyBorder="1" applyAlignment="1">
      <alignment readingOrder="1"/>
    </xf>
    <xf numFmtId="0" fontId="7" fillId="0" borderId="17" xfId="0" applyFont="1" applyBorder="1" applyAlignment="1">
      <alignment readingOrder="1"/>
    </xf>
    <xf numFmtId="0" fontId="7" fillId="0" borderId="18" xfId="0" applyFont="1" applyBorder="1" applyAlignment="1">
      <alignment readingOrder="1"/>
    </xf>
    <xf numFmtId="8" fontId="7" fillId="0" borderId="18" xfId="0" applyNumberFormat="1" applyFont="1" applyBorder="1" applyAlignment="1">
      <alignment readingOrder="1"/>
    </xf>
    <xf numFmtId="8" fontId="7" fillId="0" borderId="19" xfId="0" applyNumberFormat="1" applyFont="1" applyBorder="1" applyAlignment="1">
      <alignment readingOrder="1"/>
    </xf>
    <xf numFmtId="0" fontId="7" fillId="0" borderId="11" xfId="0" applyFont="1" applyBorder="1" applyAlignment="1">
      <alignment readingOrder="1"/>
    </xf>
    <xf numFmtId="8" fontId="7" fillId="0" borderId="12" xfId="0" applyNumberFormat="1" applyFont="1" applyBorder="1" applyAlignment="1">
      <alignment readingOrder="1"/>
    </xf>
    <xf numFmtId="8" fontId="7" fillId="0" borderId="13" xfId="0" applyNumberFormat="1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workbookViewId="0"/>
  </sheetViews>
  <sheetFormatPr defaultRowHeight="15"/>
  <cols>
    <col min="1" max="1" width="60" customWidth="1"/>
  </cols>
  <sheetData>
    <row r="1" spans="1:1">
      <c r="A1" s="1" t="s">
        <v>0</v>
      </c>
    </row>
    <row r="3" spans="1:1">
      <c r="A3" s="2" t="s">
        <v>1</v>
      </c>
    </row>
    <row r="4" spans="1:1">
      <c r="A4" s="3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9" spans="1:1">
      <c r="A9" s="3" t="s">
        <v>6</v>
      </c>
    </row>
    <row r="10" spans="1:1">
      <c r="A10" t="s">
        <v>7</v>
      </c>
    </row>
    <row r="11" spans="1:1">
      <c r="A11" t="s">
        <v>8</v>
      </c>
    </row>
    <row r="12" spans="1:1">
      <c r="A12" t="s">
        <v>9</v>
      </c>
    </row>
    <row r="14" spans="1:1">
      <c r="A14" s="3" t="s">
        <v>10</v>
      </c>
    </row>
    <row r="15" spans="1:1">
      <c r="A15" t="s">
        <v>11</v>
      </c>
    </row>
    <row r="16" spans="1:1">
      <c r="A16" t="s">
        <v>12</v>
      </c>
    </row>
    <row r="17" spans="1:1">
      <c r="A17" t="s">
        <v>13</v>
      </c>
    </row>
    <row r="19" spans="1:1">
      <c r="A19" s="3" t="s">
        <v>14</v>
      </c>
    </row>
    <row r="20" spans="1:1">
      <c r="A20" t="s">
        <v>15</v>
      </c>
    </row>
    <row r="21" spans="1:1">
      <c r="A21" t="s">
        <v>16</v>
      </c>
    </row>
    <row r="22" spans="1:1">
      <c r="A22" t="s">
        <v>17</v>
      </c>
    </row>
    <row r="23" spans="1:1">
      <c r="A23" t="s">
        <v>18</v>
      </c>
    </row>
    <row r="24" spans="1:1">
      <c r="A24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715"/>
  <sheetViews>
    <sheetView topLeftCell="G1" workbookViewId="0">
      <selection activeCell="K39" sqref="K39"/>
    </sheetView>
  </sheetViews>
  <sheetFormatPr defaultRowHeight="15"/>
  <cols>
    <col min="1" max="1" width="8.42578125" bestFit="1" customWidth="1"/>
    <col min="2" max="2" width="15" customWidth="1"/>
    <col min="3" max="3" width="30" customWidth="1"/>
    <col min="4" max="4" width="13.7109375" bestFit="1" customWidth="1"/>
    <col min="5" max="6" width="12" customWidth="1"/>
    <col min="7" max="7" width="18.42578125" bestFit="1" customWidth="1"/>
    <col min="8" max="8" width="9.42578125" bestFit="1" customWidth="1"/>
    <col min="9" max="9" width="13.7109375" bestFit="1" customWidth="1"/>
    <col min="10" max="10" width="14.85546875" bestFit="1" customWidth="1"/>
    <col min="11" max="11" width="13.42578125" customWidth="1"/>
    <col min="12" max="12" width="18.140625" bestFit="1" customWidth="1"/>
    <col min="13" max="13" width="12.5703125" bestFit="1" customWidth="1"/>
    <col min="14" max="14" width="11.140625" bestFit="1" customWidth="1"/>
    <col min="15" max="15" width="14.42578125" customWidth="1"/>
    <col min="16" max="16" width="14.28515625" customWidth="1"/>
    <col min="23" max="23" width="14.42578125" customWidth="1"/>
  </cols>
  <sheetData>
    <row r="1" spans="1:31" ht="32.25">
      <c r="A1" s="6" t="s">
        <v>20</v>
      </c>
      <c r="B1" s="7" t="s">
        <v>21</v>
      </c>
      <c r="C1" s="7" t="s">
        <v>22</v>
      </c>
      <c r="D1" s="6" t="s">
        <v>23</v>
      </c>
      <c r="E1" s="7" t="s">
        <v>24</v>
      </c>
      <c r="F1" s="6" t="s">
        <v>25</v>
      </c>
      <c r="G1" s="7" t="s">
        <v>26</v>
      </c>
      <c r="H1" s="7" t="s">
        <v>27</v>
      </c>
      <c r="I1" s="7" t="s">
        <v>28</v>
      </c>
      <c r="J1" s="7" t="s">
        <v>29</v>
      </c>
      <c r="K1" s="7" t="s">
        <v>30</v>
      </c>
      <c r="L1" s="7" t="s">
        <v>31</v>
      </c>
      <c r="M1" s="7" t="s">
        <v>32</v>
      </c>
      <c r="N1" s="7" t="s">
        <v>33</v>
      </c>
      <c r="O1" s="7" t="s">
        <v>34</v>
      </c>
      <c r="P1" s="7" t="s">
        <v>35</v>
      </c>
      <c r="Q1" s="7" t="s">
        <v>36</v>
      </c>
      <c r="R1" s="7" t="s">
        <v>37</v>
      </c>
      <c r="S1" s="7" t="s">
        <v>38</v>
      </c>
      <c r="T1" s="7" t="s">
        <v>39</v>
      </c>
      <c r="U1" s="7" t="s">
        <v>40</v>
      </c>
      <c r="V1" s="7" t="s">
        <v>41</v>
      </c>
      <c r="W1" s="7" t="s">
        <v>42</v>
      </c>
      <c r="X1" s="7" t="s">
        <v>43</v>
      </c>
      <c r="Y1" s="7" t="s">
        <v>44</v>
      </c>
      <c r="Z1" s="8" t="s">
        <v>45</v>
      </c>
      <c r="AA1" s="9" t="s">
        <v>46</v>
      </c>
      <c r="AB1" s="10" t="s">
        <v>47</v>
      </c>
      <c r="AC1" s="10" t="s">
        <v>48</v>
      </c>
      <c r="AD1" s="10" t="s">
        <v>49</v>
      </c>
      <c r="AE1" s="10" t="s">
        <v>50</v>
      </c>
    </row>
    <row r="2" spans="1:31">
      <c r="A2">
        <v>6</v>
      </c>
      <c r="B2" t="s">
        <v>51</v>
      </c>
      <c r="C2" t="s">
        <v>52</v>
      </c>
      <c r="D2" t="s">
        <v>53</v>
      </c>
      <c r="E2" s="11">
        <v>46083</v>
      </c>
      <c r="F2" s="12" t="s">
        <v>54</v>
      </c>
      <c r="G2" s="12" t="s">
        <v>55</v>
      </c>
      <c r="H2" s="12" t="s">
        <v>56</v>
      </c>
      <c r="I2" s="13">
        <v>98500</v>
      </c>
      <c r="J2" s="12" t="s">
        <v>57</v>
      </c>
      <c r="K2" s="14">
        <v>46184.583333333336</v>
      </c>
      <c r="L2" s="12">
        <v>438</v>
      </c>
      <c r="M2" s="13">
        <v>2652</v>
      </c>
      <c r="N2" s="15">
        <v>2695.5</v>
      </c>
      <c r="O2" s="15">
        <v>4969.6899999999996</v>
      </c>
      <c r="P2" s="15">
        <v>7732.94</v>
      </c>
      <c r="Q2" s="12">
        <v>369</v>
      </c>
      <c r="R2" s="13">
        <v>10270</v>
      </c>
      <c r="S2" s="13">
        <v>24322</v>
      </c>
      <c r="T2" s="12">
        <v>2</v>
      </c>
      <c r="U2" s="12">
        <v>5</v>
      </c>
      <c r="V2" s="12">
        <v>11</v>
      </c>
      <c r="W2" s="14">
        <v>46275.541666666664</v>
      </c>
      <c r="X2" s="16"/>
      <c r="Y2" s="12">
        <v>0</v>
      </c>
      <c r="Z2" s="17">
        <v>24499</v>
      </c>
      <c r="AA2">
        <v>2274.1899999999996</v>
      </c>
      <c r="AB2" s="18">
        <v>0.84369875718790566</v>
      </c>
      <c r="AC2" s="19">
        <v>1.8436987571879055</v>
      </c>
      <c r="AD2" s="19">
        <v>1.2727272727272727</v>
      </c>
      <c r="AE2" s="19">
        <v>1.0606060606060608</v>
      </c>
    </row>
    <row r="3" spans="1:31">
      <c r="A3">
        <v>7</v>
      </c>
      <c r="B3" t="s">
        <v>58</v>
      </c>
      <c r="C3" t="s">
        <v>59</v>
      </c>
      <c r="D3" t="s">
        <v>60</v>
      </c>
      <c r="E3" s="20">
        <v>46083</v>
      </c>
      <c r="F3" s="21" t="s">
        <v>61</v>
      </c>
      <c r="G3" s="21" t="s">
        <v>55</v>
      </c>
      <c r="H3" s="21" t="s">
        <v>62</v>
      </c>
      <c r="I3" s="22">
        <v>71500</v>
      </c>
      <c r="J3" s="21" t="s">
        <v>63</v>
      </c>
      <c r="K3" s="23">
        <v>46187.5</v>
      </c>
      <c r="L3" s="21">
        <v>765</v>
      </c>
      <c r="M3" s="22">
        <v>3124</v>
      </c>
      <c r="N3" s="24">
        <v>375.31</v>
      </c>
      <c r="O3" s="24">
        <v>646.54999999999995</v>
      </c>
      <c r="P3" s="24">
        <v>979.06</v>
      </c>
      <c r="Q3" s="22">
        <v>1271</v>
      </c>
      <c r="R3" s="22">
        <v>31802</v>
      </c>
      <c r="S3" s="22">
        <v>76556</v>
      </c>
      <c r="T3" s="21">
        <v>4</v>
      </c>
      <c r="U3" s="21">
        <v>17</v>
      </c>
      <c r="V3" s="21">
        <v>40</v>
      </c>
      <c r="W3" s="23">
        <v>46275.583333333336</v>
      </c>
      <c r="X3" s="25"/>
      <c r="Y3" s="21">
        <v>0</v>
      </c>
      <c r="Z3" s="26">
        <v>76726</v>
      </c>
      <c r="AA3">
        <v>271.23999999999995</v>
      </c>
      <c r="AB3" s="18">
        <v>0.72270922703898099</v>
      </c>
      <c r="AC3" s="19">
        <v>1.722709227038981</v>
      </c>
      <c r="AD3" s="19">
        <v>0.7</v>
      </c>
      <c r="AE3" s="19">
        <v>0.9916666666666667</v>
      </c>
    </row>
    <row r="4" spans="1:31">
      <c r="A4">
        <v>8</v>
      </c>
      <c r="B4" t="s">
        <v>64</v>
      </c>
      <c r="C4" t="s">
        <v>65</v>
      </c>
      <c r="D4" t="s">
        <v>66</v>
      </c>
      <c r="E4" s="27">
        <v>46083</v>
      </c>
      <c r="F4" s="28" t="s">
        <v>67</v>
      </c>
      <c r="G4" s="28" t="s">
        <v>55</v>
      </c>
      <c r="H4" s="28" t="s">
        <v>68</v>
      </c>
      <c r="I4" s="29">
        <v>76416</v>
      </c>
      <c r="J4" s="28" t="s">
        <v>69</v>
      </c>
      <c r="K4" s="30">
        <v>46214.833333333336</v>
      </c>
      <c r="L4" s="28">
        <v>592</v>
      </c>
      <c r="M4" s="29">
        <v>2588</v>
      </c>
      <c r="N4" s="31">
        <v>1430.8</v>
      </c>
      <c r="O4" s="31">
        <v>2500.09</v>
      </c>
      <c r="P4" s="31">
        <v>3480.91</v>
      </c>
      <c r="Q4" s="29">
        <v>1873</v>
      </c>
      <c r="R4" s="29">
        <v>56368</v>
      </c>
      <c r="S4" s="29">
        <v>145955</v>
      </c>
      <c r="T4" s="28">
        <v>2</v>
      </c>
      <c r="U4" s="28">
        <v>6</v>
      </c>
      <c r="V4" s="28">
        <v>13</v>
      </c>
      <c r="W4" s="30">
        <v>46275.583333333336</v>
      </c>
      <c r="X4" s="32"/>
      <c r="Y4" s="28">
        <v>0</v>
      </c>
      <c r="Z4" s="33">
        <v>146656</v>
      </c>
      <c r="AA4">
        <v>1069.2900000000002</v>
      </c>
      <c r="AB4" s="18">
        <v>0.74733715403969825</v>
      </c>
      <c r="AC4" s="19">
        <v>1.7473371540396982</v>
      </c>
      <c r="AD4" s="19">
        <v>1.0769230769230769</v>
      </c>
      <c r="AE4" s="19">
        <v>1.0769230769230769</v>
      </c>
    </row>
    <row r="5" spans="1:31">
      <c r="A5">
        <v>9</v>
      </c>
      <c r="B5" t="s">
        <v>70</v>
      </c>
      <c r="C5" t="s">
        <v>71</v>
      </c>
      <c r="D5" t="s">
        <v>72</v>
      </c>
      <c r="E5" s="20">
        <v>46083</v>
      </c>
      <c r="F5" s="21" t="s">
        <v>73</v>
      </c>
      <c r="G5" s="21" t="s">
        <v>55</v>
      </c>
      <c r="H5" s="21" t="s">
        <v>74</v>
      </c>
      <c r="I5" s="22">
        <v>80000</v>
      </c>
      <c r="J5" s="21" t="s">
        <v>75</v>
      </c>
      <c r="K5" s="23">
        <v>46217.583333333336</v>
      </c>
      <c r="L5" s="21">
        <v>635</v>
      </c>
      <c r="M5" s="22">
        <v>2915</v>
      </c>
      <c r="N5" s="24">
        <v>1946.44</v>
      </c>
      <c r="O5" s="24">
        <v>3430.34</v>
      </c>
      <c r="P5" s="24">
        <v>5411.76</v>
      </c>
      <c r="Q5" s="22">
        <v>1050</v>
      </c>
      <c r="R5" s="22">
        <v>37251</v>
      </c>
      <c r="S5" s="22">
        <v>100361</v>
      </c>
      <c r="T5" s="21">
        <v>2</v>
      </c>
      <c r="U5" s="21">
        <v>5</v>
      </c>
      <c r="V5" s="21">
        <v>13</v>
      </c>
      <c r="W5" s="23">
        <v>46275.583333333336</v>
      </c>
      <c r="X5" s="25"/>
      <c r="Y5" s="21">
        <v>0</v>
      </c>
      <c r="Z5" s="26">
        <v>101052</v>
      </c>
      <c r="AA5">
        <v>1483.9</v>
      </c>
      <c r="AB5" s="18">
        <v>0.76236616592342943</v>
      </c>
      <c r="AC5" s="19">
        <v>1.7623661659234295</v>
      </c>
      <c r="AD5" s="19">
        <v>1.0769230769230769</v>
      </c>
      <c r="AE5" s="19">
        <v>0.89743589743589747</v>
      </c>
    </row>
    <row r="6" spans="1:31">
      <c r="A6">
        <v>10</v>
      </c>
      <c r="B6" t="s">
        <v>76</v>
      </c>
      <c r="C6" t="s">
        <v>77</v>
      </c>
      <c r="D6" t="s">
        <v>72</v>
      </c>
      <c r="E6" s="27">
        <v>46083</v>
      </c>
      <c r="F6" s="28" t="s">
        <v>78</v>
      </c>
      <c r="G6" s="28" t="s">
        <v>55</v>
      </c>
      <c r="H6" s="28" t="s">
        <v>79</v>
      </c>
      <c r="I6" s="29">
        <v>71000</v>
      </c>
      <c r="J6" s="28" t="s">
        <v>80</v>
      </c>
      <c r="K6" s="30">
        <v>46218.625</v>
      </c>
      <c r="L6" s="28">
        <v>685</v>
      </c>
      <c r="M6" s="29">
        <v>3034</v>
      </c>
      <c r="N6" s="31">
        <v>1746</v>
      </c>
      <c r="O6" s="31">
        <v>3420.42</v>
      </c>
      <c r="P6" s="31">
        <v>5304</v>
      </c>
      <c r="Q6" s="29">
        <v>1035</v>
      </c>
      <c r="R6" s="29">
        <v>36272</v>
      </c>
      <c r="S6" s="29">
        <v>98575</v>
      </c>
      <c r="T6" s="28">
        <v>5</v>
      </c>
      <c r="U6" s="28">
        <v>6</v>
      </c>
      <c r="V6" s="28">
        <v>12</v>
      </c>
      <c r="W6" s="30">
        <v>46275.625</v>
      </c>
      <c r="X6" s="32"/>
      <c r="Y6" s="28">
        <v>0</v>
      </c>
      <c r="Z6" s="33">
        <v>99235</v>
      </c>
      <c r="AA6">
        <v>1674.42</v>
      </c>
      <c r="AB6" s="18">
        <v>0.95900343642611685</v>
      </c>
      <c r="AC6" s="19">
        <v>1.9590034364261169</v>
      </c>
      <c r="AD6" s="19">
        <v>2.916666666666667</v>
      </c>
      <c r="AE6" s="19">
        <v>1.1666666666666667</v>
      </c>
    </row>
    <row r="7" spans="1:31">
      <c r="A7">
        <v>11</v>
      </c>
      <c r="B7" t="s">
        <v>81</v>
      </c>
      <c r="C7" t="s">
        <v>82</v>
      </c>
      <c r="D7" t="s">
        <v>83</v>
      </c>
      <c r="E7" s="20">
        <v>46083</v>
      </c>
      <c r="F7" s="21" t="s">
        <v>84</v>
      </c>
      <c r="G7" s="21" t="s">
        <v>55</v>
      </c>
      <c r="H7" s="21" t="s">
        <v>85</v>
      </c>
      <c r="I7" s="22">
        <v>76100</v>
      </c>
      <c r="J7" s="21" t="s">
        <v>86</v>
      </c>
      <c r="K7" s="23">
        <v>46221.708333333336</v>
      </c>
      <c r="L7" s="21">
        <v>732</v>
      </c>
      <c r="M7" s="22">
        <v>3050</v>
      </c>
      <c r="N7" s="24">
        <v>899.1</v>
      </c>
      <c r="O7" s="24">
        <v>1399.98</v>
      </c>
      <c r="P7" s="24">
        <v>2549.4899999999998</v>
      </c>
      <c r="Q7" s="22">
        <v>1489</v>
      </c>
      <c r="R7" s="22">
        <v>50982</v>
      </c>
      <c r="S7" s="22">
        <v>148986</v>
      </c>
      <c r="T7" s="21">
        <v>3</v>
      </c>
      <c r="U7" s="21">
        <v>9</v>
      </c>
      <c r="V7" s="21">
        <v>18</v>
      </c>
      <c r="W7" s="23">
        <v>46275.625</v>
      </c>
      <c r="X7" s="25"/>
      <c r="Y7" s="21">
        <v>0</v>
      </c>
      <c r="Z7" s="26">
        <v>150007</v>
      </c>
      <c r="AA7">
        <v>500.88</v>
      </c>
      <c r="AB7" s="18">
        <v>0.55709042375709039</v>
      </c>
      <c r="AC7" s="19">
        <v>1.5570904237570904</v>
      </c>
      <c r="AD7" s="19">
        <v>1.1666666666666665</v>
      </c>
      <c r="AE7" s="19">
        <v>1.1666666666666665</v>
      </c>
    </row>
    <row r="8" spans="1:31">
      <c r="A8">
        <v>12</v>
      </c>
      <c r="B8" t="s">
        <v>87</v>
      </c>
      <c r="C8" t="s">
        <v>88</v>
      </c>
      <c r="D8" t="s">
        <v>89</v>
      </c>
      <c r="E8" s="27">
        <v>46083</v>
      </c>
      <c r="F8" s="28" t="s">
        <v>90</v>
      </c>
      <c r="G8" s="28" t="s">
        <v>55</v>
      </c>
      <c r="H8" s="28" t="s">
        <v>91</v>
      </c>
      <c r="I8" s="29">
        <v>82500</v>
      </c>
      <c r="J8" s="28" t="s">
        <v>92</v>
      </c>
      <c r="K8" s="30">
        <v>46222.625</v>
      </c>
      <c r="L8" s="28">
        <v>444</v>
      </c>
      <c r="M8" s="29">
        <v>1841</v>
      </c>
      <c r="N8" s="31">
        <v>7254</v>
      </c>
      <c r="O8" s="31">
        <v>12182.99</v>
      </c>
      <c r="P8" s="31">
        <v>17494.61</v>
      </c>
      <c r="Q8" s="29">
        <v>1120</v>
      </c>
      <c r="R8" s="29">
        <v>39694</v>
      </c>
      <c r="S8" s="29">
        <v>107540</v>
      </c>
      <c r="T8" s="28">
        <v>0</v>
      </c>
      <c r="U8" s="28">
        <v>3</v>
      </c>
      <c r="V8" s="28">
        <v>11</v>
      </c>
      <c r="W8" s="30">
        <v>46275.625</v>
      </c>
      <c r="X8" s="32"/>
      <c r="Y8" s="28">
        <v>0</v>
      </c>
      <c r="Z8" s="33">
        <v>108287</v>
      </c>
      <c r="AA8">
        <v>4928.99</v>
      </c>
      <c r="AB8" s="18">
        <v>0.67948580093741384</v>
      </c>
      <c r="AC8" s="19">
        <v>1.6794858009374138</v>
      </c>
      <c r="AD8" s="19">
        <v>0</v>
      </c>
      <c r="AE8" s="19">
        <v>0.63636363636363635</v>
      </c>
    </row>
    <row r="9" spans="1:31">
      <c r="A9">
        <v>13</v>
      </c>
      <c r="B9" t="s">
        <v>93</v>
      </c>
      <c r="C9" t="s">
        <v>94</v>
      </c>
      <c r="D9" t="s">
        <v>95</v>
      </c>
      <c r="E9" s="20">
        <v>46083</v>
      </c>
      <c r="F9" s="21" t="s">
        <v>96</v>
      </c>
      <c r="G9" s="21" t="s">
        <v>55</v>
      </c>
      <c r="H9" s="21" t="s">
        <v>74</v>
      </c>
      <c r="I9" s="22">
        <v>80000</v>
      </c>
      <c r="J9" s="21" t="s">
        <v>75</v>
      </c>
      <c r="K9" s="23">
        <v>46187.625</v>
      </c>
      <c r="L9" s="21">
        <v>535</v>
      </c>
      <c r="M9" s="22">
        <v>2181</v>
      </c>
      <c r="N9" s="24">
        <v>585</v>
      </c>
      <c r="O9" s="24">
        <v>1017.92</v>
      </c>
      <c r="P9" s="24">
        <v>1382.34</v>
      </c>
      <c r="Q9" s="21">
        <v>269</v>
      </c>
      <c r="R9" s="22">
        <v>7683</v>
      </c>
      <c r="S9" s="22">
        <v>19373</v>
      </c>
      <c r="T9" s="21">
        <v>12</v>
      </c>
      <c r="U9" s="21">
        <v>31</v>
      </c>
      <c r="V9" s="21">
        <v>59</v>
      </c>
      <c r="W9" s="23">
        <v>46275.583333333336</v>
      </c>
      <c r="X9" s="25"/>
      <c r="Y9" s="21">
        <v>0</v>
      </c>
      <c r="Z9" s="26">
        <v>19523</v>
      </c>
      <c r="AA9">
        <v>432.91999999999996</v>
      </c>
      <c r="AB9" s="18">
        <v>0.74003418803418797</v>
      </c>
      <c r="AC9" s="19">
        <v>1.7400341880341879</v>
      </c>
      <c r="AD9" s="19">
        <v>1.423728813559322</v>
      </c>
      <c r="AE9" s="19">
        <v>1.2259887005649719</v>
      </c>
    </row>
    <row r="10" spans="1:31">
      <c r="A10">
        <v>14</v>
      </c>
      <c r="B10" t="s">
        <v>97</v>
      </c>
      <c r="C10" t="s">
        <v>98</v>
      </c>
      <c r="D10" t="s">
        <v>95</v>
      </c>
      <c r="E10" s="27">
        <v>46083</v>
      </c>
      <c r="F10" s="28" t="s">
        <v>99</v>
      </c>
      <c r="G10" s="28" t="s">
        <v>55</v>
      </c>
      <c r="H10" s="28" t="s">
        <v>100</v>
      </c>
      <c r="I10" s="29">
        <v>52237</v>
      </c>
      <c r="J10" s="28" t="s">
        <v>101</v>
      </c>
      <c r="K10" s="30">
        <v>46187.875</v>
      </c>
      <c r="L10" s="28">
        <v>371</v>
      </c>
      <c r="M10" s="29">
        <v>1667</v>
      </c>
      <c r="N10" s="31">
        <v>214.49</v>
      </c>
      <c r="O10" s="31">
        <v>379.11</v>
      </c>
      <c r="P10" s="31">
        <v>763.7</v>
      </c>
      <c r="Q10" s="28">
        <v>183</v>
      </c>
      <c r="R10" s="29">
        <v>5430</v>
      </c>
      <c r="S10" s="29">
        <v>14112</v>
      </c>
      <c r="T10" s="28">
        <v>2</v>
      </c>
      <c r="U10" s="28">
        <v>7</v>
      </c>
      <c r="V10" s="28">
        <v>21</v>
      </c>
      <c r="W10" s="30">
        <v>46275.541666666664</v>
      </c>
      <c r="X10" s="32"/>
      <c r="Y10" s="28">
        <v>0</v>
      </c>
      <c r="Z10" s="33">
        <v>14225</v>
      </c>
      <c r="AA10">
        <v>164.62</v>
      </c>
      <c r="AB10" s="18">
        <v>0.76749498811133388</v>
      </c>
      <c r="AC10" s="19">
        <v>1.7674949881113338</v>
      </c>
      <c r="AD10" s="19">
        <v>0.66666666666666663</v>
      </c>
      <c r="AE10" s="19">
        <v>0.77777777777777779</v>
      </c>
    </row>
    <row r="11" spans="1:31">
      <c r="A11">
        <v>15</v>
      </c>
      <c r="B11" t="s">
        <v>102</v>
      </c>
      <c r="C11" t="s">
        <v>103</v>
      </c>
      <c r="D11" t="s">
        <v>104</v>
      </c>
      <c r="E11" s="20">
        <v>46083</v>
      </c>
      <c r="F11" s="21" t="s">
        <v>105</v>
      </c>
      <c r="G11" s="21" t="s">
        <v>55</v>
      </c>
      <c r="H11" s="21" t="s">
        <v>85</v>
      </c>
      <c r="I11" s="22">
        <v>76100</v>
      </c>
      <c r="J11" s="21" t="s">
        <v>86</v>
      </c>
      <c r="K11" s="23">
        <v>46188.75</v>
      </c>
      <c r="L11" s="21">
        <v>834</v>
      </c>
      <c r="M11" s="22">
        <v>3385</v>
      </c>
      <c r="N11" s="24">
        <v>293.48</v>
      </c>
      <c r="O11" s="24">
        <v>489.1</v>
      </c>
      <c r="P11" s="24">
        <v>765</v>
      </c>
      <c r="Q11" s="22">
        <v>1293</v>
      </c>
      <c r="R11" s="22">
        <v>32371</v>
      </c>
      <c r="S11" s="22">
        <v>76734</v>
      </c>
      <c r="T11" s="21">
        <v>3</v>
      </c>
      <c r="U11" s="21">
        <v>22</v>
      </c>
      <c r="V11" s="21">
        <v>47</v>
      </c>
      <c r="W11" s="23">
        <v>46275.625</v>
      </c>
      <c r="X11" s="25"/>
      <c r="Y11" s="21">
        <v>0</v>
      </c>
      <c r="Z11" s="26">
        <v>76903</v>
      </c>
      <c r="AA11">
        <v>195.62</v>
      </c>
      <c r="AB11" s="18">
        <v>0.66655308709281724</v>
      </c>
      <c r="AC11" s="19">
        <v>1.6665530870928171</v>
      </c>
      <c r="AD11" s="19">
        <v>0.44680851063829785</v>
      </c>
      <c r="AE11" s="19">
        <v>1.0921985815602837</v>
      </c>
    </row>
    <row r="12" spans="1:31">
      <c r="A12">
        <v>16</v>
      </c>
      <c r="B12" t="s">
        <v>106</v>
      </c>
      <c r="C12" t="s">
        <v>107</v>
      </c>
      <c r="D12" t="s">
        <v>104</v>
      </c>
      <c r="E12" s="27">
        <v>46083</v>
      </c>
      <c r="F12" s="28" t="s">
        <v>108</v>
      </c>
      <c r="G12" s="28" t="s">
        <v>55</v>
      </c>
      <c r="H12" s="28" t="s">
        <v>79</v>
      </c>
      <c r="I12" s="29">
        <v>71000</v>
      </c>
      <c r="J12" s="28" t="s">
        <v>80</v>
      </c>
      <c r="K12" s="30">
        <v>46188.5</v>
      </c>
      <c r="L12" s="28">
        <v>773</v>
      </c>
      <c r="M12" s="29">
        <v>3171</v>
      </c>
      <c r="N12" s="31">
        <v>377.51</v>
      </c>
      <c r="O12" s="31">
        <v>624</v>
      </c>
      <c r="P12" s="31">
        <v>980.04</v>
      </c>
      <c r="Q12" s="29">
        <v>1296</v>
      </c>
      <c r="R12" s="29">
        <v>31770</v>
      </c>
      <c r="S12" s="29">
        <v>74523</v>
      </c>
      <c r="T12" s="28">
        <v>7</v>
      </c>
      <c r="U12" s="28">
        <v>21</v>
      </c>
      <c r="V12" s="28">
        <v>49</v>
      </c>
      <c r="W12" s="30">
        <v>46275.625</v>
      </c>
      <c r="X12" s="32"/>
      <c r="Y12" s="28">
        <v>0</v>
      </c>
      <c r="Z12" s="33">
        <v>74670</v>
      </c>
      <c r="AA12">
        <v>246.49</v>
      </c>
      <c r="AB12" s="18">
        <v>0.65293634605705808</v>
      </c>
      <c r="AC12" s="19">
        <v>1.6529363460570581</v>
      </c>
      <c r="AD12" s="19">
        <v>1</v>
      </c>
      <c r="AE12" s="19">
        <v>1</v>
      </c>
    </row>
    <row r="13" spans="1:31">
      <c r="A13">
        <v>17</v>
      </c>
      <c r="B13" t="s">
        <v>109</v>
      </c>
      <c r="C13" t="s">
        <v>110</v>
      </c>
      <c r="D13" t="s">
        <v>111</v>
      </c>
      <c r="E13" s="20">
        <v>46083</v>
      </c>
      <c r="F13" s="21" t="s">
        <v>112</v>
      </c>
      <c r="G13" s="21" t="s">
        <v>55</v>
      </c>
      <c r="H13" s="21" t="s">
        <v>113</v>
      </c>
      <c r="I13" s="22">
        <v>70240</v>
      </c>
      <c r="J13" s="21" t="s">
        <v>114</v>
      </c>
      <c r="K13" s="23">
        <v>46188.75</v>
      </c>
      <c r="L13" s="21">
        <v>911</v>
      </c>
      <c r="M13" s="22">
        <v>3619</v>
      </c>
      <c r="N13" s="24">
        <v>294</v>
      </c>
      <c r="O13" s="24">
        <v>568.78</v>
      </c>
      <c r="P13" s="24">
        <v>949</v>
      </c>
      <c r="Q13" s="21">
        <v>209</v>
      </c>
      <c r="R13" s="22">
        <v>7013</v>
      </c>
      <c r="S13" s="22">
        <v>24868</v>
      </c>
      <c r="T13" s="21">
        <v>3</v>
      </c>
      <c r="U13" s="21">
        <v>13</v>
      </c>
      <c r="V13" s="21">
        <v>27</v>
      </c>
      <c r="W13" s="23">
        <v>46275.5</v>
      </c>
      <c r="X13" s="25"/>
      <c r="Y13" s="21">
        <v>0</v>
      </c>
      <c r="Z13" s="26">
        <v>25039</v>
      </c>
      <c r="AA13">
        <v>274.77999999999997</v>
      </c>
      <c r="AB13" s="18">
        <v>0.93462585034013601</v>
      </c>
      <c r="AC13" s="19">
        <v>1.9346258503401359</v>
      </c>
      <c r="AD13" s="19">
        <v>0.77777777777777779</v>
      </c>
      <c r="AE13" s="19">
        <v>1.1234567901234567</v>
      </c>
    </row>
    <row r="14" spans="1:31">
      <c r="A14">
        <v>18</v>
      </c>
      <c r="B14" t="s">
        <v>115</v>
      </c>
      <c r="C14" t="s">
        <v>116</v>
      </c>
      <c r="D14" t="s">
        <v>111</v>
      </c>
      <c r="E14" s="27">
        <v>46083</v>
      </c>
      <c r="F14" s="28" t="s">
        <v>117</v>
      </c>
      <c r="G14" s="28" t="s">
        <v>55</v>
      </c>
      <c r="H14" s="28" t="s">
        <v>118</v>
      </c>
      <c r="I14" s="29">
        <v>67000</v>
      </c>
      <c r="J14" s="28" t="s">
        <v>119</v>
      </c>
      <c r="K14" s="30">
        <v>46188.5</v>
      </c>
      <c r="L14" s="28">
        <v>610</v>
      </c>
      <c r="M14" s="29">
        <v>2483</v>
      </c>
      <c r="N14" s="31">
        <v>387</v>
      </c>
      <c r="O14" s="31">
        <v>655.16999999999996</v>
      </c>
      <c r="P14" s="31">
        <v>965.7</v>
      </c>
      <c r="Q14" s="28">
        <v>229</v>
      </c>
      <c r="R14" s="29">
        <v>7318</v>
      </c>
      <c r="S14" s="29">
        <v>17999</v>
      </c>
      <c r="T14" s="28">
        <v>3</v>
      </c>
      <c r="U14" s="28">
        <v>13</v>
      </c>
      <c r="V14" s="28">
        <v>37</v>
      </c>
      <c r="W14" s="30">
        <v>46275.5</v>
      </c>
      <c r="X14" s="32"/>
      <c r="Y14" s="28">
        <v>0</v>
      </c>
      <c r="Z14" s="33">
        <v>18152</v>
      </c>
      <c r="AA14">
        <v>268.16999999999996</v>
      </c>
      <c r="AB14" s="18">
        <v>0.69294573643410839</v>
      </c>
      <c r="AC14" s="19">
        <v>1.6929457364341085</v>
      </c>
      <c r="AD14" s="19">
        <v>0.56756756756756754</v>
      </c>
      <c r="AE14" s="19">
        <v>0.81981981981981977</v>
      </c>
    </row>
    <row r="15" spans="1:31">
      <c r="A15">
        <v>19</v>
      </c>
      <c r="B15" t="s">
        <v>120</v>
      </c>
      <c r="C15" t="s">
        <v>121</v>
      </c>
      <c r="D15" t="s">
        <v>122</v>
      </c>
      <c r="E15" s="20">
        <v>46083</v>
      </c>
      <c r="F15" s="21" t="s">
        <v>123</v>
      </c>
      <c r="G15" s="21" t="s">
        <v>55</v>
      </c>
      <c r="H15" s="21" t="s">
        <v>91</v>
      </c>
      <c r="I15" s="22">
        <v>82500</v>
      </c>
      <c r="J15" s="21" t="s">
        <v>92</v>
      </c>
      <c r="K15" s="23">
        <v>46189.625</v>
      </c>
      <c r="L15" s="21">
        <v>724</v>
      </c>
      <c r="M15" s="22">
        <v>3060</v>
      </c>
      <c r="N15" s="24">
        <v>542.96</v>
      </c>
      <c r="O15" s="24">
        <v>944.4</v>
      </c>
      <c r="P15" s="24">
        <v>1456.92</v>
      </c>
      <c r="Q15" s="22">
        <v>1331</v>
      </c>
      <c r="R15" s="22">
        <v>33581</v>
      </c>
      <c r="S15" s="22">
        <v>80492</v>
      </c>
      <c r="T15" s="21">
        <v>9</v>
      </c>
      <c r="U15" s="21">
        <v>25</v>
      </c>
      <c r="V15" s="21">
        <v>61</v>
      </c>
      <c r="W15" s="23">
        <v>46275.625</v>
      </c>
      <c r="X15" s="25"/>
      <c r="Y15" s="21">
        <v>0</v>
      </c>
      <c r="Z15" s="26">
        <v>80718</v>
      </c>
      <c r="AA15">
        <v>401.43999999999994</v>
      </c>
      <c r="AB15" s="18">
        <v>0.73935464859289801</v>
      </c>
      <c r="AC15" s="19">
        <v>1.7393546485928981</v>
      </c>
      <c r="AD15" s="19">
        <v>1.0327868852459017</v>
      </c>
      <c r="AE15" s="19">
        <v>0.95628415300546465</v>
      </c>
    </row>
    <row r="16" spans="1:31">
      <c r="A16">
        <v>20</v>
      </c>
      <c r="B16" t="s">
        <v>124</v>
      </c>
      <c r="C16" t="s">
        <v>125</v>
      </c>
      <c r="D16" t="s">
        <v>122</v>
      </c>
      <c r="E16" s="27">
        <v>46083</v>
      </c>
      <c r="F16" s="28" t="s">
        <v>126</v>
      </c>
      <c r="G16" s="28" t="s">
        <v>55</v>
      </c>
      <c r="H16" s="28" t="s">
        <v>127</v>
      </c>
      <c r="I16" s="29">
        <v>68756</v>
      </c>
      <c r="J16" s="28" t="s">
        <v>128</v>
      </c>
      <c r="K16" s="30">
        <v>46189.75</v>
      </c>
      <c r="L16" s="28">
        <v>606</v>
      </c>
      <c r="M16" s="29">
        <v>2642</v>
      </c>
      <c r="N16" s="31">
        <v>461.44</v>
      </c>
      <c r="O16" s="31">
        <v>680.19</v>
      </c>
      <c r="P16" s="31">
        <v>1106.9000000000001</v>
      </c>
      <c r="Q16" s="28">
        <v>211</v>
      </c>
      <c r="R16" s="29">
        <v>6759</v>
      </c>
      <c r="S16" s="29">
        <v>16319</v>
      </c>
      <c r="T16" s="28">
        <v>4</v>
      </c>
      <c r="U16" s="28">
        <v>10</v>
      </c>
      <c r="V16" s="28">
        <v>17</v>
      </c>
      <c r="W16" s="30">
        <v>46275.625</v>
      </c>
      <c r="X16" s="32"/>
      <c r="Y16" s="28">
        <v>0</v>
      </c>
      <c r="Z16" s="33">
        <v>16440</v>
      </c>
      <c r="AA16">
        <v>218.75000000000006</v>
      </c>
      <c r="AB16" s="18">
        <v>0.47405946601941762</v>
      </c>
      <c r="AC16" s="19">
        <v>1.4740594660194175</v>
      </c>
      <c r="AD16" s="19">
        <v>1.6470588235294119</v>
      </c>
      <c r="AE16" s="19">
        <v>1.3725490196078434</v>
      </c>
    </row>
    <row r="17" spans="1:31">
      <c r="A17">
        <v>21</v>
      </c>
      <c r="B17" t="s">
        <v>129</v>
      </c>
      <c r="C17" t="s">
        <v>130</v>
      </c>
      <c r="D17" t="s">
        <v>131</v>
      </c>
      <c r="E17" s="20">
        <v>46083</v>
      </c>
      <c r="F17" s="21" t="s">
        <v>132</v>
      </c>
      <c r="G17" s="21" t="s">
        <v>55</v>
      </c>
      <c r="H17" s="21" t="s">
        <v>68</v>
      </c>
      <c r="I17" s="22">
        <v>76416</v>
      </c>
      <c r="J17" s="21" t="s">
        <v>69</v>
      </c>
      <c r="K17" s="23">
        <v>46189.833333333336</v>
      </c>
      <c r="L17" s="21">
        <v>749</v>
      </c>
      <c r="M17" s="22">
        <v>3115</v>
      </c>
      <c r="N17" s="24">
        <v>693</v>
      </c>
      <c r="O17" s="24">
        <v>1119.6400000000001</v>
      </c>
      <c r="P17" s="24">
        <v>1982.7</v>
      </c>
      <c r="Q17" s="21">
        <v>255</v>
      </c>
      <c r="R17" s="22">
        <v>7601</v>
      </c>
      <c r="S17" s="22">
        <v>36909</v>
      </c>
      <c r="T17" s="21">
        <v>6</v>
      </c>
      <c r="U17" s="21">
        <v>20</v>
      </c>
      <c r="V17" s="21">
        <v>50</v>
      </c>
      <c r="W17" s="23">
        <v>46275.583333333336</v>
      </c>
      <c r="X17" s="25"/>
      <c r="Y17" s="21">
        <v>0</v>
      </c>
      <c r="Z17" s="26">
        <v>37047</v>
      </c>
      <c r="AA17">
        <v>426.6400000000001</v>
      </c>
      <c r="AB17" s="18">
        <v>0.61564213564213577</v>
      </c>
      <c r="AC17" s="19">
        <v>1.6156421356421358</v>
      </c>
      <c r="AD17" s="19">
        <v>0.84</v>
      </c>
      <c r="AE17" s="19">
        <v>0.93333333333333335</v>
      </c>
    </row>
    <row r="18" spans="1:31">
      <c r="A18">
        <v>22</v>
      </c>
      <c r="B18" t="s">
        <v>133</v>
      </c>
      <c r="C18" t="s">
        <v>124</v>
      </c>
      <c r="D18" t="s">
        <v>53</v>
      </c>
      <c r="E18" s="27">
        <v>46083</v>
      </c>
      <c r="F18" s="28" t="s">
        <v>134</v>
      </c>
      <c r="G18" s="28" t="s">
        <v>55</v>
      </c>
      <c r="H18" s="28" t="s">
        <v>135</v>
      </c>
      <c r="I18" s="29">
        <v>49800</v>
      </c>
      <c r="J18" s="28" t="s">
        <v>136</v>
      </c>
      <c r="K18" s="30">
        <v>46184.875</v>
      </c>
      <c r="L18" s="28">
        <v>340</v>
      </c>
      <c r="M18" s="29">
        <v>1832</v>
      </c>
      <c r="N18" s="31">
        <v>364.32</v>
      </c>
      <c r="O18" s="31">
        <v>660</v>
      </c>
      <c r="P18" s="31">
        <v>1230.1099999999999</v>
      </c>
      <c r="Q18" s="29">
        <v>1321</v>
      </c>
      <c r="R18" s="29">
        <v>32685</v>
      </c>
      <c r="S18" s="29">
        <v>77060</v>
      </c>
      <c r="T18" s="28">
        <v>3</v>
      </c>
      <c r="U18" s="28">
        <v>9</v>
      </c>
      <c r="V18" s="28">
        <v>15</v>
      </c>
      <c r="W18" s="30">
        <v>46275.541666666664</v>
      </c>
      <c r="X18" s="32"/>
      <c r="Y18" s="28">
        <v>0</v>
      </c>
      <c r="Z18" s="33">
        <v>77242</v>
      </c>
      <c r="AA18">
        <v>295.68</v>
      </c>
      <c r="AB18" s="18">
        <v>0.81159420289855078</v>
      </c>
      <c r="AC18" s="19">
        <v>1.8115942028985508</v>
      </c>
      <c r="AD18" s="19">
        <v>1.4000000000000001</v>
      </c>
      <c r="AE18" s="19">
        <v>1.4000000000000001</v>
      </c>
    </row>
    <row r="19" spans="1:31">
      <c r="A19">
        <v>23</v>
      </c>
      <c r="B19" t="s">
        <v>137</v>
      </c>
      <c r="C19" t="s">
        <v>138</v>
      </c>
      <c r="D19" t="s">
        <v>131</v>
      </c>
      <c r="E19" s="20">
        <v>46083</v>
      </c>
      <c r="F19" s="21" t="s">
        <v>139</v>
      </c>
      <c r="G19" s="21" t="s">
        <v>55</v>
      </c>
      <c r="H19" s="21" t="s">
        <v>140</v>
      </c>
      <c r="I19" s="22">
        <v>75000</v>
      </c>
      <c r="J19" s="21" t="s">
        <v>141</v>
      </c>
      <c r="K19" s="23">
        <v>46189.875</v>
      </c>
      <c r="L19" s="21">
        <v>711</v>
      </c>
      <c r="M19" s="22">
        <v>2824</v>
      </c>
      <c r="N19" s="24">
        <v>221.12</v>
      </c>
      <c r="O19" s="24">
        <v>490</v>
      </c>
      <c r="P19" s="24">
        <v>800</v>
      </c>
      <c r="Q19" s="21">
        <v>218</v>
      </c>
      <c r="R19" s="22">
        <v>7038</v>
      </c>
      <c r="S19" s="22">
        <v>15076</v>
      </c>
      <c r="T19" s="21">
        <v>3</v>
      </c>
      <c r="U19" s="21">
        <v>11</v>
      </c>
      <c r="V19" s="21">
        <v>31</v>
      </c>
      <c r="W19" s="23">
        <v>46275.5</v>
      </c>
      <c r="X19" s="25"/>
      <c r="Y19" s="21">
        <v>0</v>
      </c>
      <c r="Z19" s="26">
        <v>15174</v>
      </c>
      <c r="AA19">
        <v>268.88</v>
      </c>
      <c r="AB19" s="18">
        <v>1.2159913169319825</v>
      </c>
      <c r="AC19" s="19">
        <v>2.2159913169319827</v>
      </c>
      <c r="AD19" s="19">
        <v>0.67741935483870963</v>
      </c>
      <c r="AE19" s="19">
        <v>0.82795698924731176</v>
      </c>
    </row>
    <row r="20" spans="1:31">
      <c r="A20">
        <v>24</v>
      </c>
      <c r="B20" t="s">
        <v>142</v>
      </c>
      <c r="C20" t="s">
        <v>143</v>
      </c>
      <c r="D20" t="s">
        <v>144</v>
      </c>
      <c r="E20" s="27">
        <v>46083</v>
      </c>
      <c r="F20" s="28" t="s">
        <v>145</v>
      </c>
      <c r="G20" s="28" t="s">
        <v>55</v>
      </c>
      <c r="H20" s="28" t="s">
        <v>146</v>
      </c>
      <c r="I20" s="29">
        <v>30000</v>
      </c>
      <c r="J20" s="28" t="s">
        <v>147</v>
      </c>
      <c r="K20" s="30">
        <v>46190.791666666664</v>
      </c>
      <c r="L20" s="28">
        <v>390</v>
      </c>
      <c r="M20" s="29">
        <v>1725</v>
      </c>
      <c r="N20" s="31">
        <v>420.85</v>
      </c>
      <c r="O20" s="31">
        <v>637.04</v>
      </c>
      <c r="P20" s="31">
        <v>1015.73</v>
      </c>
      <c r="Q20" s="28">
        <v>221</v>
      </c>
      <c r="R20" s="29">
        <v>7566</v>
      </c>
      <c r="S20" s="29">
        <v>18152</v>
      </c>
      <c r="T20" s="28">
        <v>2</v>
      </c>
      <c r="U20" s="28">
        <v>11</v>
      </c>
      <c r="V20" s="28">
        <v>24</v>
      </c>
      <c r="W20" s="30">
        <v>46275.5</v>
      </c>
      <c r="X20" s="32"/>
      <c r="Y20" s="28">
        <v>0</v>
      </c>
      <c r="Z20" s="33">
        <v>18290</v>
      </c>
      <c r="AA20">
        <v>216.18999999999994</v>
      </c>
      <c r="AB20" s="18">
        <v>0.51369846738743008</v>
      </c>
      <c r="AC20" s="19">
        <v>1.5136984673874301</v>
      </c>
      <c r="AD20" s="19">
        <v>0.58333333333333337</v>
      </c>
      <c r="AE20" s="19">
        <v>1.0694444444444444</v>
      </c>
    </row>
    <row r="21" spans="1:31">
      <c r="A21">
        <v>25</v>
      </c>
      <c r="B21" t="s">
        <v>148</v>
      </c>
      <c r="C21" t="s">
        <v>149</v>
      </c>
      <c r="D21" t="s">
        <v>144</v>
      </c>
      <c r="E21" s="20">
        <v>46083</v>
      </c>
      <c r="F21" s="21" t="s">
        <v>150</v>
      </c>
      <c r="G21" s="21" t="s">
        <v>55</v>
      </c>
      <c r="H21" s="21" t="s">
        <v>74</v>
      </c>
      <c r="I21" s="22">
        <v>80000</v>
      </c>
      <c r="J21" s="21" t="s">
        <v>75</v>
      </c>
      <c r="K21" s="23">
        <v>46190.625</v>
      </c>
      <c r="L21" s="21">
        <v>650</v>
      </c>
      <c r="M21" s="22">
        <v>3313</v>
      </c>
      <c r="N21" s="24">
        <v>893.31</v>
      </c>
      <c r="O21" s="24">
        <v>1677.6</v>
      </c>
      <c r="P21" s="24">
        <v>3420</v>
      </c>
      <c r="Q21" s="22">
        <v>1049</v>
      </c>
      <c r="R21" s="22">
        <v>27690</v>
      </c>
      <c r="S21" s="22">
        <v>63786</v>
      </c>
      <c r="T21" s="21">
        <v>3</v>
      </c>
      <c r="U21" s="21">
        <v>11</v>
      </c>
      <c r="V21" s="21">
        <v>33</v>
      </c>
      <c r="W21" s="23">
        <v>46275.583333333336</v>
      </c>
      <c r="X21" s="25"/>
      <c r="Y21" s="21">
        <v>0</v>
      </c>
      <c r="Z21" s="26">
        <v>63932</v>
      </c>
      <c r="AA21">
        <v>784.29</v>
      </c>
      <c r="AB21" s="18">
        <v>0.87795949894213654</v>
      </c>
      <c r="AC21" s="19">
        <v>1.8779594989421367</v>
      </c>
      <c r="AD21" s="19">
        <v>0.63636363636363635</v>
      </c>
      <c r="AE21" s="19">
        <v>0.77777777777777768</v>
      </c>
    </row>
    <row r="22" spans="1:31">
      <c r="A22">
        <v>26</v>
      </c>
      <c r="B22" t="s">
        <v>151</v>
      </c>
      <c r="C22" t="s">
        <v>124</v>
      </c>
      <c r="D22" t="s">
        <v>152</v>
      </c>
      <c r="E22" s="27">
        <v>46083</v>
      </c>
      <c r="F22" s="28" t="s">
        <v>153</v>
      </c>
      <c r="G22" s="28" t="s">
        <v>55</v>
      </c>
      <c r="H22" s="28" t="s">
        <v>62</v>
      </c>
      <c r="I22" s="29">
        <v>71500</v>
      </c>
      <c r="J22" s="28" t="s">
        <v>63</v>
      </c>
      <c r="K22" s="30">
        <v>46190.5</v>
      </c>
      <c r="L22" s="28">
        <v>836</v>
      </c>
      <c r="M22" s="29">
        <v>3473</v>
      </c>
      <c r="N22" s="31">
        <v>545.80999999999995</v>
      </c>
      <c r="O22" s="31">
        <v>919.77</v>
      </c>
      <c r="P22" s="31">
        <v>1499.5</v>
      </c>
      <c r="Q22" s="29">
        <v>1327</v>
      </c>
      <c r="R22" s="29">
        <v>33254</v>
      </c>
      <c r="S22" s="29">
        <v>79074</v>
      </c>
      <c r="T22" s="28">
        <v>3</v>
      </c>
      <c r="U22" s="28">
        <v>12</v>
      </c>
      <c r="V22" s="28">
        <v>37</v>
      </c>
      <c r="W22" s="30">
        <v>46275.583333333336</v>
      </c>
      <c r="X22" s="32"/>
      <c r="Y22" s="28">
        <v>0</v>
      </c>
      <c r="Z22" s="33">
        <v>79262</v>
      </c>
      <c r="AA22">
        <v>373.96000000000004</v>
      </c>
      <c r="AB22" s="18">
        <v>0.68514684597204167</v>
      </c>
      <c r="AC22" s="19">
        <v>1.6851468459720418</v>
      </c>
      <c r="AD22" s="19">
        <v>0.56756756756756754</v>
      </c>
      <c r="AE22" s="19">
        <v>0.7567567567567568</v>
      </c>
    </row>
    <row r="23" spans="1:31">
      <c r="A23">
        <v>27</v>
      </c>
      <c r="B23" t="s">
        <v>154</v>
      </c>
      <c r="C23" t="s">
        <v>155</v>
      </c>
      <c r="D23" t="s">
        <v>152</v>
      </c>
      <c r="E23" s="20">
        <v>46083</v>
      </c>
      <c r="F23" s="21" t="s">
        <v>156</v>
      </c>
      <c r="G23" s="21" t="s">
        <v>55</v>
      </c>
      <c r="H23" s="21" t="s">
        <v>56</v>
      </c>
      <c r="I23" s="22">
        <v>98500</v>
      </c>
      <c r="J23" s="21" t="s">
        <v>57</v>
      </c>
      <c r="K23" s="23">
        <v>46190.875</v>
      </c>
      <c r="L23" s="21">
        <v>393</v>
      </c>
      <c r="M23" s="22">
        <v>1798</v>
      </c>
      <c r="N23" s="24">
        <v>614.38</v>
      </c>
      <c r="O23" s="24">
        <v>887.25</v>
      </c>
      <c r="P23" s="24">
        <v>1232</v>
      </c>
      <c r="Q23" s="22">
        <v>1277</v>
      </c>
      <c r="R23" s="22">
        <v>30705</v>
      </c>
      <c r="S23" s="22">
        <v>71849</v>
      </c>
      <c r="T23" s="21">
        <v>5</v>
      </c>
      <c r="U23" s="21">
        <v>14</v>
      </c>
      <c r="V23" s="21">
        <v>47</v>
      </c>
      <c r="W23" s="23">
        <v>46275.541666666664</v>
      </c>
      <c r="X23" s="25"/>
      <c r="Y23" s="21">
        <v>0</v>
      </c>
      <c r="Z23" s="26">
        <v>71972</v>
      </c>
      <c r="AA23">
        <v>272.87</v>
      </c>
      <c r="AB23" s="18">
        <v>0.4441388066017774</v>
      </c>
      <c r="AC23" s="19">
        <v>1.4441388066017775</v>
      </c>
      <c r="AD23" s="19">
        <v>0.74468085106382975</v>
      </c>
      <c r="AE23" s="19">
        <v>0.69503546099290781</v>
      </c>
    </row>
    <row r="24" spans="1:31">
      <c r="A24">
        <v>28</v>
      </c>
      <c r="B24" t="s">
        <v>124</v>
      </c>
      <c r="C24" t="s">
        <v>52</v>
      </c>
      <c r="D24" t="s">
        <v>53</v>
      </c>
      <c r="E24" s="27">
        <v>46083</v>
      </c>
      <c r="F24" s="28" t="s">
        <v>157</v>
      </c>
      <c r="G24" s="28" t="s">
        <v>55</v>
      </c>
      <c r="H24" s="28" t="s">
        <v>79</v>
      </c>
      <c r="I24" s="29">
        <v>71000</v>
      </c>
      <c r="J24" s="28" t="s">
        <v>80</v>
      </c>
      <c r="K24" s="30">
        <v>46191.5</v>
      </c>
      <c r="L24" s="28">
        <v>604</v>
      </c>
      <c r="M24" s="29">
        <v>2621</v>
      </c>
      <c r="N24" s="31">
        <v>249.9</v>
      </c>
      <c r="O24" s="31">
        <v>506.37</v>
      </c>
      <c r="P24" s="31">
        <v>927.13</v>
      </c>
      <c r="Q24" s="29">
        <v>1226</v>
      </c>
      <c r="R24" s="29">
        <v>30090</v>
      </c>
      <c r="S24" s="29">
        <v>70177</v>
      </c>
      <c r="T24" s="28">
        <v>2</v>
      </c>
      <c r="U24" s="28">
        <v>7</v>
      </c>
      <c r="V24" s="28">
        <v>27</v>
      </c>
      <c r="W24" s="30">
        <v>46275.625</v>
      </c>
      <c r="X24" s="32"/>
      <c r="Y24" s="28">
        <v>0</v>
      </c>
      <c r="Z24" s="33">
        <v>70279</v>
      </c>
      <c r="AA24">
        <v>256.47000000000003</v>
      </c>
      <c r="AB24" s="18">
        <v>1.0262905162064826</v>
      </c>
      <c r="AC24" s="19">
        <v>2.0262905162064824</v>
      </c>
      <c r="AD24" s="19">
        <v>0.51851851851851849</v>
      </c>
      <c r="AE24" s="19">
        <v>0.60493827160493829</v>
      </c>
    </row>
    <row r="25" spans="1:31">
      <c r="A25">
        <v>29</v>
      </c>
      <c r="B25" t="s">
        <v>158</v>
      </c>
      <c r="C25" t="s">
        <v>124</v>
      </c>
      <c r="D25" t="s">
        <v>159</v>
      </c>
      <c r="E25" s="20">
        <v>46083</v>
      </c>
      <c r="F25" s="21" t="s">
        <v>160</v>
      </c>
      <c r="G25" s="21" t="s">
        <v>55</v>
      </c>
      <c r="H25" s="21" t="s">
        <v>113</v>
      </c>
      <c r="I25" s="22">
        <v>70240</v>
      </c>
      <c r="J25" s="21" t="s">
        <v>114</v>
      </c>
      <c r="K25" s="23">
        <v>46191.5</v>
      </c>
      <c r="L25" s="21">
        <v>672</v>
      </c>
      <c r="M25" s="22">
        <v>2909</v>
      </c>
      <c r="N25" s="24">
        <v>451.1</v>
      </c>
      <c r="O25" s="24">
        <v>732.25</v>
      </c>
      <c r="P25" s="24">
        <v>1222.44</v>
      </c>
      <c r="Q25" s="21">
        <v>152</v>
      </c>
      <c r="R25" s="22">
        <v>9562</v>
      </c>
      <c r="S25" s="22">
        <v>39692</v>
      </c>
      <c r="T25" s="21">
        <v>2</v>
      </c>
      <c r="U25" s="21">
        <v>11</v>
      </c>
      <c r="V25" s="21">
        <v>22</v>
      </c>
      <c r="W25" s="23">
        <v>46275.5</v>
      </c>
      <c r="X25" s="25"/>
      <c r="Y25" s="21">
        <v>0</v>
      </c>
      <c r="Z25" s="26">
        <v>39805</v>
      </c>
      <c r="AA25">
        <v>281.14999999999998</v>
      </c>
      <c r="AB25" s="18">
        <v>0.62325426734648626</v>
      </c>
      <c r="AC25" s="19">
        <v>1.6232542673464863</v>
      </c>
      <c r="AD25" s="19">
        <v>0.63636363636363635</v>
      </c>
      <c r="AE25" s="19">
        <v>1.1666666666666667</v>
      </c>
    </row>
    <row r="26" spans="1:31">
      <c r="A26">
        <v>30</v>
      </c>
      <c r="B26" t="s">
        <v>161</v>
      </c>
      <c r="C26" t="s">
        <v>162</v>
      </c>
      <c r="D26" t="s">
        <v>159</v>
      </c>
      <c r="E26" s="27">
        <v>46083</v>
      </c>
      <c r="F26" s="28" t="s">
        <v>163</v>
      </c>
      <c r="G26" s="28" t="s">
        <v>55</v>
      </c>
      <c r="H26" s="28" t="s">
        <v>164</v>
      </c>
      <c r="I26" s="29">
        <v>54500</v>
      </c>
      <c r="J26" s="28" t="s">
        <v>165</v>
      </c>
      <c r="K26" s="30">
        <v>46191.625</v>
      </c>
      <c r="L26" s="28">
        <v>505</v>
      </c>
      <c r="M26" s="29">
        <v>2293</v>
      </c>
      <c r="N26" s="31">
        <v>493.47</v>
      </c>
      <c r="O26" s="31">
        <v>881.19</v>
      </c>
      <c r="P26" s="31">
        <v>1350</v>
      </c>
      <c r="Q26" s="29">
        <v>1253</v>
      </c>
      <c r="R26" s="29">
        <v>30482</v>
      </c>
      <c r="S26" s="29">
        <v>71615</v>
      </c>
      <c r="T26" s="28">
        <v>4</v>
      </c>
      <c r="U26" s="28">
        <v>8</v>
      </c>
      <c r="V26" s="28">
        <v>19</v>
      </c>
      <c r="W26" s="30">
        <v>46275.375</v>
      </c>
      <c r="X26" s="32"/>
      <c r="Y26" s="28">
        <v>0</v>
      </c>
      <c r="Z26" s="33">
        <v>71722</v>
      </c>
      <c r="AA26">
        <v>387.72</v>
      </c>
      <c r="AB26" s="18">
        <v>0.78570125843516325</v>
      </c>
      <c r="AC26" s="19">
        <v>1.7857012584351633</v>
      </c>
      <c r="AD26" s="19">
        <v>1.4736842105263157</v>
      </c>
      <c r="AE26" s="19">
        <v>0.98245614035087714</v>
      </c>
    </row>
    <row r="27" spans="1:31">
      <c r="A27">
        <v>31</v>
      </c>
      <c r="B27" t="s">
        <v>51</v>
      </c>
      <c r="C27" t="s">
        <v>133</v>
      </c>
      <c r="D27" t="s">
        <v>53</v>
      </c>
      <c r="E27" s="20">
        <v>46083</v>
      </c>
      <c r="F27" s="21" t="s">
        <v>166</v>
      </c>
      <c r="G27" s="21" t="s">
        <v>55</v>
      </c>
      <c r="H27" s="21" t="s">
        <v>135</v>
      </c>
      <c r="I27" s="22">
        <v>49800</v>
      </c>
      <c r="J27" s="21" t="s">
        <v>136</v>
      </c>
      <c r="K27" s="23">
        <v>46191.833333333336</v>
      </c>
      <c r="L27" s="21">
        <v>380</v>
      </c>
      <c r="M27" s="22">
        <v>2501</v>
      </c>
      <c r="N27" s="24">
        <v>1552.64</v>
      </c>
      <c r="O27" s="24">
        <v>2688.75</v>
      </c>
      <c r="P27" s="24">
        <v>4696.84</v>
      </c>
      <c r="Q27" s="21">
        <v>257</v>
      </c>
      <c r="R27" s="22">
        <v>7705</v>
      </c>
      <c r="S27" s="22">
        <v>18757</v>
      </c>
      <c r="T27" s="21">
        <v>2</v>
      </c>
      <c r="U27" s="21">
        <v>3</v>
      </c>
      <c r="V27" s="21">
        <v>12</v>
      </c>
      <c r="W27" s="23">
        <v>46275.541666666664</v>
      </c>
      <c r="X27" s="25"/>
      <c r="Y27" s="21">
        <v>0</v>
      </c>
      <c r="Z27" s="26">
        <v>18900</v>
      </c>
      <c r="AA27">
        <v>1136.1099999999999</v>
      </c>
      <c r="AB27" s="18">
        <v>0.73172789571310792</v>
      </c>
      <c r="AC27" s="19">
        <v>1.7317278957131079</v>
      </c>
      <c r="AD27" s="19">
        <v>1.1666666666666667</v>
      </c>
      <c r="AE27" s="19">
        <v>0.58333333333333337</v>
      </c>
    </row>
    <row r="28" spans="1:31">
      <c r="A28">
        <v>32</v>
      </c>
      <c r="B28" t="s">
        <v>167</v>
      </c>
      <c r="C28" t="s">
        <v>168</v>
      </c>
      <c r="D28" t="s">
        <v>169</v>
      </c>
      <c r="E28" s="27">
        <v>46083</v>
      </c>
      <c r="F28" s="28" t="s">
        <v>170</v>
      </c>
      <c r="G28" s="28" t="s">
        <v>55</v>
      </c>
      <c r="H28" s="28" t="s">
        <v>171</v>
      </c>
      <c r="I28" s="29">
        <v>69176</v>
      </c>
      <c r="J28" s="28" t="s">
        <v>172</v>
      </c>
      <c r="K28" s="30">
        <v>46192.875</v>
      </c>
      <c r="L28" s="28">
        <v>711</v>
      </c>
      <c r="M28" s="29">
        <v>3234</v>
      </c>
      <c r="N28" s="31">
        <v>714.34</v>
      </c>
      <c r="O28" s="31">
        <v>1097.4000000000001</v>
      </c>
      <c r="P28" s="31">
        <v>1564.54</v>
      </c>
      <c r="Q28" s="29">
        <v>1343</v>
      </c>
      <c r="R28" s="29">
        <v>33442</v>
      </c>
      <c r="S28" s="29">
        <v>78886</v>
      </c>
      <c r="T28" s="28">
        <v>10</v>
      </c>
      <c r="U28" s="28">
        <v>20</v>
      </c>
      <c r="V28" s="28">
        <v>38</v>
      </c>
      <c r="W28" s="30">
        <v>46275.625</v>
      </c>
      <c r="X28" s="32"/>
      <c r="Y28" s="28">
        <v>0</v>
      </c>
      <c r="Z28" s="33">
        <v>79096</v>
      </c>
      <c r="AA28">
        <v>383.06000000000006</v>
      </c>
      <c r="AB28" s="18">
        <v>0.53624324551334102</v>
      </c>
      <c r="AC28" s="19">
        <v>1.536243245513341</v>
      </c>
      <c r="AD28" s="19">
        <v>1.8421052631578947</v>
      </c>
      <c r="AE28" s="19">
        <v>1.2280701754385965</v>
      </c>
    </row>
    <row r="29" spans="1:31">
      <c r="A29">
        <v>33</v>
      </c>
      <c r="B29" t="s">
        <v>161</v>
      </c>
      <c r="C29" t="s">
        <v>124</v>
      </c>
      <c r="D29" t="s">
        <v>159</v>
      </c>
      <c r="E29" s="20">
        <v>46083</v>
      </c>
      <c r="F29" s="21" t="s">
        <v>173</v>
      </c>
      <c r="G29" s="21" t="s">
        <v>55</v>
      </c>
      <c r="H29" s="21" t="s">
        <v>146</v>
      </c>
      <c r="I29" s="22">
        <v>30000</v>
      </c>
      <c r="J29" s="21" t="s">
        <v>147</v>
      </c>
      <c r="K29" s="23">
        <v>46185.625</v>
      </c>
      <c r="L29" s="21">
        <v>428</v>
      </c>
      <c r="M29" s="22">
        <v>2079</v>
      </c>
      <c r="N29" s="24">
        <v>1340</v>
      </c>
      <c r="O29" s="24">
        <v>2100.81</v>
      </c>
      <c r="P29" s="24">
        <v>2961.63</v>
      </c>
      <c r="Q29" s="21">
        <v>254</v>
      </c>
      <c r="R29" s="22">
        <v>8461</v>
      </c>
      <c r="S29" s="22">
        <v>19013</v>
      </c>
      <c r="T29" s="21">
        <v>4</v>
      </c>
      <c r="U29" s="21">
        <v>10</v>
      </c>
      <c r="V29" s="21">
        <v>15</v>
      </c>
      <c r="W29" s="23">
        <v>46275.5</v>
      </c>
      <c r="X29" s="25"/>
      <c r="Y29" s="21">
        <v>1</v>
      </c>
      <c r="Z29" s="26">
        <v>19127</v>
      </c>
      <c r="AA29">
        <v>760.81</v>
      </c>
      <c r="AB29" s="18">
        <v>0.56776865671641785</v>
      </c>
      <c r="AC29" s="19">
        <v>1.567768656716418</v>
      </c>
      <c r="AD29" s="19">
        <v>1.8666666666666667</v>
      </c>
      <c r="AE29" s="19">
        <v>1.5555555555555556</v>
      </c>
    </row>
    <row r="30" spans="1:31">
      <c r="A30">
        <v>34</v>
      </c>
      <c r="B30" t="s">
        <v>174</v>
      </c>
      <c r="C30" t="s">
        <v>175</v>
      </c>
      <c r="D30" t="s">
        <v>169</v>
      </c>
      <c r="E30" s="27">
        <v>46083</v>
      </c>
      <c r="F30" s="28" t="s">
        <v>176</v>
      </c>
      <c r="G30" s="28" t="s">
        <v>55</v>
      </c>
      <c r="H30" s="28" t="s">
        <v>127</v>
      </c>
      <c r="I30" s="29">
        <v>68756</v>
      </c>
      <c r="J30" s="28" t="s">
        <v>128</v>
      </c>
      <c r="K30" s="30">
        <v>46192.75</v>
      </c>
      <c r="L30" s="28">
        <v>661</v>
      </c>
      <c r="M30" s="29">
        <v>2920</v>
      </c>
      <c r="N30" s="31">
        <v>594</v>
      </c>
      <c r="O30" s="31">
        <v>979.06</v>
      </c>
      <c r="P30" s="31">
        <v>1425</v>
      </c>
      <c r="Q30" s="28">
        <v>195</v>
      </c>
      <c r="R30" s="29">
        <v>5802</v>
      </c>
      <c r="S30" s="29">
        <v>13230</v>
      </c>
      <c r="T30" s="28">
        <v>4</v>
      </c>
      <c r="U30" s="28">
        <v>7</v>
      </c>
      <c r="V30" s="28">
        <v>13</v>
      </c>
      <c r="W30" s="30">
        <v>46275.625</v>
      </c>
      <c r="X30" s="32"/>
      <c r="Y30" s="28">
        <v>0</v>
      </c>
      <c r="Z30" s="33">
        <v>13315</v>
      </c>
      <c r="AA30">
        <v>385.05999999999995</v>
      </c>
      <c r="AB30" s="18">
        <v>0.64824915824915819</v>
      </c>
      <c r="AC30" s="19">
        <v>1.6482491582491581</v>
      </c>
      <c r="AD30" s="19">
        <v>2.1538461538461537</v>
      </c>
      <c r="AE30" s="19">
        <v>1.2564102564102564</v>
      </c>
    </row>
    <row r="31" spans="1:31">
      <c r="A31">
        <v>35</v>
      </c>
      <c r="B31" t="s">
        <v>124</v>
      </c>
      <c r="C31" t="s">
        <v>177</v>
      </c>
      <c r="D31" t="s">
        <v>178</v>
      </c>
      <c r="E31" s="20">
        <v>46083</v>
      </c>
      <c r="F31" s="21" t="s">
        <v>179</v>
      </c>
      <c r="G31" s="21" t="s">
        <v>55</v>
      </c>
      <c r="H31" s="21" t="s">
        <v>140</v>
      </c>
      <c r="I31" s="22">
        <v>75000</v>
      </c>
      <c r="J31" s="21" t="s">
        <v>141</v>
      </c>
      <c r="K31" s="23">
        <v>46192.875</v>
      </c>
      <c r="L31" s="21">
        <v>596</v>
      </c>
      <c r="M31" s="22">
        <v>2529</v>
      </c>
      <c r="N31" s="24">
        <v>241.96</v>
      </c>
      <c r="O31" s="24">
        <v>571.64</v>
      </c>
      <c r="P31" s="24">
        <v>1023.03</v>
      </c>
      <c r="Q31" s="21">
        <v>152</v>
      </c>
      <c r="R31" s="22">
        <v>4739</v>
      </c>
      <c r="S31" s="22">
        <v>13195</v>
      </c>
      <c r="T31" s="21">
        <v>6</v>
      </c>
      <c r="U31" s="21">
        <v>11</v>
      </c>
      <c r="V31" s="21">
        <v>25</v>
      </c>
      <c r="W31" s="23">
        <v>46275.5</v>
      </c>
      <c r="X31" s="25"/>
      <c r="Y31" s="21">
        <v>0</v>
      </c>
      <c r="Z31" s="26">
        <v>13286</v>
      </c>
      <c r="AA31">
        <v>329.67999999999995</v>
      </c>
      <c r="AB31" s="18">
        <v>1.3625392626880473</v>
      </c>
      <c r="AC31" s="19">
        <v>2.3625392626880473</v>
      </c>
      <c r="AD31" s="19">
        <v>1.68</v>
      </c>
      <c r="AE31" s="19">
        <v>1.0266666666666666</v>
      </c>
    </row>
    <row r="32" spans="1:31">
      <c r="A32">
        <v>36</v>
      </c>
      <c r="B32" t="s">
        <v>180</v>
      </c>
      <c r="C32" t="s">
        <v>181</v>
      </c>
      <c r="D32" t="s">
        <v>178</v>
      </c>
      <c r="E32" s="27">
        <v>46083</v>
      </c>
      <c r="F32" s="28" t="s">
        <v>182</v>
      </c>
      <c r="G32" s="28" t="s">
        <v>55</v>
      </c>
      <c r="H32" s="28" t="s">
        <v>118</v>
      </c>
      <c r="I32" s="29">
        <v>67000</v>
      </c>
      <c r="J32" s="28" t="s">
        <v>119</v>
      </c>
      <c r="K32" s="30">
        <v>46192.5</v>
      </c>
      <c r="L32" s="28">
        <v>597</v>
      </c>
      <c r="M32" s="29">
        <v>2886</v>
      </c>
      <c r="N32" s="31">
        <v>1116.25</v>
      </c>
      <c r="O32" s="31">
        <v>2000</v>
      </c>
      <c r="P32" s="31">
        <v>4500</v>
      </c>
      <c r="Q32" s="28">
        <v>277</v>
      </c>
      <c r="R32" s="29">
        <v>7910</v>
      </c>
      <c r="S32" s="29">
        <v>19419</v>
      </c>
      <c r="T32" s="28">
        <v>2</v>
      </c>
      <c r="U32" s="28">
        <v>6</v>
      </c>
      <c r="V32" s="28">
        <v>17</v>
      </c>
      <c r="W32" s="30">
        <v>46275.5</v>
      </c>
      <c r="X32" s="32"/>
      <c r="Y32" s="28">
        <v>0</v>
      </c>
      <c r="Z32" s="33">
        <v>19568</v>
      </c>
      <c r="AA32">
        <v>883.75</v>
      </c>
      <c r="AB32" s="18">
        <v>0.79171332586786114</v>
      </c>
      <c r="AC32" s="19">
        <v>1.7917133258678613</v>
      </c>
      <c r="AD32" s="19">
        <v>0.82352941176470595</v>
      </c>
      <c r="AE32" s="19">
        <v>0.82352941176470595</v>
      </c>
    </row>
    <row r="33" spans="1:31">
      <c r="A33">
        <v>37</v>
      </c>
      <c r="B33" t="s">
        <v>58</v>
      </c>
      <c r="C33" t="s">
        <v>183</v>
      </c>
      <c r="D33" t="s">
        <v>60</v>
      </c>
      <c r="E33" s="20">
        <v>46083</v>
      </c>
      <c r="F33" s="21" t="s">
        <v>184</v>
      </c>
      <c r="G33" s="21" t="s">
        <v>55</v>
      </c>
      <c r="H33" s="21" t="s">
        <v>146</v>
      </c>
      <c r="I33" s="22">
        <v>30000</v>
      </c>
      <c r="J33" s="21" t="s">
        <v>147</v>
      </c>
      <c r="K33" s="23">
        <v>46193.666666666664</v>
      </c>
      <c r="L33" s="21">
        <v>389</v>
      </c>
      <c r="M33" s="22">
        <v>1936</v>
      </c>
      <c r="N33" s="24">
        <v>621</v>
      </c>
      <c r="O33" s="24">
        <v>934.75</v>
      </c>
      <c r="P33" s="24">
        <v>1337.9</v>
      </c>
      <c r="Q33" s="21">
        <v>268</v>
      </c>
      <c r="R33" s="22">
        <v>8305</v>
      </c>
      <c r="S33" s="22">
        <v>20605</v>
      </c>
      <c r="T33" s="21">
        <v>4</v>
      </c>
      <c r="U33" s="21">
        <v>10</v>
      </c>
      <c r="V33" s="21">
        <v>27</v>
      </c>
      <c r="W33" s="23">
        <v>46275.5</v>
      </c>
      <c r="X33" s="25"/>
      <c r="Y33" s="21">
        <v>0</v>
      </c>
      <c r="Z33" s="26">
        <v>20768</v>
      </c>
      <c r="AA33">
        <v>313.75</v>
      </c>
      <c r="AB33" s="18">
        <v>0.50523349436392917</v>
      </c>
      <c r="AC33" s="19">
        <v>1.5052334943639292</v>
      </c>
      <c r="AD33" s="19">
        <v>1.037037037037037</v>
      </c>
      <c r="AE33" s="19">
        <v>0.86419753086419759</v>
      </c>
    </row>
    <row r="34" spans="1:31">
      <c r="A34">
        <v>38</v>
      </c>
      <c r="B34" t="s">
        <v>185</v>
      </c>
      <c r="C34" t="s">
        <v>59</v>
      </c>
      <c r="D34" t="s">
        <v>60</v>
      </c>
      <c r="E34" s="27">
        <v>46083</v>
      </c>
      <c r="F34" s="28" t="s">
        <v>186</v>
      </c>
      <c r="G34" s="28" t="s">
        <v>55</v>
      </c>
      <c r="H34" s="28" t="s">
        <v>68</v>
      </c>
      <c r="I34" s="29">
        <v>76416</v>
      </c>
      <c r="J34" s="28" t="s">
        <v>69</v>
      </c>
      <c r="K34" s="30">
        <v>46193.791666666664</v>
      </c>
      <c r="L34" s="28">
        <v>647</v>
      </c>
      <c r="M34" s="29">
        <v>2607</v>
      </c>
      <c r="N34" s="31">
        <v>289.10000000000002</v>
      </c>
      <c r="O34" s="31">
        <v>526.67999999999995</v>
      </c>
      <c r="P34" s="31">
        <v>810</v>
      </c>
      <c r="Q34" s="28">
        <v>177</v>
      </c>
      <c r="R34" s="29">
        <v>5346</v>
      </c>
      <c r="S34" s="29">
        <v>12059</v>
      </c>
      <c r="T34" s="28">
        <v>5</v>
      </c>
      <c r="U34" s="28">
        <v>12</v>
      </c>
      <c r="V34" s="28">
        <v>39</v>
      </c>
      <c r="W34" s="30">
        <v>46275.583333333336</v>
      </c>
      <c r="X34" s="32"/>
      <c r="Y34" s="28">
        <v>0</v>
      </c>
      <c r="Z34" s="33">
        <v>12124</v>
      </c>
      <c r="AA34">
        <v>237.57999999999993</v>
      </c>
      <c r="AB34" s="18">
        <v>0.82179176755447914</v>
      </c>
      <c r="AC34" s="19">
        <v>1.821791767554479</v>
      </c>
      <c r="AD34" s="19">
        <v>0.89743589743589747</v>
      </c>
      <c r="AE34" s="19">
        <v>0.71794871794871795</v>
      </c>
    </row>
    <row r="35" spans="1:31">
      <c r="A35">
        <v>39</v>
      </c>
      <c r="B35" t="s">
        <v>93</v>
      </c>
      <c r="C35" t="s">
        <v>97</v>
      </c>
      <c r="D35" t="s">
        <v>95</v>
      </c>
      <c r="E35" s="20">
        <v>46083</v>
      </c>
      <c r="F35" s="21" t="s">
        <v>187</v>
      </c>
      <c r="G35" s="21" t="s">
        <v>55</v>
      </c>
      <c r="H35" s="21" t="s">
        <v>62</v>
      </c>
      <c r="I35" s="22">
        <v>71500</v>
      </c>
      <c r="J35" s="21" t="s">
        <v>63</v>
      </c>
      <c r="K35" s="23">
        <v>46193.5</v>
      </c>
      <c r="L35" s="21">
        <v>599</v>
      </c>
      <c r="M35" s="22">
        <v>2567</v>
      </c>
      <c r="N35" s="24">
        <v>339.72</v>
      </c>
      <c r="O35" s="24">
        <v>750.5</v>
      </c>
      <c r="P35" s="24">
        <v>1130.3900000000001</v>
      </c>
      <c r="Q35" s="21">
        <v>164</v>
      </c>
      <c r="R35" s="22">
        <v>8932</v>
      </c>
      <c r="S35" s="22">
        <v>42013</v>
      </c>
      <c r="T35" s="21">
        <v>5</v>
      </c>
      <c r="U35" s="21">
        <v>8</v>
      </c>
      <c r="V35" s="21">
        <v>19</v>
      </c>
      <c r="W35" s="23">
        <v>46275.583333333336</v>
      </c>
      <c r="X35" s="25"/>
      <c r="Y35" s="21">
        <v>0</v>
      </c>
      <c r="Z35" s="26">
        <v>42112</v>
      </c>
      <c r="AA35">
        <v>410.78</v>
      </c>
      <c r="AB35" s="18">
        <v>1.2091722595078298</v>
      </c>
      <c r="AC35" s="19">
        <v>2.2091722595078296</v>
      </c>
      <c r="AD35" s="19">
        <v>1.8421052631578947</v>
      </c>
      <c r="AE35" s="19">
        <v>0.98245614035087714</v>
      </c>
    </row>
    <row r="36" spans="1:31">
      <c r="A36">
        <v>40</v>
      </c>
      <c r="B36" t="s">
        <v>98</v>
      </c>
      <c r="C36" t="s">
        <v>94</v>
      </c>
      <c r="D36" t="s">
        <v>95</v>
      </c>
      <c r="E36" s="27">
        <v>46083</v>
      </c>
      <c r="F36" s="28" t="s">
        <v>188</v>
      </c>
      <c r="G36" s="28" t="s">
        <v>55</v>
      </c>
      <c r="H36" s="28" t="s">
        <v>100</v>
      </c>
      <c r="I36" s="29">
        <v>52237</v>
      </c>
      <c r="J36" s="28" t="s">
        <v>101</v>
      </c>
      <c r="K36" s="30">
        <v>46193.958333333336</v>
      </c>
      <c r="L36" s="28">
        <v>311</v>
      </c>
      <c r="M36" s="29">
        <v>1290</v>
      </c>
      <c r="N36" s="31">
        <v>245.99</v>
      </c>
      <c r="O36" s="31">
        <v>375</v>
      </c>
      <c r="P36" s="31">
        <v>704.95</v>
      </c>
      <c r="Q36" s="28">
        <v>207</v>
      </c>
      <c r="R36" s="29">
        <v>6778</v>
      </c>
      <c r="S36" s="29">
        <v>16230</v>
      </c>
      <c r="T36" s="28">
        <v>6</v>
      </c>
      <c r="U36" s="28">
        <v>10</v>
      </c>
      <c r="V36" s="28">
        <v>20</v>
      </c>
      <c r="W36" s="30">
        <v>46275.541666666664</v>
      </c>
      <c r="X36" s="32"/>
      <c r="Y36" s="28">
        <v>0</v>
      </c>
      <c r="Z36" s="33">
        <v>16350</v>
      </c>
      <c r="AA36">
        <v>129.01</v>
      </c>
      <c r="AB36" s="18">
        <v>0.52445221350461391</v>
      </c>
      <c r="AC36" s="19">
        <v>1.5244522135046139</v>
      </c>
      <c r="AD36" s="19">
        <v>2.1</v>
      </c>
      <c r="AE36" s="19">
        <v>1.1666666666666667</v>
      </c>
    </row>
    <row r="37" spans="1:31">
      <c r="A37">
        <v>41</v>
      </c>
      <c r="B37" t="s">
        <v>103</v>
      </c>
      <c r="C37" t="s">
        <v>107</v>
      </c>
      <c r="D37" t="s">
        <v>104</v>
      </c>
      <c r="E37" s="20">
        <v>46083</v>
      </c>
      <c r="F37" s="21" t="s">
        <v>189</v>
      </c>
      <c r="G37" s="21" t="s">
        <v>55</v>
      </c>
      <c r="H37" s="21" t="s">
        <v>85</v>
      </c>
      <c r="I37" s="22">
        <v>76100</v>
      </c>
      <c r="J37" s="21" t="s">
        <v>86</v>
      </c>
      <c r="K37" s="23">
        <v>46194.75</v>
      </c>
      <c r="L37" s="21">
        <v>810</v>
      </c>
      <c r="M37" s="22">
        <v>3196</v>
      </c>
      <c r="N37" s="24">
        <v>276.3</v>
      </c>
      <c r="O37" s="24">
        <v>435.8</v>
      </c>
      <c r="P37" s="24">
        <v>760.31</v>
      </c>
      <c r="Q37" s="22">
        <v>1265</v>
      </c>
      <c r="R37" s="22">
        <v>31756</v>
      </c>
      <c r="S37" s="22">
        <v>75260</v>
      </c>
      <c r="T37" s="21">
        <v>1</v>
      </c>
      <c r="U37" s="21">
        <v>9</v>
      </c>
      <c r="V37" s="21">
        <v>28</v>
      </c>
      <c r="W37" s="23">
        <v>46275.625</v>
      </c>
      <c r="X37" s="25"/>
      <c r="Y37" s="21">
        <v>0</v>
      </c>
      <c r="Z37" s="26">
        <v>75420</v>
      </c>
      <c r="AA37">
        <v>159.5</v>
      </c>
      <c r="AB37" s="18">
        <v>0.57727108215707557</v>
      </c>
      <c r="AC37" s="19">
        <v>1.5772710821570757</v>
      </c>
      <c r="AD37" s="19">
        <v>0.25</v>
      </c>
      <c r="AE37" s="19">
        <v>0.75</v>
      </c>
    </row>
    <row r="38" spans="1:31">
      <c r="A38">
        <v>42</v>
      </c>
      <c r="B38" t="s">
        <v>106</v>
      </c>
      <c r="C38" t="s">
        <v>102</v>
      </c>
      <c r="D38" t="s">
        <v>104</v>
      </c>
      <c r="E38" s="27">
        <v>46083</v>
      </c>
      <c r="F38" s="28" t="s">
        <v>190</v>
      </c>
      <c r="G38" s="28" t="s">
        <v>55</v>
      </c>
      <c r="H38" s="28" t="s">
        <v>79</v>
      </c>
      <c r="I38" s="29">
        <v>71000</v>
      </c>
      <c r="J38" s="28" t="s">
        <v>80</v>
      </c>
      <c r="K38" s="30">
        <v>46194.5</v>
      </c>
      <c r="L38" s="28">
        <v>687</v>
      </c>
      <c r="M38" s="29">
        <v>3109</v>
      </c>
      <c r="N38" s="31">
        <v>391.19</v>
      </c>
      <c r="O38" s="31">
        <v>738.5</v>
      </c>
      <c r="P38" s="31">
        <v>1267.6199999999999</v>
      </c>
      <c r="Q38" s="29">
        <v>1228</v>
      </c>
      <c r="R38" s="29">
        <v>30743</v>
      </c>
      <c r="S38" s="29">
        <v>72115</v>
      </c>
      <c r="T38" s="28">
        <v>9</v>
      </c>
      <c r="U38" s="28">
        <v>25</v>
      </c>
      <c r="V38" s="28">
        <v>53</v>
      </c>
      <c r="W38" s="30">
        <v>46275.625</v>
      </c>
      <c r="X38" s="32"/>
      <c r="Y38" s="28">
        <v>0</v>
      </c>
      <c r="Z38" s="33">
        <v>72224</v>
      </c>
      <c r="AA38">
        <v>347.31</v>
      </c>
      <c r="AB38" s="18">
        <v>0.8878294434929318</v>
      </c>
      <c r="AC38" s="19">
        <v>1.8878294434929319</v>
      </c>
      <c r="AD38" s="19">
        <v>1.1886792452830188</v>
      </c>
      <c r="AE38" s="19">
        <v>1.1006289308176103</v>
      </c>
    </row>
    <row r="39" spans="1:31">
      <c r="A39">
        <v>43</v>
      </c>
      <c r="B39" t="s">
        <v>115</v>
      </c>
      <c r="C39" t="s">
        <v>109</v>
      </c>
      <c r="D39" t="s">
        <v>111</v>
      </c>
      <c r="E39" s="20">
        <v>46083</v>
      </c>
      <c r="F39" s="21" t="s">
        <v>191</v>
      </c>
      <c r="G39" s="21" t="s">
        <v>55</v>
      </c>
      <c r="H39" s="21" t="s">
        <v>113</v>
      </c>
      <c r="I39" s="22">
        <v>70240</v>
      </c>
      <c r="J39" s="21" t="s">
        <v>114</v>
      </c>
      <c r="K39" s="23">
        <v>46194.5</v>
      </c>
      <c r="L39" s="21">
        <v>976</v>
      </c>
      <c r="M39" s="22">
        <v>3855</v>
      </c>
      <c r="N39" s="24">
        <v>313.39</v>
      </c>
      <c r="O39" s="24">
        <v>612.4</v>
      </c>
      <c r="P39" s="24">
        <v>1008.28</v>
      </c>
      <c r="Q39" s="22">
        <v>1262</v>
      </c>
      <c r="R39" s="22">
        <v>31985</v>
      </c>
      <c r="S39" s="22">
        <v>75840</v>
      </c>
      <c r="T39" s="21">
        <v>3</v>
      </c>
      <c r="U39" s="21">
        <v>16</v>
      </c>
      <c r="V39" s="21">
        <v>43</v>
      </c>
      <c r="W39" s="23">
        <v>46275.5</v>
      </c>
      <c r="X39" s="25"/>
      <c r="Y39" s="21">
        <v>0</v>
      </c>
      <c r="Z39" s="26">
        <v>76004</v>
      </c>
      <c r="AA39">
        <v>299.01</v>
      </c>
      <c r="AB39" s="18">
        <v>0.95411468138740863</v>
      </c>
      <c r="AC39" s="19">
        <v>1.9541146813874086</v>
      </c>
      <c r="AD39" s="19">
        <v>0.48837209302325579</v>
      </c>
      <c r="AE39" s="19">
        <v>0.86821705426356577</v>
      </c>
    </row>
    <row r="40" spans="1:31">
      <c r="A40">
        <v>44</v>
      </c>
      <c r="B40" t="s">
        <v>180</v>
      </c>
      <c r="C40" t="s">
        <v>177</v>
      </c>
      <c r="D40" t="s">
        <v>178</v>
      </c>
      <c r="E40" s="27">
        <v>46083</v>
      </c>
      <c r="F40" s="28" t="s">
        <v>192</v>
      </c>
      <c r="G40" s="28" t="s">
        <v>55</v>
      </c>
      <c r="H40" s="28" t="s">
        <v>113</v>
      </c>
      <c r="I40" s="29">
        <v>70240</v>
      </c>
      <c r="J40" s="28" t="s">
        <v>114</v>
      </c>
      <c r="K40" s="30">
        <v>46185.75</v>
      </c>
      <c r="L40" s="28">
        <v>736</v>
      </c>
      <c r="M40" s="29">
        <v>3146</v>
      </c>
      <c r="N40" s="31">
        <v>1170</v>
      </c>
      <c r="O40" s="31">
        <v>2067.81</v>
      </c>
      <c r="P40" s="31">
        <v>3046.61</v>
      </c>
      <c r="Q40" s="29">
        <v>1405</v>
      </c>
      <c r="R40" s="29">
        <v>35607</v>
      </c>
      <c r="S40" s="29">
        <v>84947</v>
      </c>
      <c r="T40" s="28">
        <v>5</v>
      </c>
      <c r="U40" s="28">
        <v>7</v>
      </c>
      <c r="V40" s="28">
        <v>21</v>
      </c>
      <c r="W40" s="30">
        <v>46275.5</v>
      </c>
      <c r="X40" s="32"/>
      <c r="Y40" s="28">
        <v>0</v>
      </c>
      <c r="Z40" s="33">
        <v>85200</v>
      </c>
      <c r="AA40">
        <v>897.81</v>
      </c>
      <c r="AB40" s="18">
        <v>0.76735897435897427</v>
      </c>
      <c r="AC40" s="19">
        <v>1.7673589743589744</v>
      </c>
      <c r="AD40" s="19">
        <v>1.6666666666666667</v>
      </c>
      <c r="AE40" s="19">
        <v>0.77777777777777779</v>
      </c>
    </row>
    <row r="41" spans="1:31">
      <c r="A41">
        <v>45</v>
      </c>
      <c r="B41" t="s">
        <v>110</v>
      </c>
      <c r="C41" t="s">
        <v>116</v>
      </c>
      <c r="D41" t="s">
        <v>111</v>
      </c>
      <c r="E41" s="20">
        <v>46083</v>
      </c>
      <c r="F41" s="21" t="s">
        <v>193</v>
      </c>
      <c r="G41" s="21" t="s">
        <v>55</v>
      </c>
      <c r="H41" s="21" t="s">
        <v>164</v>
      </c>
      <c r="I41" s="22">
        <v>54500</v>
      </c>
      <c r="J41" s="21" t="s">
        <v>165</v>
      </c>
      <c r="K41" s="23">
        <v>46194.75</v>
      </c>
      <c r="L41" s="21">
        <v>438</v>
      </c>
      <c r="M41" s="22">
        <v>1982</v>
      </c>
      <c r="N41" s="24">
        <v>285</v>
      </c>
      <c r="O41" s="24">
        <v>466.64</v>
      </c>
      <c r="P41" s="24">
        <v>977.89</v>
      </c>
      <c r="Q41" s="21">
        <v>212</v>
      </c>
      <c r="R41" s="22">
        <v>6873</v>
      </c>
      <c r="S41" s="22">
        <v>16523</v>
      </c>
      <c r="T41" s="21">
        <v>2</v>
      </c>
      <c r="U41" s="21">
        <v>6</v>
      </c>
      <c r="V41" s="21">
        <v>26</v>
      </c>
      <c r="W41" s="23">
        <v>46275.375</v>
      </c>
      <c r="X41" s="25"/>
      <c r="Y41" s="21">
        <v>0</v>
      </c>
      <c r="Z41" s="26">
        <v>16636</v>
      </c>
      <c r="AA41">
        <v>181.64</v>
      </c>
      <c r="AB41" s="18">
        <v>0.63733333333333331</v>
      </c>
      <c r="AC41" s="19">
        <v>1.6373333333333333</v>
      </c>
      <c r="AD41" s="19">
        <v>0.53846153846153844</v>
      </c>
      <c r="AE41" s="19">
        <v>0.53846153846153844</v>
      </c>
    </row>
    <row r="42" spans="1:31">
      <c r="A42">
        <v>46</v>
      </c>
      <c r="B42" t="s">
        <v>125</v>
      </c>
      <c r="C42" t="s">
        <v>121</v>
      </c>
      <c r="D42" t="s">
        <v>122</v>
      </c>
      <c r="E42" s="27">
        <v>46083</v>
      </c>
      <c r="F42" s="28" t="s">
        <v>194</v>
      </c>
      <c r="G42" s="28" t="s">
        <v>55</v>
      </c>
      <c r="H42" s="28" t="s">
        <v>91</v>
      </c>
      <c r="I42" s="29">
        <v>82500</v>
      </c>
      <c r="J42" s="28" t="s">
        <v>92</v>
      </c>
      <c r="K42" s="30">
        <v>46195.833333333336</v>
      </c>
      <c r="L42" s="28">
        <v>700</v>
      </c>
      <c r="M42" s="29">
        <v>2907</v>
      </c>
      <c r="N42" s="31">
        <v>404.88</v>
      </c>
      <c r="O42" s="31">
        <v>684.35</v>
      </c>
      <c r="P42" s="31">
        <v>1072.03</v>
      </c>
      <c r="Q42" s="28">
        <v>263</v>
      </c>
      <c r="R42" s="29">
        <v>7775</v>
      </c>
      <c r="S42" s="29">
        <v>37031</v>
      </c>
      <c r="T42" s="28">
        <v>4</v>
      </c>
      <c r="U42" s="28">
        <v>14</v>
      </c>
      <c r="V42" s="28">
        <v>33</v>
      </c>
      <c r="W42" s="30">
        <v>46275.625</v>
      </c>
      <c r="X42" s="32"/>
      <c r="Y42" s="28">
        <v>0</v>
      </c>
      <c r="Z42" s="33">
        <v>37202</v>
      </c>
      <c r="AA42">
        <v>279.47000000000003</v>
      </c>
      <c r="AB42" s="18">
        <v>0.69025390239083195</v>
      </c>
      <c r="AC42" s="19">
        <v>1.6902539023908318</v>
      </c>
      <c r="AD42" s="19">
        <v>0.84848484848484851</v>
      </c>
      <c r="AE42" s="19">
        <v>0.98989898989898994</v>
      </c>
    </row>
    <row r="43" spans="1:31">
      <c r="A43">
        <v>47</v>
      </c>
      <c r="B43" t="s">
        <v>120</v>
      </c>
      <c r="C43" t="s">
        <v>124</v>
      </c>
      <c r="D43" t="s">
        <v>122</v>
      </c>
      <c r="E43" s="20">
        <v>46083</v>
      </c>
      <c r="F43" s="21" t="s">
        <v>195</v>
      </c>
      <c r="G43" s="21" t="s">
        <v>55</v>
      </c>
      <c r="H43" s="21" t="s">
        <v>171</v>
      </c>
      <c r="I43" s="22">
        <v>69176</v>
      </c>
      <c r="J43" s="21" t="s">
        <v>172</v>
      </c>
      <c r="K43" s="23">
        <v>46195.708333333336</v>
      </c>
      <c r="L43" s="21">
        <v>713</v>
      </c>
      <c r="M43" s="22">
        <v>2818</v>
      </c>
      <c r="N43" s="24">
        <v>509.57</v>
      </c>
      <c r="O43" s="24">
        <v>739.53</v>
      </c>
      <c r="P43" s="24">
        <v>1080</v>
      </c>
      <c r="Q43" s="22">
        <v>1287</v>
      </c>
      <c r="R43" s="22">
        <v>32532</v>
      </c>
      <c r="S43" s="22">
        <v>77159</v>
      </c>
      <c r="T43" s="21">
        <v>7</v>
      </c>
      <c r="U43" s="21">
        <v>19</v>
      </c>
      <c r="V43" s="21">
        <v>42</v>
      </c>
      <c r="W43" s="23">
        <v>46275.625</v>
      </c>
      <c r="X43" s="25"/>
      <c r="Y43" s="21">
        <v>0</v>
      </c>
      <c r="Z43" s="26">
        <v>77319</v>
      </c>
      <c r="AA43">
        <v>229.95999999999998</v>
      </c>
      <c r="AB43" s="18">
        <v>0.45128245383362442</v>
      </c>
      <c r="AC43" s="19">
        <v>1.4512824538336244</v>
      </c>
      <c r="AD43" s="19">
        <v>1.1666666666666667</v>
      </c>
      <c r="AE43" s="19">
        <v>1.0555555555555556</v>
      </c>
    </row>
    <row r="44" spans="1:31">
      <c r="A44">
        <v>48</v>
      </c>
      <c r="B44" t="s">
        <v>129</v>
      </c>
      <c r="C44" t="s">
        <v>137</v>
      </c>
      <c r="D44" t="s">
        <v>131</v>
      </c>
      <c r="E44" s="27">
        <v>46083</v>
      </c>
      <c r="F44" s="28" t="s">
        <v>196</v>
      </c>
      <c r="G44" s="28" t="s">
        <v>55</v>
      </c>
      <c r="H44" s="28" t="s">
        <v>74</v>
      </c>
      <c r="I44" s="29">
        <v>80000</v>
      </c>
      <c r="J44" s="28" t="s">
        <v>75</v>
      </c>
      <c r="K44" s="30">
        <v>46195.5</v>
      </c>
      <c r="L44" s="28">
        <v>623</v>
      </c>
      <c r="M44" s="29">
        <v>3249</v>
      </c>
      <c r="N44" s="31">
        <v>1066.03</v>
      </c>
      <c r="O44" s="31">
        <v>1946.44</v>
      </c>
      <c r="P44" s="31">
        <v>5280</v>
      </c>
      <c r="Q44" s="28">
        <v>224</v>
      </c>
      <c r="R44" s="29">
        <v>9061</v>
      </c>
      <c r="S44" s="29">
        <v>24088</v>
      </c>
      <c r="T44" s="28">
        <v>2</v>
      </c>
      <c r="U44" s="28">
        <v>16</v>
      </c>
      <c r="V44" s="28">
        <v>35</v>
      </c>
      <c r="W44" s="30">
        <v>46275.583333333336</v>
      </c>
      <c r="X44" s="32"/>
      <c r="Y44" s="28">
        <v>0</v>
      </c>
      <c r="Z44" s="33">
        <v>24250</v>
      </c>
      <c r="AA44">
        <v>880.41000000000008</v>
      </c>
      <c r="AB44" s="18">
        <v>0.82587732052568885</v>
      </c>
      <c r="AC44" s="19">
        <v>1.8258773205256889</v>
      </c>
      <c r="AD44" s="19">
        <v>0.4</v>
      </c>
      <c r="AE44" s="19">
        <v>1.0666666666666667</v>
      </c>
    </row>
    <row r="45" spans="1:31">
      <c r="A45">
        <v>49</v>
      </c>
      <c r="B45" t="s">
        <v>138</v>
      </c>
      <c r="C45" t="s">
        <v>130</v>
      </c>
      <c r="D45" t="s">
        <v>131</v>
      </c>
      <c r="E45" s="20">
        <v>46083</v>
      </c>
      <c r="F45" s="21" t="s">
        <v>197</v>
      </c>
      <c r="G45" s="21" t="s">
        <v>55</v>
      </c>
      <c r="H45" s="21" t="s">
        <v>140</v>
      </c>
      <c r="I45" s="22">
        <v>75000</v>
      </c>
      <c r="J45" s="21" t="s">
        <v>141</v>
      </c>
      <c r="K45" s="23">
        <v>46195.833333333336</v>
      </c>
      <c r="L45" s="21">
        <v>735</v>
      </c>
      <c r="M45" s="22">
        <v>2898</v>
      </c>
      <c r="N45" s="24">
        <v>180</v>
      </c>
      <c r="O45" s="24">
        <v>429.26</v>
      </c>
      <c r="P45" s="24">
        <v>732.72</v>
      </c>
      <c r="Q45" s="21">
        <v>197</v>
      </c>
      <c r="R45" s="22">
        <v>6494</v>
      </c>
      <c r="S45" s="22">
        <v>14199</v>
      </c>
      <c r="T45" s="21">
        <v>6</v>
      </c>
      <c r="U45" s="21">
        <v>14</v>
      </c>
      <c r="V45" s="21">
        <v>35</v>
      </c>
      <c r="W45" s="23">
        <v>46275.5</v>
      </c>
      <c r="X45" s="25"/>
      <c r="Y45" s="21">
        <v>0</v>
      </c>
      <c r="Z45" s="26">
        <v>14283</v>
      </c>
      <c r="AA45">
        <v>249.26</v>
      </c>
      <c r="AB45" s="18">
        <v>1.3847777777777777</v>
      </c>
      <c r="AC45" s="19">
        <v>2.3847777777777779</v>
      </c>
      <c r="AD45" s="19">
        <v>1.2</v>
      </c>
      <c r="AE45" s="19">
        <v>0.93333333333333335</v>
      </c>
    </row>
    <row r="46" spans="1:31">
      <c r="A46">
        <v>50</v>
      </c>
      <c r="B46" t="s">
        <v>148</v>
      </c>
      <c r="C46" t="s">
        <v>142</v>
      </c>
      <c r="D46" t="s">
        <v>144</v>
      </c>
      <c r="E46" s="27">
        <v>46083</v>
      </c>
      <c r="F46" s="28" t="s">
        <v>198</v>
      </c>
      <c r="G46" s="28" t="s">
        <v>55</v>
      </c>
      <c r="H46" s="28" t="s">
        <v>127</v>
      </c>
      <c r="I46" s="29">
        <v>68756</v>
      </c>
      <c r="J46" s="28" t="s">
        <v>128</v>
      </c>
      <c r="K46" s="30">
        <v>46196.666666666664</v>
      </c>
      <c r="L46" s="28">
        <v>556</v>
      </c>
      <c r="M46" s="29">
        <v>2379</v>
      </c>
      <c r="N46" s="31">
        <v>621</v>
      </c>
      <c r="O46" s="31">
        <v>1059.58</v>
      </c>
      <c r="P46" s="31">
        <v>1948.99</v>
      </c>
      <c r="Q46" s="29">
        <v>1012</v>
      </c>
      <c r="R46" s="29">
        <v>26196</v>
      </c>
      <c r="S46" s="29">
        <v>61028</v>
      </c>
      <c r="T46" s="28">
        <v>4</v>
      </c>
      <c r="U46" s="28">
        <v>17</v>
      </c>
      <c r="V46" s="28">
        <v>27</v>
      </c>
      <c r="W46" s="30">
        <v>46275.625</v>
      </c>
      <c r="X46" s="32"/>
      <c r="Y46" s="28">
        <v>0</v>
      </c>
      <c r="Z46" s="33">
        <v>61136</v>
      </c>
      <c r="AA46">
        <v>438.57999999999993</v>
      </c>
      <c r="AB46" s="18">
        <v>0.70624798711755221</v>
      </c>
      <c r="AC46" s="19">
        <v>1.7062479871175522</v>
      </c>
      <c r="AD46" s="19">
        <v>1.037037037037037</v>
      </c>
      <c r="AE46" s="19">
        <v>1.4691358024691359</v>
      </c>
    </row>
    <row r="47" spans="1:31">
      <c r="A47">
        <v>51</v>
      </c>
      <c r="B47" t="s">
        <v>143</v>
      </c>
      <c r="C47" t="s">
        <v>149</v>
      </c>
      <c r="D47" t="s">
        <v>144</v>
      </c>
      <c r="E47" s="20">
        <v>46083</v>
      </c>
      <c r="F47" s="21" t="s">
        <v>199</v>
      </c>
      <c r="G47" s="21" t="s">
        <v>55</v>
      </c>
      <c r="H47" s="21" t="s">
        <v>146</v>
      </c>
      <c r="I47" s="22">
        <v>30000</v>
      </c>
      <c r="J47" s="21" t="s">
        <v>147</v>
      </c>
      <c r="K47" s="23">
        <v>46196.791666666664</v>
      </c>
      <c r="L47" s="21">
        <v>472</v>
      </c>
      <c r="M47" s="22">
        <v>1851</v>
      </c>
      <c r="N47" s="24">
        <v>389.48</v>
      </c>
      <c r="O47" s="24">
        <v>715.6</v>
      </c>
      <c r="P47" s="24">
        <v>1073.68</v>
      </c>
      <c r="Q47" s="21">
        <v>253</v>
      </c>
      <c r="R47" s="22">
        <v>8136</v>
      </c>
      <c r="S47" s="22">
        <v>18803</v>
      </c>
      <c r="T47" s="21">
        <v>8</v>
      </c>
      <c r="U47" s="21">
        <v>27</v>
      </c>
      <c r="V47" s="21">
        <v>35</v>
      </c>
      <c r="W47" s="23">
        <v>46275.5</v>
      </c>
      <c r="X47" s="25"/>
      <c r="Y47" s="21">
        <v>0</v>
      </c>
      <c r="Z47" s="26">
        <v>18927</v>
      </c>
      <c r="AA47">
        <v>326.12</v>
      </c>
      <c r="AB47" s="18">
        <v>0.83732155694772514</v>
      </c>
      <c r="AC47" s="19">
        <v>1.8373215569477253</v>
      </c>
      <c r="AD47" s="19">
        <v>1.6</v>
      </c>
      <c r="AE47" s="19">
        <v>1.8</v>
      </c>
    </row>
    <row r="48" spans="1:31">
      <c r="A48">
        <v>52</v>
      </c>
      <c r="B48" t="s">
        <v>151</v>
      </c>
      <c r="C48" t="s">
        <v>154</v>
      </c>
      <c r="D48" t="s">
        <v>152</v>
      </c>
      <c r="E48" s="27">
        <v>46083</v>
      </c>
      <c r="F48" s="28" t="s">
        <v>200</v>
      </c>
      <c r="G48" s="28" t="s">
        <v>55</v>
      </c>
      <c r="H48" s="28" t="s">
        <v>62</v>
      </c>
      <c r="I48" s="29">
        <v>71500</v>
      </c>
      <c r="J48" s="28" t="s">
        <v>63</v>
      </c>
      <c r="K48" s="30">
        <v>46196.5</v>
      </c>
      <c r="L48" s="28">
        <v>860</v>
      </c>
      <c r="M48" s="29">
        <v>3609</v>
      </c>
      <c r="N48" s="31">
        <v>515.64</v>
      </c>
      <c r="O48" s="31">
        <v>868.45</v>
      </c>
      <c r="P48" s="31">
        <v>1350</v>
      </c>
      <c r="Q48" s="28">
        <v>234</v>
      </c>
      <c r="R48" s="29">
        <v>7495</v>
      </c>
      <c r="S48" s="29">
        <v>18397</v>
      </c>
      <c r="T48" s="28">
        <v>7</v>
      </c>
      <c r="U48" s="28">
        <v>20</v>
      </c>
      <c r="V48" s="28">
        <v>50</v>
      </c>
      <c r="W48" s="30">
        <v>46275.583333333336</v>
      </c>
      <c r="X48" s="32"/>
      <c r="Y48" s="28">
        <v>0</v>
      </c>
      <c r="Z48" s="33">
        <v>18549</v>
      </c>
      <c r="AA48">
        <v>352.81000000000006</v>
      </c>
      <c r="AB48" s="18">
        <v>0.6842176712435033</v>
      </c>
      <c r="AC48" s="19">
        <v>1.6842176712435033</v>
      </c>
      <c r="AD48" s="19">
        <v>0.98</v>
      </c>
      <c r="AE48" s="19">
        <v>0.93333333333333335</v>
      </c>
    </row>
    <row r="49" spans="1:31">
      <c r="A49">
        <v>53</v>
      </c>
      <c r="B49" t="s">
        <v>155</v>
      </c>
      <c r="C49" t="s">
        <v>124</v>
      </c>
      <c r="D49" t="s">
        <v>152</v>
      </c>
      <c r="E49" s="20">
        <v>46083</v>
      </c>
      <c r="F49" s="21" t="s">
        <v>201</v>
      </c>
      <c r="G49" s="21" t="s">
        <v>55</v>
      </c>
      <c r="H49" s="21" t="s">
        <v>135</v>
      </c>
      <c r="I49" s="22">
        <v>49800</v>
      </c>
      <c r="J49" s="21" t="s">
        <v>136</v>
      </c>
      <c r="K49" s="23">
        <v>46196.875</v>
      </c>
      <c r="L49" s="21">
        <v>316</v>
      </c>
      <c r="M49" s="22">
        <v>1461</v>
      </c>
      <c r="N49" s="24">
        <v>688.08</v>
      </c>
      <c r="O49" s="24">
        <v>899.78</v>
      </c>
      <c r="P49" s="24">
        <v>1426.32</v>
      </c>
      <c r="Q49" s="21">
        <v>193</v>
      </c>
      <c r="R49" s="22">
        <v>10478</v>
      </c>
      <c r="S49" s="22">
        <v>46337</v>
      </c>
      <c r="T49" s="21">
        <v>3</v>
      </c>
      <c r="U49" s="21">
        <v>7</v>
      </c>
      <c r="V49" s="21">
        <v>26</v>
      </c>
      <c r="W49" s="23">
        <v>46275.541666666664</v>
      </c>
      <c r="X49" s="25"/>
      <c r="Y49" s="21">
        <v>0</v>
      </c>
      <c r="Z49" s="26">
        <v>46493</v>
      </c>
      <c r="AA49">
        <v>211.69999999999993</v>
      </c>
      <c r="AB49" s="18">
        <v>0.30766771305662122</v>
      </c>
      <c r="AC49" s="19">
        <v>1.3076677130566212</v>
      </c>
      <c r="AD49" s="19">
        <v>0.80769230769230771</v>
      </c>
      <c r="AE49" s="19">
        <v>0.62820512820512819</v>
      </c>
    </row>
    <row r="50" spans="1:31">
      <c r="A50">
        <v>54</v>
      </c>
      <c r="B50" t="s">
        <v>174</v>
      </c>
      <c r="C50" t="s">
        <v>167</v>
      </c>
      <c r="D50" t="s">
        <v>169</v>
      </c>
      <c r="E50" s="27">
        <v>46083</v>
      </c>
      <c r="F50" s="28" t="s">
        <v>202</v>
      </c>
      <c r="G50" s="28" t="s">
        <v>55</v>
      </c>
      <c r="H50" s="28" t="s">
        <v>85</v>
      </c>
      <c r="I50" s="29">
        <v>76100</v>
      </c>
      <c r="J50" s="28" t="s">
        <v>86</v>
      </c>
      <c r="K50" s="30">
        <v>46197.75</v>
      </c>
      <c r="L50" s="28">
        <v>742</v>
      </c>
      <c r="M50" s="29">
        <v>3784</v>
      </c>
      <c r="N50" s="31">
        <v>1144.7</v>
      </c>
      <c r="O50" s="31">
        <v>1940.82</v>
      </c>
      <c r="P50" s="31">
        <v>3510</v>
      </c>
      <c r="Q50" s="29">
        <v>1033</v>
      </c>
      <c r="R50" s="29">
        <v>26753</v>
      </c>
      <c r="S50" s="29">
        <v>62511</v>
      </c>
      <c r="T50" s="28">
        <v>3</v>
      </c>
      <c r="U50" s="28">
        <v>13</v>
      </c>
      <c r="V50" s="28">
        <v>41</v>
      </c>
      <c r="W50" s="30">
        <v>46275.625</v>
      </c>
      <c r="X50" s="32"/>
      <c r="Y50" s="28">
        <v>0</v>
      </c>
      <c r="Z50" s="33">
        <v>62653</v>
      </c>
      <c r="AA50">
        <v>796.11999999999989</v>
      </c>
      <c r="AB50" s="18">
        <v>0.69548353280335451</v>
      </c>
      <c r="AC50" s="19">
        <v>1.6954835328033544</v>
      </c>
      <c r="AD50" s="19">
        <v>0.51219512195121952</v>
      </c>
      <c r="AE50" s="19">
        <v>0.73983739837398377</v>
      </c>
    </row>
    <row r="51" spans="1:31">
      <c r="A51">
        <v>55</v>
      </c>
      <c r="B51" t="s">
        <v>168</v>
      </c>
      <c r="C51" t="s">
        <v>174</v>
      </c>
      <c r="D51" t="s">
        <v>169</v>
      </c>
      <c r="E51" s="20">
        <v>46083</v>
      </c>
      <c r="F51" s="21" t="s">
        <v>203</v>
      </c>
      <c r="G51" s="21" t="s">
        <v>55</v>
      </c>
      <c r="H51" s="21" t="s">
        <v>127</v>
      </c>
      <c r="I51" s="22">
        <v>68756</v>
      </c>
      <c r="J51" s="21" t="s">
        <v>128</v>
      </c>
      <c r="K51" s="23">
        <v>46186.875</v>
      </c>
      <c r="L51" s="21">
        <v>712</v>
      </c>
      <c r="M51" s="22">
        <v>3056</v>
      </c>
      <c r="N51" s="24">
        <v>580</v>
      </c>
      <c r="O51" s="24">
        <v>898.45</v>
      </c>
      <c r="P51" s="24">
        <v>1256.26</v>
      </c>
      <c r="Q51" s="21">
        <v>198</v>
      </c>
      <c r="R51" s="22">
        <v>10722</v>
      </c>
      <c r="S51" s="22">
        <v>27771</v>
      </c>
      <c r="T51" s="21">
        <v>2</v>
      </c>
      <c r="U51" s="21">
        <v>8</v>
      </c>
      <c r="V51" s="21">
        <v>24</v>
      </c>
      <c r="W51" s="23">
        <v>46275.625</v>
      </c>
      <c r="X51" s="25"/>
      <c r="Y51" s="21">
        <v>0</v>
      </c>
      <c r="Z51" s="26">
        <v>27889</v>
      </c>
      <c r="AA51">
        <v>318.45000000000005</v>
      </c>
      <c r="AB51" s="18">
        <v>0.54905172413793113</v>
      </c>
      <c r="AC51" s="19">
        <v>1.5490517241379311</v>
      </c>
      <c r="AD51" s="19">
        <v>0.58333333333333337</v>
      </c>
      <c r="AE51" s="19">
        <v>0.77777777777777779</v>
      </c>
    </row>
    <row r="52" spans="1:31">
      <c r="A52">
        <v>56</v>
      </c>
      <c r="B52" t="s">
        <v>175</v>
      </c>
      <c r="C52" t="s">
        <v>168</v>
      </c>
      <c r="D52" t="s">
        <v>169</v>
      </c>
      <c r="E52" s="27">
        <v>46083</v>
      </c>
      <c r="F52" s="28" t="s">
        <v>204</v>
      </c>
      <c r="G52" s="28" t="s">
        <v>55</v>
      </c>
      <c r="H52" s="28" t="s">
        <v>79</v>
      </c>
      <c r="I52" s="29">
        <v>71000</v>
      </c>
      <c r="J52" s="28" t="s">
        <v>80</v>
      </c>
      <c r="K52" s="30">
        <v>46197.75</v>
      </c>
      <c r="L52" s="28">
        <v>769</v>
      </c>
      <c r="M52" s="29">
        <v>3163</v>
      </c>
      <c r="N52" s="31">
        <v>240</v>
      </c>
      <c r="O52" s="31">
        <v>491.28</v>
      </c>
      <c r="P52" s="31">
        <v>856.19</v>
      </c>
      <c r="Q52" s="28">
        <v>146</v>
      </c>
      <c r="R52" s="29">
        <v>4876</v>
      </c>
      <c r="S52" s="29">
        <v>11086</v>
      </c>
      <c r="T52" s="28">
        <v>3</v>
      </c>
      <c r="U52" s="28">
        <v>13</v>
      </c>
      <c r="V52" s="28">
        <v>51</v>
      </c>
      <c r="W52" s="30">
        <v>46275.625</v>
      </c>
      <c r="X52" s="32"/>
      <c r="Y52" s="28">
        <v>0</v>
      </c>
      <c r="Z52" s="33">
        <v>11145</v>
      </c>
      <c r="AA52">
        <v>251.27999999999997</v>
      </c>
      <c r="AB52" s="18">
        <v>1.0469999999999999</v>
      </c>
      <c r="AC52" s="19">
        <v>2.0469999999999997</v>
      </c>
      <c r="AD52" s="19">
        <v>0.41176470588235292</v>
      </c>
      <c r="AE52" s="19">
        <v>0.59477124183006536</v>
      </c>
    </row>
    <row r="53" spans="1:31">
      <c r="A53">
        <v>57</v>
      </c>
      <c r="B53" t="s">
        <v>158</v>
      </c>
      <c r="C53" t="s">
        <v>161</v>
      </c>
      <c r="D53" t="s">
        <v>159</v>
      </c>
      <c r="E53" s="20">
        <v>46083</v>
      </c>
      <c r="F53" s="21" t="s">
        <v>205</v>
      </c>
      <c r="G53" s="21" t="s">
        <v>55</v>
      </c>
      <c r="H53" s="21" t="s">
        <v>164</v>
      </c>
      <c r="I53" s="22">
        <v>54500</v>
      </c>
      <c r="J53" s="21" t="s">
        <v>165</v>
      </c>
      <c r="K53" s="23">
        <v>46197.5</v>
      </c>
      <c r="L53" s="21">
        <v>586</v>
      </c>
      <c r="M53" s="22">
        <v>2580</v>
      </c>
      <c r="N53" s="24">
        <v>476.5</v>
      </c>
      <c r="O53" s="24">
        <v>959.4</v>
      </c>
      <c r="P53" s="24">
        <v>1642.72</v>
      </c>
      <c r="Q53" s="22">
        <v>1270</v>
      </c>
      <c r="R53" s="22">
        <v>32351</v>
      </c>
      <c r="S53" s="22">
        <v>76234</v>
      </c>
      <c r="T53" s="21">
        <v>3</v>
      </c>
      <c r="U53" s="21">
        <v>9</v>
      </c>
      <c r="V53" s="21">
        <v>20</v>
      </c>
      <c r="W53" s="23">
        <v>46275.375</v>
      </c>
      <c r="X53" s="25"/>
      <c r="Y53" s="21">
        <v>0</v>
      </c>
      <c r="Z53" s="26">
        <v>76393</v>
      </c>
      <c r="AA53">
        <v>482.9</v>
      </c>
      <c r="AB53" s="18">
        <v>1.0134312696747114</v>
      </c>
      <c r="AC53" s="19">
        <v>2.0134312696747112</v>
      </c>
      <c r="AD53" s="19">
        <v>1.05</v>
      </c>
      <c r="AE53" s="19">
        <v>1.05</v>
      </c>
    </row>
    <row r="54" spans="1:31">
      <c r="A54">
        <v>58</v>
      </c>
      <c r="B54" t="s">
        <v>124</v>
      </c>
      <c r="C54" t="s">
        <v>162</v>
      </c>
      <c r="D54" t="s">
        <v>159</v>
      </c>
      <c r="E54" s="27">
        <v>46083</v>
      </c>
      <c r="F54" s="28" t="s">
        <v>206</v>
      </c>
      <c r="G54" s="28" t="s">
        <v>55</v>
      </c>
      <c r="H54" s="28" t="s">
        <v>118</v>
      </c>
      <c r="I54" s="29">
        <v>67000</v>
      </c>
      <c r="J54" s="28" t="s">
        <v>119</v>
      </c>
      <c r="K54" s="30">
        <v>46197.5</v>
      </c>
      <c r="L54" s="28">
        <v>544</v>
      </c>
      <c r="M54" s="29">
        <v>2352</v>
      </c>
      <c r="N54" s="31">
        <v>314.99</v>
      </c>
      <c r="O54" s="31">
        <v>620.1</v>
      </c>
      <c r="P54" s="31">
        <v>1435.09</v>
      </c>
      <c r="Q54" s="28">
        <v>133</v>
      </c>
      <c r="R54" s="29">
        <v>5218</v>
      </c>
      <c r="S54" s="29">
        <v>27042</v>
      </c>
      <c r="T54" s="28">
        <v>4</v>
      </c>
      <c r="U54" s="28">
        <v>5</v>
      </c>
      <c r="V54" s="28">
        <v>20</v>
      </c>
      <c r="W54" s="30">
        <v>46275.5</v>
      </c>
      <c r="X54" s="32"/>
      <c r="Y54" s="28">
        <v>0</v>
      </c>
      <c r="Z54" s="33">
        <v>27155</v>
      </c>
      <c r="AA54">
        <v>305.11</v>
      </c>
      <c r="AB54" s="18">
        <v>0.96863392488650435</v>
      </c>
      <c r="AC54" s="19">
        <v>1.9686339248865043</v>
      </c>
      <c r="AD54" s="19">
        <v>1.4</v>
      </c>
      <c r="AE54" s="19">
        <v>0.58333333333333337</v>
      </c>
    </row>
    <row r="55" spans="1:31">
      <c r="A55">
        <v>59</v>
      </c>
      <c r="B55" t="s">
        <v>124</v>
      </c>
      <c r="C55" t="s">
        <v>51</v>
      </c>
      <c r="D55" t="s">
        <v>53</v>
      </c>
      <c r="E55" s="20">
        <v>46083</v>
      </c>
      <c r="F55" s="21" t="s">
        <v>207</v>
      </c>
      <c r="G55" s="21" t="s">
        <v>55</v>
      </c>
      <c r="H55" s="21" t="s">
        <v>56</v>
      </c>
      <c r="I55" s="22">
        <v>98500</v>
      </c>
      <c r="J55" s="21" t="s">
        <v>57</v>
      </c>
      <c r="K55" s="23">
        <v>46197.833333333336</v>
      </c>
      <c r="L55" s="21">
        <v>362</v>
      </c>
      <c r="M55" s="22">
        <v>2302</v>
      </c>
      <c r="N55" s="24">
        <v>1337.13</v>
      </c>
      <c r="O55" s="24">
        <v>2431.0500000000002</v>
      </c>
      <c r="P55" s="24">
        <v>5000</v>
      </c>
      <c r="Q55" s="22">
        <v>1207</v>
      </c>
      <c r="R55" s="22">
        <v>29951</v>
      </c>
      <c r="S55" s="22">
        <v>70135</v>
      </c>
      <c r="T55" s="21">
        <v>2</v>
      </c>
      <c r="U55" s="21">
        <v>7</v>
      </c>
      <c r="V55" s="21">
        <v>23</v>
      </c>
      <c r="W55" s="23">
        <v>46275.541666666664</v>
      </c>
      <c r="X55" s="25"/>
      <c r="Y55" s="21">
        <v>0</v>
      </c>
      <c r="Z55" s="26">
        <v>70243</v>
      </c>
      <c r="AA55">
        <v>1093.92</v>
      </c>
      <c r="AB55" s="18">
        <v>0.81811043054901167</v>
      </c>
      <c r="AC55" s="19">
        <v>1.8181104305490117</v>
      </c>
      <c r="AD55" s="19">
        <v>0.60869565217391308</v>
      </c>
      <c r="AE55" s="19">
        <v>0.71014492753623193</v>
      </c>
    </row>
    <row r="56" spans="1:31">
      <c r="A56">
        <v>60</v>
      </c>
      <c r="B56" t="s">
        <v>52</v>
      </c>
      <c r="C56" t="s">
        <v>133</v>
      </c>
      <c r="D56" t="s">
        <v>53</v>
      </c>
      <c r="E56" s="27">
        <v>46083</v>
      </c>
      <c r="F56" s="28" t="s">
        <v>208</v>
      </c>
      <c r="G56" s="28" t="s">
        <v>55</v>
      </c>
      <c r="H56" s="28" t="s">
        <v>100</v>
      </c>
      <c r="I56" s="29">
        <v>52237</v>
      </c>
      <c r="J56" s="28" t="s">
        <v>101</v>
      </c>
      <c r="K56" s="30">
        <v>46197.833333333336</v>
      </c>
      <c r="L56" s="28">
        <v>273</v>
      </c>
      <c r="M56" s="29">
        <v>1155</v>
      </c>
      <c r="N56" s="31">
        <v>204.95</v>
      </c>
      <c r="O56" s="31">
        <v>360</v>
      </c>
      <c r="P56" s="31">
        <v>768.09</v>
      </c>
      <c r="Q56" s="28">
        <v>185</v>
      </c>
      <c r="R56" s="29">
        <v>6318</v>
      </c>
      <c r="S56" s="29">
        <v>15272</v>
      </c>
      <c r="T56" s="28">
        <v>3</v>
      </c>
      <c r="U56" s="28">
        <v>5</v>
      </c>
      <c r="V56" s="28">
        <v>8</v>
      </c>
      <c r="W56" s="30">
        <v>46275.541666666664</v>
      </c>
      <c r="X56" s="32"/>
      <c r="Y56" s="28">
        <v>0</v>
      </c>
      <c r="Z56" s="33">
        <v>15382</v>
      </c>
      <c r="AA56">
        <v>155.05000000000001</v>
      </c>
      <c r="AB56" s="18">
        <v>0.75652598194681642</v>
      </c>
      <c r="AC56" s="19">
        <v>1.7565259819468164</v>
      </c>
      <c r="AD56" s="19">
        <v>2.625</v>
      </c>
      <c r="AE56" s="19">
        <v>1.4583333333333335</v>
      </c>
    </row>
    <row r="57" spans="1:31">
      <c r="A57">
        <v>61</v>
      </c>
      <c r="B57" t="s">
        <v>59</v>
      </c>
      <c r="C57" t="s">
        <v>183</v>
      </c>
      <c r="D57" t="s">
        <v>60</v>
      </c>
      <c r="E57" s="20">
        <v>46083</v>
      </c>
      <c r="F57" s="21" t="s">
        <v>209</v>
      </c>
      <c r="G57" s="21" t="s">
        <v>55</v>
      </c>
      <c r="H57" s="21" t="s">
        <v>171</v>
      </c>
      <c r="I57" s="22">
        <v>69176</v>
      </c>
      <c r="J57" s="21" t="s">
        <v>172</v>
      </c>
      <c r="K57" s="23">
        <v>46198.666666666664</v>
      </c>
      <c r="L57" s="21">
        <v>639</v>
      </c>
      <c r="M57" s="22">
        <v>2617</v>
      </c>
      <c r="N57" s="24">
        <v>230.01</v>
      </c>
      <c r="O57" s="24">
        <v>400.08</v>
      </c>
      <c r="P57" s="24">
        <v>909.58</v>
      </c>
      <c r="Q57" s="22">
        <v>1263</v>
      </c>
      <c r="R57" s="22">
        <v>31702</v>
      </c>
      <c r="S57" s="22">
        <v>74678</v>
      </c>
      <c r="T57" s="21">
        <v>3</v>
      </c>
      <c r="U57" s="21">
        <v>13</v>
      </c>
      <c r="V57" s="21">
        <v>37</v>
      </c>
      <c r="W57" s="23">
        <v>46275.625</v>
      </c>
      <c r="X57" s="25"/>
      <c r="Y57" s="21">
        <v>1</v>
      </c>
      <c r="Z57" s="26">
        <v>74838</v>
      </c>
      <c r="AA57">
        <v>170.07</v>
      </c>
      <c r="AB57" s="18">
        <v>0.73940263466805789</v>
      </c>
      <c r="AC57" s="19">
        <v>1.739402634668058</v>
      </c>
      <c r="AD57" s="19">
        <v>0.56756756756756754</v>
      </c>
      <c r="AE57" s="19">
        <v>0.81981981981981977</v>
      </c>
    </row>
    <row r="58" spans="1:31">
      <c r="A58">
        <v>62</v>
      </c>
      <c r="B58" t="s">
        <v>185</v>
      </c>
      <c r="C58" t="s">
        <v>58</v>
      </c>
      <c r="D58" t="s">
        <v>60</v>
      </c>
      <c r="E58" s="27">
        <v>46083</v>
      </c>
      <c r="F58" s="28" t="s">
        <v>210</v>
      </c>
      <c r="G58" s="28" t="s">
        <v>55</v>
      </c>
      <c r="H58" s="28" t="s">
        <v>91</v>
      </c>
      <c r="I58" s="29">
        <v>82500</v>
      </c>
      <c r="J58" s="28" t="s">
        <v>92</v>
      </c>
      <c r="K58" s="30">
        <v>46198.666666666664</v>
      </c>
      <c r="L58" s="28">
        <v>895</v>
      </c>
      <c r="M58" s="29">
        <v>4228</v>
      </c>
      <c r="N58" s="31">
        <v>808.97</v>
      </c>
      <c r="O58" s="31">
        <v>1440.25</v>
      </c>
      <c r="P58" s="31">
        <v>2610</v>
      </c>
      <c r="Q58" s="29">
        <v>1345</v>
      </c>
      <c r="R58" s="29">
        <v>33880</v>
      </c>
      <c r="S58" s="29">
        <v>79927</v>
      </c>
      <c r="T58" s="28">
        <v>5</v>
      </c>
      <c r="U58" s="28">
        <v>18</v>
      </c>
      <c r="V58" s="28">
        <v>43</v>
      </c>
      <c r="W58" s="30">
        <v>46275.625</v>
      </c>
      <c r="X58" s="32"/>
      <c r="Y58" s="28">
        <v>1</v>
      </c>
      <c r="Z58" s="33">
        <v>80110</v>
      </c>
      <c r="AA58">
        <v>631.28</v>
      </c>
      <c r="AB58" s="18">
        <v>0.78035032201441334</v>
      </c>
      <c r="AC58" s="19">
        <v>1.7803503220144132</v>
      </c>
      <c r="AD58" s="19">
        <v>0.81395348837209303</v>
      </c>
      <c r="AE58" s="19">
        <v>0.97674418604651159</v>
      </c>
    </row>
    <row r="59" spans="1:31">
      <c r="A59">
        <v>63</v>
      </c>
      <c r="B59" t="s">
        <v>94</v>
      </c>
      <c r="C59" t="s">
        <v>124</v>
      </c>
      <c r="D59" t="s">
        <v>95</v>
      </c>
      <c r="E59" s="20">
        <v>46083</v>
      </c>
      <c r="F59" s="21" t="s">
        <v>211</v>
      </c>
      <c r="G59" s="21" t="s">
        <v>55</v>
      </c>
      <c r="H59" s="21" t="s">
        <v>74</v>
      </c>
      <c r="I59" s="22">
        <v>80000</v>
      </c>
      <c r="J59" s="21" t="s">
        <v>75</v>
      </c>
      <c r="K59" s="23">
        <v>46198.75</v>
      </c>
      <c r="L59" s="21">
        <v>512</v>
      </c>
      <c r="M59" s="22">
        <v>2193</v>
      </c>
      <c r="N59" s="24">
        <v>465.6</v>
      </c>
      <c r="O59" s="24">
        <v>729.25</v>
      </c>
      <c r="P59" s="24">
        <v>1161.5899999999999</v>
      </c>
      <c r="Q59" s="22">
        <v>1200</v>
      </c>
      <c r="R59" s="22">
        <v>29739</v>
      </c>
      <c r="S59" s="22">
        <v>69422</v>
      </c>
      <c r="T59" s="21">
        <v>5</v>
      </c>
      <c r="U59" s="21">
        <v>10</v>
      </c>
      <c r="V59" s="21">
        <v>28</v>
      </c>
      <c r="W59" s="23">
        <v>46275.583333333336</v>
      </c>
      <c r="X59" s="25"/>
      <c r="Y59" s="21">
        <v>0</v>
      </c>
      <c r="Z59" s="26">
        <v>69518</v>
      </c>
      <c r="AA59">
        <v>263.64999999999998</v>
      </c>
      <c r="AB59" s="18">
        <v>0.56625859106529197</v>
      </c>
      <c r="AC59" s="19">
        <v>1.566258591065292</v>
      </c>
      <c r="AD59" s="19">
        <v>1.25</v>
      </c>
      <c r="AE59" s="19">
        <v>0.83333333333333337</v>
      </c>
    </row>
    <row r="60" spans="1:31">
      <c r="A60">
        <v>64</v>
      </c>
      <c r="B60" t="s">
        <v>98</v>
      </c>
      <c r="C60" t="s">
        <v>93</v>
      </c>
      <c r="D60" t="s">
        <v>95</v>
      </c>
      <c r="E60" s="27">
        <v>46083</v>
      </c>
      <c r="F60" s="28" t="s">
        <v>212</v>
      </c>
      <c r="G60" s="28" t="s">
        <v>55</v>
      </c>
      <c r="H60" s="28" t="s">
        <v>68</v>
      </c>
      <c r="I60" s="29">
        <v>76416</v>
      </c>
      <c r="J60" s="28" t="s">
        <v>69</v>
      </c>
      <c r="K60" s="30">
        <v>46198.75</v>
      </c>
      <c r="L60" s="28">
        <v>585</v>
      </c>
      <c r="M60" s="29">
        <v>2524</v>
      </c>
      <c r="N60" s="31">
        <v>284.61</v>
      </c>
      <c r="O60" s="31">
        <v>585</v>
      </c>
      <c r="P60" s="31">
        <v>1350</v>
      </c>
      <c r="Q60" s="29">
        <v>1219</v>
      </c>
      <c r="R60" s="29">
        <v>29993</v>
      </c>
      <c r="S60" s="29">
        <v>69929</v>
      </c>
      <c r="T60" s="28">
        <v>11</v>
      </c>
      <c r="U60" s="28">
        <v>18</v>
      </c>
      <c r="V60" s="28">
        <v>32</v>
      </c>
      <c r="W60" s="30">
        <v>46275.583333333336</v>
      </c>
      <c r="X60" s="32"/>
      <c r="Y60" s="28">
        <v>0</v>
      </c>
      <c r="Z60" s="33">
        <v>70039</v>
      </c>
      <c r="AA60">
        <v>300.39</v>
      </c>
      <c r="AB60" s="18">
        <v>1.0554442921893117</v>
      </c>
      <c r="AC60" s="19">
        <v>2.0554442921893115</v>
      </c>
      <c r="AD60" s="19">
        <v>2.40625</v>
      </c>
      <c r="AE60" s="19">
        <v>1.3125</v>
      </c>
    </row>
    <row r="61" spans="1:31">
      <c r="A61">
        <v>65</v>
      </c>
      <c r="B61" t="s">
        <v>124</v>
      </c>
      <c r="C61" t="s">
        <v>180</v>
      </c>
      <c r="D61" t="s">
        <v>178</v>
      </c>
      <c r="E61" s="20">
        <v>46083</v>
      </c>
      <c r="F61" s="21" t="s">
        <v>213</v>
      </c>
      <c r="G61" s="21" t="s">
        <v>55</v>
      </c>
      <c r="H61" s="21" t="s">
        <v>113</v>
      </c>
      <c r="I61" s="22">
        <v>70240</v>
      </c>
      <c r="J61" s="21" t="s">
        <v>114</v>
      </c>
      <c r="K61" s="23">
        <v>46198.791666666664</v>
      </c>
      <c r="L61" s="21">
        <v>585</v>
      </c>
      <c r="M61" s="22">
        <v>2540</v>
      </c>
      <c r="N61" s="24">
        <v>875</v>
      </c>
      <c r="O61" s="24">
        <v>1764</v>
      </c>
      <c r="P61" s="24">
        <v>2911.89</v>
      </c>
      <c r="Q61" s="21">
        <v>200</v>
      </c>
      <c r="R61" s="22">
        <v>7007</v>
      </c>
      <c r="S61" s="22">
        <v>36017</v>
      </c>
      <c r="T61" s="21">
        <v>2</v>
      </c>
      <c r="U61" s="21">
        <v>10</v>
      </c>
      <c r="V61" s="21">
        <v>26</v>
      </c>
      <c r="W61" s="23">
        <v>46275.5</v>
      </c>
      <c r="X61" s="25"/>
      <c r="Y61" s="21">
        <v>0</v>
      </c>
      <c r="Z61" s="26">
        <v>36192</v>
      </c>
      <c r="AA61">
        <v>889</v>
      </c>
      <c r="AB61" s="18">
        <v>1.016</v>
      </c>
      <c r="AC61" s="19">
        <v>2.016</v>
      </c>
      <c r="AD61" s="19">
        <v>0.53846153846153844</v>
      </c>
      <c r="AE61" s="19">
        <v>0.89743589743589747</v>
      </c>
    </row>
    <row r="62" spans="1:31">
      <c r="A62">
        <v>66</v>
      </c>
      <c r="B62" t="s">
        <v>181</v>
      </c>
      <c r="C62" t="s">
        <v>124</v>
      </c>
      <c r="D62" t="s">
        <v>178</v>
      </c>
      <c r="E62" s="27">
        <v>46083</v>
      </c>
      <c r="F62" s="28" t="s">
        <v>214</v>
      </c>
      <c r="G62" s="28" t="s">
        <v>55</v>
      </c>
      <c r="H62" s="28" t="s">
        <v>164</v>
      </c>
      <c r="I62" s="29">
        <v>54500</v>
      </c>
      <c r="J62" s="28" t="s">
        <v>165</v>
      </c>
      <c r="K62" s="30">
        <v>46186.875</v>
      </c>
      <c r="L62" s="28">
        <v>494</v>
      </c>
      <c r="M62" s="29">
        <v>2331</v>
      </c>
      <c r="N62" s="31">
        <v>369.6</v>
      </c>
      <c r="O62" s="31">
        <v>593.66999999999996</v>
      </c>
      <c r="P62" s="31">
        <v>1163.01</v>
      </c>
      <c r="Q62" s="29">
        <v>1259</v>
      </c>
      <c r="R62" s="29">
        <v>31048</v>
      </c>
      <c r="S62" s="29">
        <v>74869</v>
      </c>
      <c r="T62" s="28">
        <v>0</v>
      </c>
      <c r="U62" s="28">
        <v>8</v>
      </c>
      <c r="V62" s="28">
        <v>24</v>
      </c>
      <c r="W62" s="30">
        <v>46275.375</v>
      </c>
      <c r="X62" s="32"/>
      <c r="Y62" s="28">
        <v>0</v>
      </c>
      <c r="Z62" s="33">
        <v>75023</v>
      </c>
      <c r="AA62">
        <v>224.06999999999994</v>
      </c>
      <c r="AB62" s="18">
        <v>0.60624999999999984</v>
      </c>
      <c r="AC62" s="19">
        <v>1.6062499999999997</v>
      </c>
      <c r="AD62" s="19">
        <v>0</v>
      </c>
      <c r="AE62" s="19">
        <v>0.77777777777777779</v>
      </c>
    </row>
    <row r="63" spans="1:31">
      <c r="A63">
        <v>67</v>
      </c>
      <c r="B63" t="s">
        <v>177</v>
      </c>
      <c r="C63" t="s">
        <v>181</v>
      </c>
      <c r="D63" t="s">
        <v>178</v>
      </c>
      <c r="E63" s="20">
        <v>46083</v>
      </c>
      <c r="F63" s="21" t="s">
        <v>215</v>
      </c>
      <c r="G63" s="21" t="s">
        <v>55</v>
      </c>
      <c r="H63" s="21" t="s">
        <v>140</v>
      </c>
      <c r="I63" s="22">
        <v>75000</v>
      </c>
      <c r="J63" s="21" t="s">
        <v>141</v>
      </c>
      <c r="K63" s="23">
        <v>46198.791666666664</v>
      </c>
      <c r="L63" s="21">
        <v>629</v>
      </c>
      <c r="M63" s="22">
        <v>2627</v>
      </c>
      <c r="N63" s="24">
        <v>382</v>
      </c>
      <c r="O63" s="24">
        <v>650</v>
      </c>
      <c r="P63" s="24">
        <v>1327.94</v>
      </c>
      <c r="Q63" s="22">
        <v>1205</v>
      </c>
      <c r="R63" s="22">
        <v>29617</v>
      </c>
      <c r="S63" s="22">
        <v>69492</v>
      </c>
      <c r="T63" s="21">
        <v>6</v>
      </c>
      <c r="U63" s="21">
        <v>16</v>
      </c>
      <c r="V63" s="21">
        <v>26</v>
      </c>
      <c r="W63" s="23">
        <v>46275.5</v>
      </c>
      <c r="X63" s="25"/>
      <c r="Y63" s="21">
        <v>0</v>
      </c>
      <c r="Z63" s="26">
        <v>69586</v>
      </c>
      <c r="AA63">
        <v>268</v>
      </c>
      <c r="AB63" s="18">
        <v>0.70157068062827221</v>
      </c>
      <c r="AC63" s="19">
        <v>1.7015706806282722</v>
      </c>
      <c r="AD63" s="19">
        <v>1.6153846153846154</v>
      </c>
      <c r="AE63" s="19">
        <v>1.4358974358974357</v>
      </c>
    </row>
    <row r="64" spans="1:31">
      <c r="A64">
        <v>68</v>
      </c>
      <c r="B64" t="s">
        <v>125</v>
      </c>
      <c r="C64" t="s">
        <v>120</v>
      </c>
      <c r="D64" t="s">
        <v>122</v>
      </c>
      <c r="E64" s="27">
        <v>46083</v>
      </c>
      <c r="F64" s="28" t="s">
        <v>216</v>
      </c>
      <c r="G64" s="28" t="s">
        <v>55</v>
      </c>
      <c r="H64" s="28" t="s">
        <v>127</v>
      </c>
      <c r="I64" s="29">
        <v>68756</v>
      </c>
      <c r="J64" s="28" t="s">
        <v>128</v>
      </c>
      <c r="K64" s="30">
        <v>46199.625</v>
      </c>
      <c r="L64" s="28">
        <v>790</v>
      </c>
      <c r="M64" s="29">
        <v>3815</v>
      </c>
      <c r="N64" s="31">
        <v>755.32</v>
      </c>
      <c r="O64" s="31">
        <v>1297.47</v>
      </c>
      <c r="P64" s="31">
        <v>2516.4</v>
      </c>
      <c r="Q64" s="29">
        <v>1263</v>
      </c>
      <c r="R64" s="29">
        <v>32304</v>
      </c>
      <c r="S64" s="29">
        <v>76543</v>
      </c>
      <c r="T64" s="28">
        <v>4</v>
      </c>
      <c r="U64" s="28">
        <v>11</v>
      </c>
      <c r="V64" s="28">
        <v>30</v>
      </c>
      <c r="W64" s="30">
        <v>46275.625</v>
      </c>
      <c r="X64" s="32"/>
      <c r="Y64" s="28">
        <v>1</v>
      </c>
      <c r="Z64" s="33">
        <v>76727</v>
      </c>
      <c r="AA64">
        <v>542.15</v>
      </c>
      <c r="AB64" s="18">
        <v>0.7177752475771858</v>
      </c>
      <c r="AC64" s="19">
        <v>1.7177752475771857</v>
      </c>
      <c r="AD64" s="19">
        <v>0.93333333333333335</v>
      </c>
      <c r="AE64" s="19">
        <v>0.85555555555555551</v>
      </c>
    </row>
    <row r="65" spans="1:31">
      <c r="A65">
        <v>69</v>
      </c>
      <c r="B65" t="s">
        <v>121</v>
      </c>
      <c r="C65" t="s">
        <v>124</v>
      </c>
      <c r="D65" t="s">
        <v>122</v>
      </c>
      <c r="E65" s="20">
        <v>46083</v>
      </c>
      <c r="F65" s="21" t="s">
        <v>217</v>
      </c>
      <c r="G65" s="21" t="s">
        <v>55</v>
      </c>
      <c r="H65" s="21" t="s">
        <v>146</v>
      </c>
      <c r="I65" s="22">
        <v>30000</v>
      </c>
      <c r="J65" s="21" t="s">
        <v>147</v>
      </c>
      <c r="K65" s="23">
        <v>46199.625</v>
      </c>
      <c r="L65" s="21">
        <v>359</v>
      </c>
      <c r="M65" s="22">
        <v>1514</v>
      </c>
      <c r="N65" s="24">
        <v>400.96</v>
      </c>
      <c r="O65" s="24">
        <v>600.5</v>
      </c>
      <c r="P65" s="24">
        <v>935.45</v>
      </c>
      <c r="Q65" s="22">
        <v>1256</v>
      </c>
      <c r="R65" s="22">
        <v>31305</v>
      </c>
      <c r="S65" s="22">
        <v>74206</v>
      </c>
      <c r="T65" s="21">
        <v>0</v>
      </c>
      <c r="U65" s="21">
        <v>4</v>
      </c>
      <c r="V65" s="21">
        <v>9</v>
      </c>
      <c r="W65" s="23">
        <v>46275.5</v>
      </c>
      <c r="X65" s="25"/>
      <c r="Y65" s="21">
        <v>0</v>
      </c>
      <c r="Z65" s="26">
        <v>74368</v>
      </c>
      <c r="AA65">
        <v>199.54000000000002</v>
      </c>
      <c r="AB65" s="18">
        <v>0.49765562649640871</v>
      </c>
      <c r="AC65" s="19">
        <v>1.4976556264964087</v>
      </c>
      <c r="AD65" s="19">
        <v>0</v>
      </c>
      <c r="AE65" s="19">
        <v>1.037037037037037</v>
      </c>
    </row>
    <row r="66" spans="1:31">
      <c r="A66">
        <v>70</v>
      </c>
      <c r="B66" t="s">
        <v>116</v>
      </c>
      <c r="C66" t="s">
        <v>109</v>
      </c>
      <c r="D66" t="s">
        <v>111</v>
      </c>
      <c r="E66" s="27">
        <v>46083</v>
      </c>
      <c r="F66" s="28" t="s">
        <v>218</v>
      </c>
      <c r="G66" s="28" t="s">
        <v>55</v>
      </c>
      <c r="H66" s="28" t="s">
        <v>118</v>
      </c>
      <c r="I66" s="29">
        <v>67000</v>
      </c>
      <c r="J66" s="28" t="s">
        <v>119</v>
      </c>
      <c r="K66" s="30">
        <v>46199.833333333336</v>
      </c>
      <c r="L66" s="28">
        <v>700</v>
      </c>
      <c r="M66" s="29">
        <v>3021</v>
      </c>
      <c r="N66" s="31">
        <v>253.38</v>
      </c>
      <c r="O66" s="31">
        <v>501.08</v>
      </c>
      <c r="P66" s="31">
        <v>990</v>
      </c>
      <c r="Q66" s="28">
        <v>180</v>
      </c>
      <c r="R66" s="29">
        <v>6560</v>
      </c>
      <c r="S66" s="29">
        <v>35102</v>
      </c>
      <c r="T66" s="28">
        <v>2</v>
      </c>
      <c r="U66" s="28">
        <v>8</v>
      </c>
      <c r="V66" s="28">
        <v>25</v>
      </c>
      <c r="W66" s="30">
        <v>46275.5</v>
      </c>
      <c r="X66" s="32"/>
      <c r="Y66" s="28">
        <v>0</v>
      </c>
      <c r="Z66" s="33">
        <v>35264</v>
      </c>
      <c r="AA66">
        <v>247.7</v>
      </c>
      <c r="AB66" s="18">
        <v>0.9775830768016418</v>
      </c>
      <c r="AC66" s="19">
        <v>1.9775830768016418</v>
      </c>
      <c r="AD66" s="19">
        <v>0.55999999999999994</v>
      </c>
      <c r="AE66" s="19">
        <v>0.74666666666666659</v>
      </c>
    </row>
    <row r="67" spans="1:31">
      <c r="A67">
        <v>71</v>
      </c>
      <c r="B67" t="s">
        <v>110</v>
      </c>
      <c r="C67" t="s">
        <v>115</v>
      </c>
      <c r="D67" t="s">
        <v>111</v>
      </c>
      <c r="E67" s="20">
        <v>46083</v>
      </c>
      <c r="F67" s="21" t="s">
        <v>219</v>
      </c>
      <c r="G67" s="21" t="s">
        <v>55</v>
      </c>
      <c r="H67" s="21" t="s">
        <v>164</v>
      </c>
      <c r="I67" s="22">
        <v>54500</v>
      </c>
      <c r="J67" s="21" t="s">
        <v>165</v>
      </c>
      <c r="K67" s="23">
        <v>46199.833333333336</v>
      </c>
      <c r="L67" s="21">
        <v>503</v>
      </c>
      <c r="M67" s="22">
        <v>2218</v>
      </c>
      <c r="N67" s="24">
        <v>327.60000000000002</v>
      </c>
      <c r="O67" s="24">
        <v>530.5</v>
      </c>
      <c r="P67" s="24">
        <v>1117.8</v>
      </c>
      <c r="Q67" s="22">
        <v>1271</v>
      </c>
      <c r="R67" s="22">
        <v>31863</v>
      </c>
      <c r="S67" s="22">
        <v>74972</v>
      </c>
      <c r="T67" s="21">
        <v>2</v>
      </c>
      <c r="U67" s="21">
        <v>9</v>
      </c>
      <c r="V67" s="21">
        <v>32</v>
      </c>
      <c r="W67" s="23">
        <v>46275.375</v>
      </c>
      <c r="X67" s="25"/>
      <c r="Y67" s="21">
        <v>0</v>
      </c>
      <c r="Z67" s="26">
        <v>75140</v>
      </c>
      <c r="AA67">
        <v>202.89999999999998</v>
      </c>
      <c r="AB67" s="18">
        <v>0.61935286935286926</v>
      </c>
      <c r="AC67" s="19">
        <v>1.6193528693528692</v>
      </c>
      <c r="AD67" s="19">
        <v>0.4375</v>
      </c>
      <c r="AE67" s="19">
        <v>0.65625</v>
      </c>
    </row>
    <row r="68" spans="1:31">
      <c r="A68">
        <v>72</v>
      </c>
      <c r="B68" t="s">
        <v>107</v>
      </c>
      <c r="C68" t="s">
        <v>102</v>
      </c>
      <c r="D68" t="s">
        <v>104</v>
      </c>
      <c r="E68" s="27">
        <v>46083</v>
      </c>
      <c r="F68" s="28" t="s">
        <v>220</v>
      </c>
      <c r="G68" s="28" t="s">
        <v>55</v>
      </c>
      <c r="H68" s="28" t="s">
        <v>62</v>
      </c>
      <c r="I68" s="29">
        <v>71500</v>
      </c>
      <c r="J68" s="28" t="s">
        <v>63</v>
      </c>
      <c r="K68" s="30">
        <v>46199.791666666664</v>
      </c>
      <c r="L68" s="28">
        <v>817</v>
      </c>
      <c r="M68" s="29">
        <v>3584</v>
      </c>
      <c r="N68" s="31">
        <v>166.03</v>
      </c>
      <c r="O68" s="31">
        <v>382.2</v>
      </c>
      <c r="P68" s="31">
        <v>1059.3499999999999</v>
      </c>
      <c r="Q68" s="28">
        <v>186</v>
      </c>
      <c r="R68" s="29">
        <v>6263</v>
      </c>
      <c r="S68" s="29">
        <v>13561</v>
      </c>
      <c r="T68" s="28">
        <v>5</v>
      </c>
      <c r="U68" s="28">
        <v>13</v>
      </c>
      <c r="V68" s="28">
        <v>26</v>
      </c>
      <c r="W68" s="30">
        <v>46275.583333333336</v>
      </c>
      <c r="X68" s="32"/>
      <c r="Y68" s="28">
        <v>0</v>
      </c>
      <c r="Z68" s="33">
        <v>13648</v>
      </c>
      <c r="AA68">
        <v>216.17</v>
      </c>
      <c r="AB68" s="18">
        <v>1.3019936156116363</v>
      </c>
      <c r="AC68" s="19">
        <v>2.3019936156116363</v>
      </c>
      <c r="AD68" s="19">
        <v>1.346153846153846</v>
      </c>
      <c r="AE68" s="19">
        <v>1.1666666666666665</v>
      </c>
    </row>
    <row r="69" spans="1:31">
      <c r="A69">
        <v>73</v>
      </c>
      <c r="B69" t="s">
        <v>103</v>
      </c>
      <c r="C69" t="s">
        <v>106</v>
      </c>
      <c r="D69" t="s">
        <v>104</v>
      </c>
      <c r="E69" s="20">
        <v>46083</v>
      </c>
      <c r="F69" s="21" t="s">
        <v>221</v>
      </c>
      <c r="G69" s="21" t="s">
        <v>55</v>
      </c>
      <c r="H69" s="21" t="s">
        <v>135</v>
      </c>
      <c r="I69" s="22">
        <v>49800</v>
      </c>
      <c r="J69" s="21" t="s">
        <v>136</v>
      </c>
      <c r="K69" s="23">
        <v>46199.791666666664</v>
      </c>
      <c r="L69" s="21">
        <v>466</v>
      </c>
      <c r="M69" s="22">
        <v>2495</v>
      </c>
      <c r="N69" s="24">
        <v>870</v>
      </c>
      <c r="O69" s="24">
        <v>1455.72</v>
      </c>
      <c r="P69" s="24">
        <v>2680.11</v>
      </c>
      <c r="Q69" s="22">
        <v>1286</v>
      </c>
      <c r="R69" s="22">
        <v>32402</v>
      </c>
      <c r="S69" s="22">
        <v>76089</v>
      </c>
      <c r="T69" s="21">
        <v>7</v>
      </c>
      <c r="U69" s="21">
        <v>16</v>
      </c>
      <c r="V69" s="21">
        <v>29</v>
      </c>
      <c r="W69" s="23">
        <v>46275.541666666664</v>
      </c>
      <c r="X69" s="25"/>
      <c r="Y69" s="21">
        <v>0</v>
      </c>
      <c r="Z69" s="26">
        <v>76253</v>
      </c>
      <c r="AA69">
        <v>585.72</v>
      </c>
      <c r="AB69" s="18">
        <v>0.67324137931034489</v>
      </c>
      <c r="AC69" s="19">
        <v>1.6732413793103449</v>
      </c>
      <c r="AD69" s="19">
        <v>1.6896551724137929</v>
      </c>
      <c r="AE69" s="19">
        <v>1.2873563218390802</v>
      </c>
    </row>
    <row r="70" spans="1:31">
      <c r="A70">
        <v>74</v>
      </c>
      <c r="B70" t="s">
        <v>143</v>
      </c>
      <c r="C70" t="s">
        <v>148</v>
      </c>
      <c r="D70" t="s">
        <v>144</v>
      </c>
      <c r="E70" s="27">
        <v>46083</v>
      </c>
      <c r="F70" s="28" t="s">
        <v>222</v>
      </c>
      <c r="G70" s="28" t="s">
        <v>55</v>
      </c>
      <c r="H70" s="28" t="s">
        <v>91</v>
      </c>
      <c r="I70" s="29">
        <v>82500</v>
      </c>
      <c r="J70" s="28" t="s">
        <v>92</v>
      </c>
      <c r="K70" s="30">
        <v>46200.708333333336</v>
      </c>
      <c r="L70" s="28">
        <v>873</v>
      </c>
      <c r="M70" s="29">
        <v>4202</v>
      </c>
      <c r="N70" s="31">
        <v>644.13</v>
      </c>
      <c r="O70" s="31">
        <v>1200.5999999999999</v>
      </c>
      <c r="P70" s="31">
        <v>1986.71</v>
      </c>
      <c r="Q70" s="28">
        <v>177</v>
      </c>
      <c r="R70" s="29">
        <v>6149</v>
      </c>
      <c r="S70" s="29">
        <v>13970</v>
      </c>
      <c r="T70" s="28">
        <v>3</v>
      </c>
      <c r="U70" s="28">
        <v>14</v>
      </c>
      <c r="V70" s="28">
        <v>42</v>
      </c>
      <c r="W70" s="30">
        <v>46275.625</v>
      </c>
      <c r="X70" s="32"/>
      <c r="Y70" s="28">
        <v>0</v>
      </c>
      <c r="Z70" s="33">
        <v>14063</v>
      </c>
      <c r="AA70">
        <v>556.46999999999991</v>
      </c>
      <c r="AB70" s="18">
        <v>0.863909459270644</v>
      </c>
      <c r="AC70" s="19">
        <v>1.863909459270644</v>
      </c>
      <c r="AD70" s="19">
        <v>0.5</v>
      </c>
      <c r="AE70" s="19">
        <v>0.77777777777777779</v>
      </c>
    </row>
    <row r="71" spans="1:31">
      <c r="A71">
        <v>75</v>
      </c>
      <c r="B71" t="s">
        <v>149</v>
      </c>
      <c r="C71" t="s">
        <v>142</v>
      </c>
      <c r="D71" t="s">
        <v>144</v>
      </c>
      <c r="E71" s="20">
        <v>46083</v>
      </c>
      <c r="F71" s="21" t="s">
        <v>223</v>
      </c>
      <c r="G71" s="21" t="s">
        <v>55</v>
      </c>
      <c r="H71" s="21" t="s">
        <v>171</v>
      </c>
      <c r="I71" s="22">
        <v>69176</v>
      </c>
      <c r="J71" s="21" t="s">
        <v>172</v>
      </c>
      <c r="K71" s="23">
        <v>46200.708333333336</v>
      </c>
      <c r="L71" s="21">
        <v>679</v>
      </c>
      <c r="M71" s="22">
        <v>2931</v>
      </c>
      <c r="N71" s="24">
        <v>460</v>
      </c>
      <c r="O71" s="24">
        <v>755.5</v>
      </c>
      <c r="P71" s="24">
        <v>1359.82</v>
      </c>
      <c r="Q71" s="22">
        <v>1265</v>
      </c>
      <c r="R71" s="22">
        <v>31956</v>
      </c>
      <c r="S71" s="22">
        <v>75501</v>
      </c>
      <c r="T71" s="21">
        <v>5</v>
      </c>
      <c r="U71" s="21">
        <v>11</v>
      </c>
      <c r="V71" s="21">
        <v>28</v>
      </c>
      <c r="W71" s="23">
        <v>46275.625</v>
      </c>
      <c r="X71" s="25"/>
      <c r="Y71" s="21">
        <v>0</v>
      </c>
      <c r="Z71" s="26">
        <v>75652</v>
      </c>
      <c r="AA71">
        <v>295.5</v>
      </c>
      <c r="AB71" s="18">
        <v>0.6423913043478261</v>
      </c>
      <c r="AC71" s="19">
        <v>1.642391304347826</v>
      </c>
      <c r="AD71" s="19">
        <v>1.25</v>
      </c>
      <c r="AE71" s="19">
        <v>0.91666666666666663</v>
      </c>
    </row>
    <row r="72" spans="1:31">
      <c r="A72">
        <v>76</v>
      </c>
      <c r="B72" t="s">
        <v>130</v>
      </c>
      <c r="C72" t="s">
        <v>137</v>
      </c>
      <c r="D72" t="s">
        <v>131</v>
      </c>
      <c r="E72" s="27">
        <v>46083</v>
      </c>
      <c r="F72" s="28" t="s">
        <v>224</v>
      </c>
      <c r="G72" s="28" t="s">
        <v>55</v>
      </c>
      <c r="H72" s="28" t="s">
        <v>68</v>
      </c>
      <c r="I72" s="29">
        <v>76416</v>
      </c>
      <c r="J72" s="28" t="s">
        <v>69</v>
      </c>
      <c r="K72" s="30">
        <v>46200.875</v>
      </c>
      <c r="L72" s="28">
        <v>570</v>
      </c>
      <c r="M72" s="29">
        <v>2555</v>
      </c>
      <c r="N72" s="31">
        <v>259.89</v>
      </c>
      <c r="O72" s="31">
        <v>556.52</v>
      </c>
      <c r="P72" s="31">
        <v>2343.04</v>
      </c>
      <c r="Q72" s="29">
        <v>1185</v>
      </c>
      <c r="R72" s="29">
        <v>29458</v>
      </c>
      <c r="S72" s="29">
        <v>68747</v>
      </c>
      <c r="T72" s="28">
        <v>1</v>
      </c>
      <c r="U72" s="28">
        <v>11</v>
      </c>
      <c r="V72" s="28">
        <v>26</v>
      </c>
      <c r="W72" s="30">
        <v>46275.583333333336</v>
      </c>
      <c r="X72" s="32"/>
      <c r="Y72" s="28">
        <v>0</v>
      </c>
      <c r="Z72" s="33">
        <v>68836</v>
      </c>
      <c r="AA72">
        <v>296.63</v>
      </c>
      <c r="AB72" s="18">
        <v>1.1413675016353073</v>
      </c>
      <c r="AC72" s="19">
        <v>2.1413675016353073</v>
      </c>
      <c r="AD72" s="19">
        <v>0.26923076923076922</v>
      </c>
      <c r="AE72" s="19">
        <v>0.98717948717948711</v>
      </c>
    </row>
    <row r="73" spans="1:31">
      <c r="A73">
        <v>77</v>
      </c>
      <c r="B73" t="s">
        <v>167</v>
      </c>
      <c r="C73" t="s">
        <v>175</v>
      </c>
      <c r="D73" t="s">
        <v>169</v>
      </c>
      <c r="E73" s="20">
        <v>46083</v>
      </c>
      <c r="F73" s="21" t="s">
        <v>225</v>
      </c>
      <c r="G73" s="21" t="s">
        <v>55</v>
      </c>
      <c r="H73" s="21" t="s">
        <v>91</v>
      </c>
      <c r="I73" s="22">
        <v>82500</v>
      </c>
      <c r="J73" s="21" t="s">
        <v>92</v>
      </c>
      <c r="K73" s="23">
        <v>46186.75</v>
      </c>
      <c r="L73" s="21">
        <v>849</v>
      </c>
      <c r="M73" s="22">
        <v>4032</v>
      </c>
      <c r="N73" s="24">
        <v>940.84</v>
      </c>
      <c r="O73" s="24">
        <v>1600</v>
      </c>
      <c r="P73" s="24">
        <v>2475.1999999999998</v>
      </c>
      <c r="Q73" s="21">
        <v>443</v>
      </c>
      <c r="R73" s="22">
        <v>14080</v>
      </c>
      <c r="S73" s="22">
        <v>33293</v>
      </c>
      <c r="T73" s="21">
        <v>12</v>
      </c>
      <c r="U73" s="21">
        <v>32</v>
      </c>
      <c r="V73" s="21">
        <v>64</v>
      </c>
      <c r="W73" s="23">
        <v>46275.625</v>
      </c>
      <c r="X73" s="25"/>
      <c r="Y73" s="21">
        <v>0</v>
      </c>
      <c r="Z73" s="26">
        <v>33553</v>
      </c>
      <c r="AA73">
        <v>659.16</v>
      </c>
      <c r="AB73" s="18">
        <v>0.70060796734832698</v>
      </c>
      <c r="AC73" s="19">
        <v>1.700607967348327</v>
      </c>
      <c r="AD73" s="19">
        <v>1.3125</v>
      </c>
      <c r="AE73" s="19">
        <v>1.1666666666666667</v>
      </c>
    </row>
    <row r="74" spans="1:31">
      <c r="A74">
        <v>78</v>
      </c>
      <c r="B74" t="s">
        <v>138</v>
      </c>
      <c r="C74" t="s">
        <v>129</v>
      </c>
      <c r="D74" t="s">
        <v>131</v>
      </c>
      <c r="E74" s="27">
        <v>46083</v>
      </c>
      <c r="F74" s="28" t="s">
        <v>226</v>
      </c>
      <c r="G74" s="28" t="s">
        <v>55</v>
      </c>
      <c r="H74" s="28" t="s">
        <v>74</v>
      </c>
      <c r="I74" s="29">
        <v>80000</v>
      </c>
      <c r="J74" s="28" t="s">
        <v>75</v>
      </c>
      <c r="K74" s="30">
        <v>46200.875</v>
      </c>
      <c r="L74" s="28">
        <v>629</v>
      </c>
      <c r="M74" s="29">
        <v>2606</v>
      </c>
      <c r="N74" s="31">
        <v>742.05</v>
      </c>
      <c r="O74" s="31">
        <v>1217.3599999999999</v>
      </c>
      <c r="P74" s="31">
        <v>2037.96</v>
      </c>
      <c r="Q74" s="28">
        <v>203</v>
      </c>
      <c r="R74" s="29">
        <v>7330</v>
      </c>
      <c r="S74" s="29">
        <v>36568</v>
      </c>
      <c r="T74" s="28">
        <v>7</v>
      </c>
      <c r="U74" s="28">
        <v>19</v>
      </c>
      <c r="V74" s="28">
        <v>37</v>
      </c>
      <c r="W74" s="30">
        <v>46275.583333333336</v>
      </c>
      <c r="X74" s="32"/>
      <c r="Y74" s="28">
        <v>1</v>
      </c>
      <c r="Z74" s="33">
        <v>36740</v>
      </c>
      <c r="AA74">
        <v>475.30999999999995</v>
      </c>
      <c r="AB74" s="18">
        <v>0.64053635199784376</v>
      </c>
      <c r="AC74" s="19">
        <v>1.6405363519978438</v>
      </c>
      <c r="AD74" s="19">
        <v>1.3243243243243243</v>
      </c>
      <c r="AE74" s="19">
        <v>1.1981981981981982</v>
      </c>
    </row>
    <row r="75" spans="1:31">
      <c r="A75">
        <v>79</v>
      </c>
      <c r="B75" t="s">
        <v>155</v>
      </c>
      <c r="C75" t="s">
        <v>151</v>
      </c>
      <c r="D75" t="s">
        <v>152</v>
      </c>
      <c r="E75" s="20">
        <v>46083</v>
      </c>
      <c r="F75" s="21" t="s">
        <v>227</v>
      </c>
      <c r="G75" s="21" t="s">
        <v>55</v>
      </c>
      <c r="H75" s="21" t="s">
        <v>85</v>
      </c>
      <c r="I75" s="22">
        <v>76100</v>
      </c>
      <c r="J75" s="21" t="s">
        <v>86</v>
      </c>
      <c r="K75" s="23">
        <v>46200.8125</v>
      </c>
      <c r="L75" s="21">
        <v>943</v>
      </c>
      <c r="M75" s="22">
        <v>5240</v>
      </c>
      <c r="N75" s="24">
        <v>1603.08</v>
      </c>
      <c r="O75" s="24">
        <v>3192.36</v>
      </c>
      <c r="P75" s="24">
        <v>8550</v>
      </c>
      <c r="Q75" s="21">
        <v>356</v>
      </c>
      <c r="R75" s="22">
        <v>11313</v>
      </c>
      <c r="S75" s="22">
        <v>26411</v>
      </c>
      <c r="T75" s="21">
        <v>6</v>
      </c>
      <c r="U75" s="21">
        <v>25</v>
      </c>
      <c r="V75" s="21">
        <v>57</v>
      </c>
      <c r="W75" s="23">
        <v>46275.625</v>
      </c>
      <c r="X75" s="25"/>
      <c r="Y75" s="21">
        <v>0</v>
      </c>
      <c r="Z75" s="26">
        <v>26634</v>
      </c>
      <c r="AA75">
        <v>1589.2800000000002</v>
      </c>
      <c r="AB75" s="18">
        <v>0.99139157122539134</v>
      </c>
      <c r="AC75" s="19">
        <v>1.9913915712253913</v>
      </c>
      <c r="AD75" s="19">
        <v>0.73684210526315796</v>
      </c>
      <c r="AE75" s="19">
        <v>1.0233918128654973</v>
      </c>
    </row>
    <row r="76" spans="1:31">
      <c r="A76">
        <v>80</v>
      </c>
      <c r="B76" t="s">
        <v>124</v>
      </c>
      <c r="C76" t="s">
        <v>154</v>
      </c>
      <c r="D76" t="s">
        <v>152</v>
      </c>
      <c r="E76" s="27">
        <v>46083</v>
      </c>
      <c r="F76" s="28" t="s">
        <v>228</v>
      </c>
      <c r="G76" s="28" t="s">
        <v>55</v>
      </c>
      <c r="H76" s="28" t="s">
        <v>79</v>
      </c>
      <c r="I76" s="29">
        <v>71000</v>
      </c>
      <c r="J76" s="28" t="s">
        <v>80</v>
      </c>
      <c r="K76" s="30">
        <v>46200.8125</v>
      </c>
      <c r="L76" s="28">
        <v>656</v>
      </c>
      <c r="M76" s="29">
        <v>2822</v>
      </c>
      <c r="N76" s="31">
        <v>224.6</v>
      </c>
      <c r="O76" s="31">
        <v>450.75</v>
      </c>
      <c r="P76" s="31">
        <v>1204.3699999999999</v>
      </c>
      <c r="Q76" s="28">
        <v>128</v>
      </c>
      <c r="R76" s="29">
        <v>4338</v>
      </c>
      <c r="S76" s="29">
        <v>9745</v>
      </c>
      <c r="T76" s="28">
        <v>1</v>
      </c>
      <c r="U76" s="28">
        <v>8</v>
      </c>
      <c r="V76" s="28">
        <v>28</v>
      </c>
      <c r="W76" s="30">
        <v>46275.625</v>
      </c>
      <c r="X76" s="32"/>
      <c r="Y76" s="28">
        <v>0</v>
      </c>
      <c r="Z76" s="33">
        <v>9799</v>
      </c>
      <c r="AA76">
        <v>226.15</v>
      </c>
      <c r="AB76" s="18">
        <v>1.0069011576135352</v>
      </c>
      <c r="AC76" s="19">
        <v>2.0069011576135352</v>
      </c>
      <c r="AD76" s="19">
        <v>0.25</v>
      </c>
      <c r="AE76" s="19">
        <v>0.66666666666666663</v>
      </c>
    </row>
    <row r="77" spans="1:31">
      <c r="A77">
        <v>81</v>
      </c>
      <c r="B77" t="s">
        <v>229</v>
      </c>
      <c r="C77" t="s">
        <v>230</v>
      </c>
      <c r="D77" t="s">
        <v>231</v>
      </c>
      <c r="E77" s="20">
        <v>46083</v>
      </c>
      <c r="F77" s="21" t="s">
        <v>232</v>
      </c>
      <c r="G77" s="21" t="s">
        <v>55</v>
      </c>
      <c r="H77" s="21" t="s">
        <v>113</v>
      </c>
      <c r="I77" s="22">
        <v>70240</v>
      </c>
      <c r="J77" s="21" t="s">
        <v>114</v>
      </c>
      <c r="K77" s="23">
        <v>46201.5</v>
      </c>
      <c r="L77" s="21">
        <v>776</v>
      </c>
      <c r="M77" s="22">
        <v>3354</v>
      </c>
      <c r="N77" s="24">
        <v>551.42999999999995</v>
      </c>
      <c r="O77" s="24">
        <v>1080</v>
      </c>
      <c r="P77" s="24">
        <v>1853.86</v>
      </c>
      <c r="Q77" s="21">
        <v>992</v>
      </c>
      <c r="R77" s="22">
        <v>25693</v>
      </c>
      <c r="S77" s="22">
        <v>59812</v>
      </c>
      <c r="T77" s="21">
        <v>4</v>
      </c>
      <c r="U77" s="21">
        <v>7</v>
      </c>
      <c r="V77" s="21">
        <v>18</v>
      </c>
      <c r="W77" s="23">
        <v>46275.5</v>
      </c>
      <c r="X77" s="25"/>
      <c r="Y77" s="21">
        <v>0</v>
      </c>
      <c r="Z77" s="26">
        <v>59926</v>
      </c>
      <c r="AA77">
        <v>528.57000000000005</v>
      </c>
      <c r="AB77" s="18">
        <v>0.95854414884935546</v>
      </c>
      <c r="AC77" s="19">
        <v>1.9585441488493556</v>
      </c>
      <c r="AD77" s="19">
        <v>1.5555555555555554</v>
      </c>
      <c r="AE77" s="19">
        <v>0.90740740740740744</v>
      </c>
    </row>
    <row r="78" spans="1:31">
      <c r="A78">
        <v>82</v>
      </c>
      <c r="B78" t="s">
        <v>233</v>
      </c>
      <c r="C78" t="s">
        <v>234</v>
      </c>
      <c r="D78" t="s">
        <v>231</v>
      </c>
      <c r="E78" s="27">
        <v>46083</v>
      </c>
      <c r="F78" s="28" t="s">
        <v>235</v>
      </c>
      <c r="G78" s="28" t="s">
        <v>55</v>
      </c>
      <c r="H78" s="28" t="s">
        <v>127</v>
      </c>
      <c r="I78" s="29">
        <v>68756</v>
      </c>
      <c r="J78" s="28" t="s">
        <v>128</v>
      </c>
      <c r="K78" s="30">
        <v>46202.6875</v>
      </c>
      <c r="L78" s="28">
        <v>661</v>
      </c>
      <c r="M78" s="29">
        <v>2870</v>
      </c>
      <c r="N78" s="31">
        <v>535.04</v>
      </c>
      <c r="O78" s="31">
        <v>990.81</v>
      </c>
      <c r="P78" s="31">
        <v>1779.3</v>
      </c>
      <c r="Q78" s="28">
        <v>102</v>
      </c>
      <c r="R78" s="29">
        <v>3933</v>
      </c>
      <c r="S78" s="29">
        <v>11389</v>
      </c>
      <c r="T78" s="28">
        <v>1</v>
      </c>
      <c r="U78" s="28">
        <v>7</v>
      </c>
      <c r="V78" s="28">
        <v>18</v>
      </c>
      <c r="W78" s="30">
        <v>46275.625</v>
      </c>
      <c r="X78" s="32"/>
      <c r="Y78" s="28">
        <v>0</v>
      </c>
      <c r="Z78" s="33">
        <v>11463</v>
      </c>
      <c r="AA78">
        <v>455.77</v>
      </c>
      <c r="AB78" s="18">
        <v>0.85184285287081341</v>
      </c>
      <c r="AC78" s="19">
        <v>1.8518428528708135</v>
      </c>
      <c r="AD78" s="19">
        <v>0.38888888888888884</v>
      </c>
      <c r="AE78" s="19">
        <v>0.90740740740740744</v>
      </c>
    </row>
    <row r="79" spans="1:31">
      <c r="A79">
        <v>83</v>
      </c>
      <c r="B79" t="s">
        <v>236</v>
      </c>
      <c r="C79" t="s">
        <v>237</v>
      </c>
      <c r="D79" t="s">
        <v>231</v>
      </c>
      <c r="E79" s="20">
        <v>46083</v>
      </c>
      <c r="F79" s="21" t="s">
        <v>238</v>
      </c>
      <c r="G79" s="21" t="s">
        <v>55</v>
      </c>
      <c r="H79" s="21" t="s">
        <v>100</v>
      </c>
      <c r="I79" s="22">
        <v>52237</v>
      </c>
      <c r="J79" s="21" t="s">
        <v>101</v>
      </c>
      <c r="K79" s="23">
        <v>46202.833333333336</v>
      </c>
      <c r="L79" s="21">
        <v>343</v>
      </c>
      <c r="M79" s="22">
        <v>1556</v>
      </c>
      <c r="N79" s="24">
        <v>491.4</v>
      </c>
      <c r="O79" s="24">
        <v>882.17</v>
      </c>
      <c r="P79" s="24">
        <v>1274</v>
      </c>
      <c r="Q79" s="21">
        <v>989</v>
      </c>
      <c r="R79" s="22">
        <v>25393</v>
      </c>
      <c r="S79" s="22">
        <v>58861</v>
      </c>
      <c r="T79" s="21">
        <v>5</v>
      </c>
      <c r="U79" s="21">
        <v>10</v>
      </c>
      <c r="V79" s="21">
        <v>16</v>
      </c>
      <c r="W79" s="23">
        <v>46275.541666666664</v>
      </c>
      <c r="X79" s="25"/>
      <c r="Y79" s="21">
        <v>0</v>
      </c>
      <c r="Z79" s="26">
        <v>58974</v>
      </c>
      <c r="AA79">
        <v>390.77</v>
      </c>
      <c r="AB79" s="18">
        <v>0.79521774521774524</v>
      </c>
      <c r="AC79" s="19">
        <v>1.7952177452177451</v>
      </c>
      <c r="AD79" s="19">
        <v>2.1875</v>
      </c>
      <c r="AE79" s="19">
        <v>1.4583333333333335</v>
      </c>
    </row>
    <row r="80" spans="1:31">
      <c r="A80">
        <v>84</v>
      </c>
      <c r="B80" t="s">
        <v>239</v>
      </c>
      <c r="C80" t="s">
        <v>240</v>
      </c>
      <c r="D80" t="s">
        <v>231</v>
      </c>
      <c r="E80" s="27">
        <v>46083</v>
      </c>
      <c r="F80" s="28" t="s">
        <v>241</v>
      </c>
      <c r="G80" s="28" t="s">
        <v>55</v>
      </c>
      <c r="H80" s="28" t="s">
        <v>62</v>
      </c>
      <c r="I80" s="29">
        <v>71500</v>
      </c>
      <c r="J80" s="28" t="s">
        <v>63</v>
      </c>
      <c r="K80" s="30">
        <v>46202.5</v>
      </c>
      <c r="L80" s="28">
        <v>733</v>
      </c>
      <c r="M80" s="29">
        <v>3182</v>
      </c>
      <c r="N80" s="31">
        <v>633.88</v>
      </c>
      <c r="O80" s="31">
        <v>1089.9000000000001</v>
      </c>
      <c r="P80" s="31">
        <v>1869.69</v>
      </c>
      <c r="Q80" s="28">
        <v>980</v>
      </c>
      <c r="R80" s="29">
        <v>29499</v>
      </c>
      <c r="S80" s="29">
        <v>70816</v>
      </c>
      <c r="T80" s="28">
        <v>0</v>
      </c>
      <c r="U80" s="28">
        <v>2</v>
      </c>
      <c r="V80" s="28">
        <v>14</v>
      </c>
      <c r="W80" s="30">
        <v>46275.583333333336</v>
      </c>
      <c r="X80" s="32"/>
      <c r="Y80" s="28">
        <v>0</v>
      </c>
      <c r="Z80" s="33">
        <v>70933</v>
      </c>
      <c r="AA80">
        <v>456.0200000000001</v>
      </c>
      <c r="AB80" s="18">
        <v>0.71941061399634021</v>
      </c>
      <c r="AC80" s="19">
        <v>1.7194106139963401</v>
      </c>
      <c r="AD80" s="19">
        <v>0</v>
      </c>
      <c r="AE80" s="19">
        <v>0.33333333333333331</v>
      </c>
    </row>
    <row r="81" spans="1:31">
      <c r="A81">
        <v>85</v>
      </c>
      <c r="B81" t="s">
        <v>242</v>
      </c>
      <c r="C81" t="s">
        <v>243</v>
      </c>
      <c r="D81" t="s">
        <v>231</v>
      </c>
      <c r="E81" s="20">
        <v>46083</v>
      </c>
      <c r="F81" s="21" t="s">
        <v>244</v>
      </c>
      <c r="G81" s="21" t="s">
        <v>55</v>
      </c>
      <c r="H81" s="21" t="s">
        <v>91</v>
      </c>
      <c r="I81" s="22">
        <v>82500</v>
      </c>
      <c r="J81" s="21" t="s">
        <v>92</v>
      </c>
      <c r="K81" s="23">
        <v>46203.708333333336</v>
      </c>
      <c r="L81" s="21">
        <v>755</v>
      </c>
      <c r="M81" s="22">
        <v>3128</v>
      </c>
      <c r="N81" s="24">
        <v>635.36</v>
      </c>
      <c r="O81" s="24">
        <v>1001.85</v>
      </c>
      <c r="P81" s="24">
        <v>1734.81</v>
      </c>
      <c r="Q81" s="21">
        <v>966</v>
      </c>
      <c r="R81" s="22">
        <v>24498</v>
      </c>
      <c r="S81" s="22">
        <v>57291</v>
      </c>
      <c r="T81" s="21">
        <v>3</v>
      </c>
      <c r="U81" s="21">
        <v>6</v>
      </c>
      <c r="V81" s="21">
        <v>16</v>
      </c>
      <c r="W81" s="23">
        <v>46275.625</v>
      </c>
      <c r="X81" s="25"/>
      <c r="Y81" s="21">
        <v>0</v>
      </c>
      <c r="Z81" s="26">
        <v>57380</v>
      </c>
      <c r="AA81">
        <v>366.49</v>
      </c>
      <c r="AB81" s="18">
        <v>0.57682258876857218</v>
      </c>
      <c r="AC81" s="19">
        <v>1.5768225887685721</v>
      </c>
      <c r="AD81" s="19">
        <v>1.3125</v>
      </c>
      <c r="AE81" s="19">
        <v>0.875</v>
      </c>
    </row>
    <row r="82" spans="1:31">
      <c r="A82">
        <v>86</v>
      </c>
      <c r="B82" t="s">
        <v>245</v>
      </c>
      <c r="C82" t="s">
        <v>246</v>
      </c>
      <c r="D82" t="s">
        <v>231</v>
      </c>
      <c r="E82" s="27">
        <v>46083</v>
      </c>
      <c r="F82" s="28" t="s">
        <v>247</v>
      </c>
      <c r="G82" s="28" t="s">
        <v>55</v>
      </c>
      <c r="H82" s="28" t="s">
        <v>74</v>
      </c>
      <c r="I82" s="29">
        <v>80000</v>
      </c>
      <c r="J82" s="28" t="s">
        <v>75</v>
      </c>
      <c r="K82" s="30">
        <v>46203.5</v>
      </c>
      <c r="L82" s="28">
        <v>722</v>
      </c>
      <c r="M82" s="29">
        <v>3136</v>
      </c>
      <c r="N82" s="31">
        <v>475.64</v>
      </c>
      <c r="O82" s="31">
        <v>900.41</v>
      </c>
      <c r="P82" s="31">
        <v>1782.9</v>
      </c>
      <c r="Q82" s="28">
        <v>983</v>
      </c>
      <c r="R82" s="29">
        <v>25474</v>
      </c>
      <c r="S82" s="29">
        <v>58881</v>
      </c>
      <c r="T82" s="28">
        <v>2</v>
      </c>
      <c r="U82" s="28">
        <v>6</v>
      </c>
      <c r="V82" s="28">
        <v>12</v>
      </c>
      <c r="W82" s="30">
        <v>46275.583333333336</v>
      </c>
      <c r="X82" s="32"/>
      <c r="Y82" s="28">
        <v>0</v>
      </c>
      <c r="Z82" s="33">
        <v>58994</v>
      </c>
      <c r="AA82">
        <v>424.77</v>
      </c>
      <c r="AB82" s="18">
        <v>0.89304936506601629</v>
      </c>
      <c r="AC82" s="19">
        <v>1.8930493650660163</v>
      </c>
      <c r="AD82" s="19">
        <v>1.1666666666666667</v>
      </c>
      <c r="AE82" s="19">
        <v>1.1666666666666667</v>
      </c>
    </row>
    <row r="83" spans="1:31">
      <c r="A83">
        <v>87</v>
      </c>
      <c r="B83" t="s">
        <v>248</v>
      </c>
      <c r="C83" t="s">
        <v>249</v>
      </c>
      <c r="D83" t="s">
        <v>231</v>
      </c>
      <c r="E83" s="20">
        <v>46083</v>
      </c>
      <c r="F83" s="21" t="s">
        <v>250</v>
      </c>
      <c r="G83" s="21" t="s">
        <v>55</v>
      </c>
      <c r="H83" s="21" t="s">
        <v>56</v>
      </c>
      <c r="I83" s="22">
        <v>98500</v>
      </c>
      <c r="J83" s="21" t="s">
        <v>57</v>
      </c>
      <c r="K83" s="23">
        <v>46203.833333333336</v>
      </c>
      <c r="L83" s="21">
        <v>306</v>
      </c>
      <c r="M83" s="22">
        <v>1538</v>
      </c>
      <c r="N83" s="24">
        <v>763.42</v>
      </c>
      <c r="O83" s="24">
        <v>1093.95</v>
      </c>
      <c r="P83" s="24">
        <v>1882.5</v>
      </c>
      <c r="Q83" s="21">
        <v>102</v>
      </c>
      <c r="R83" s="22">
        <v>3746</v>
      </c>
      <c r="S83" s="22">
        <v>8619</v>
      </c>
      <c r="T83" s="21">
        <v>4</v>
      </c>
      <c r="U83" s="21">
        <v>10</v>
      </c>
      <c r="V83" s="21">
        <v>25</v>
      </c>
      <c r="W83" s="23">
        <v>46275.541666666664</v>
      </c>
      <c r="X83" s="25"/>
      <c r="Y83" s="21">
        <v>0</v>
      </c>
      <c r="Z83" s="26">
        <v>8668</v>
      </c>
      <c r="AA83">
        <v>330.53000000000009</v>
      </c>
      <c r="AB83" s="18">
        <v>0.43295957664195345</v>
      </c>
      <c r="AC83" s="19">
        <v>1.4329595766419534</v>
      </c>
      <c r="AD83" s="19">
        <v>1.1199999999999999</v>
      </c>
      <c r="AE83" s="19">
        <v>0.93333333333333335</v>
      </c>
    </row>
    <row r="84" spans="1:31">
      <c r="A84">
        <v>88</v>
      </c>
      <c r="B84" t="s">
        <v>162</v>
      </c>
      <c r="C84" t="s">
        <v>158</v>
      </c>
      <c r="D84" t="s">
        <v>159</v>
      </c>
      <c r="E84" s="27">
        <v>46083</v>
      </c>
      <c r="F84" s="28" t="s">
        <v>251</v>
      </c>
      <c r="G84" s="28" t="s">
        <v>55</v>
      </c>
      <c r="H84" s="28" t="s">
        <v>140</v>
      </c>
      <c r="I84" s="29">
        <v>75000</v>
      </c>
      <c r="J84" s="28" t="s">
        <v>141</v>
      </c>
      <c r="K84" s="30">
        <v>46186.5</v>
      </c>
      <c r="L84" s="28">
        <v>719</v>
      </c>
      <c r="M84" s="29">
        <v>2898</v>
      </c>
      <c r="N84" s="31">
        <v>284.94</v>
      </c>
      <c r="O84" s="31">
        <v>541.02</v>
      </c>
      <c r="P84" s="31">
        <v>855</v>
      </c>
      <c r="Q84" s="29">
        <v>1245</v>
      </c>
      <c r="R84" s="29">
        <v>31046</v>
      </c>
      <c r="S84" s="29">
        <v>72604</v>
      </c>
      <c r="T84" s="28">
        <v>2</v>
      </c>
      <c r="U84" s="28">
        <v>14</v>
      </c>
      <c r="V84" s="28">
        <v>40</v>
      </c>
      <c r="W84" s="30">
        <v>46275.5</v>
      </c>
      <c r="X84" s="32"/>
      <c r="Y84" s="28">
        <v>0</v>
      </c>
      <c r="Z84" s="33">
        <v>72724</v>
      </c>
      <c r="AA84">
        <v>256.08</v>
      </c>
      <c r="AB84" s="18">
        <v>0.89871551905664349</v>
      </c>
      <c r="AC84" s="19">
        <v>1.8987155190566434</v>
      </c>
      <c r="AD84" s="19">
        <v>0.35</v>
      </c>
      <c r="AE84" s="19">
        <v>0.81666666666666665</v>
      </c>
    </row>
    <row r="85" spans="1:31">
      <c r="A85">
        <v>89</v>
      </c>
      <c r="B85" t="s">
        <v>252</v>
      </c>
      <c r="C85" t="s">
        <v>253</v>
      </c>
      <c r="D85" t="s">
        <v>231</v>
      </c>
      <c r="E85" s="20">
        <v>46083</v>
      </c>
      <c r="F85" s="21" t="s">
        <v>254</v>
      </c>
      <c r="G85" s="21" t="s">
        <v>55</v>
      </c>
      <c r="H85" s="21" t="s">
        <v>79</v>
      </c>
      <c r="I85" s="22">
        <v>71000</v>
      </c>
      <c r="J85" s="21" t="s">
        <v>80</v>
      </c>
      <c r="K85" s="23">
        <v>46204.5</v>
      </c>
      <c r="L85" s="21">
        <v>695</v>
      </c>
      <c r="M85" s="22">
        <v>3049</v>
      </c>
      <c r="N85" s="24">
        <v>525.45000000000005</v>
      </c>
      <c r="O85" s="24">
        <v>1059.78</v>
      </c>
      <c r="P85" s="24">
        <v>1973.32</v>
      </c>
      <c r="Q85" s="21">
        <v>102</v>
      </c>
      <c r="R85" s="22">
        <v>3809</v>
      </c>
      <c r="S85" s="22">
        <v>8748</v>
      </c>
      <c r="T85" s="21">
        <v>1</v>
      </c>
      <c r="U85" s="21">
        <v>6</v>
      </c>
      <c r="V85" s="21">
        <v>19</v>
      </c>
      <c r="W85" s="23">
        <v>46275.625</v>
      </c>
      <c r="X85" s="25"/>
      <c r="Y85" s="21">
        <v>0</v>
      </c>
      <c r="Z85" s="26">
        <v>8801</v>
      </c>
      <c r="AA85">
        <v>534.32999999999993</v>
      </c>
      <c r="AB85" s="18">
        <v>1.0168998001712815</v>
      </c>
      <c r="AC85" s="19">
        <v>2.0168998001712817</v>
      </c>
      <c r="AD85" s="19">
        <v>0.36842105263157893</v>
      </c>
      <c r="AE85" s="19">
        <v>0.73684210526315785</v>
      </c>
    </row>
    <row r="86" spans="1:31">
      <c r="A86">
        <v>90</v>
      </c>
      <c r="B86" t="s">
        <v>255</v>
      </c>
      <c r="C86" t="s">
        <v>256</v>
      </c>
      <c r="D86" t="s">
        <v>231</v>
      </c>
      <c r="E86" s="27">
        <v>46083</v>
      </c>
      <c r="F86" s="28" t="s">
        <v>257</v>
      </c>
      <c r="G86" s="28" t="s">
        <v>55</v>
      </c>
      <c r="H86" s="28" t="s">
        <v>140</v>
      </c>
      <c r="I86" s="29">
        <v>75000</v>
      </c>
      <c r="J86" s="28" t="s">
        <v>141</v>
      </c>
      <c r="K86" s="30">
        <v>46204.708333333336</v>
      </c>
      <c r="L86" s="28">
        <v>838</v>
      </c>
      <c r="M86" s="29">
        <v>3550</v>
      </c>
      <c r="N86" s="31">
        <v>632.9</v>
      </c>
      <c r="O86" s="31">
        <v>1093.7</v>
      </c>
      <c r="P86" s="31">
        <v>2046.88</v>
      </c>
      <c r="Q86" s="28">
        <v>961</v>
      </c>
      <c r="R86" s="29">
        <v>24377</v>
      </c>
      <c r="S86" s="29">
        <v>57085</v>
      </c>
      <c r="T86" s="28">
        <v>6</v>
      </c>
      <c r="U86" s="28">
        <v>12</v>
      </c>
      <c r="V86" s="28">
        <v>22</v>
      </c>
      <c r="W86" s="30">
        <v>46275.5</v>
      </c>
      <c r="X86" s="32"/>
      <c r="Y86" s="28">
        <v>0</v>
      </c>
      <c r="Z86" s="33">
        <v>57182</v>
      </c>
      <c r="AA86">
        <v>460.80000000000007</v>
      </c>
      <c r="AB86" s="18">
        <v>0.72807710538789716</v>
      </c>
      <c r="AC86" s="19">
        <v>1.7280771053878972</v>
      </c>
      <c r="AD86" s="19">
        <v>1.9090909090909092</v>
      </c>
      <c r="AE86" s="19">
        <v>1.2727272727272727</v>
      </c>
    </row>
    <row r="87" spans="1:31">
      <c r="A87">
        <v>91</v>
      </c>
      <c r="B87" t="s">
        <v>258</v>
      </c>
      <c r="C87" t="s">
        <v>259</v>
      </c>
      <c r="D87" t="s">
        <v>231</v>
      </c>
      <c r="E87" s="20">
        <v>46083</v>
      </c>
      <c r="F87" s="21" t="s">
        <v>260</v>
      </c>
      <c r="G87" s="21" t="s">
        <v>55</v>
      </c>
      <c r="H87" s="21" t="s">
        <v>118</v>
      </c>
      <c r="I87" s="22">
        <v>67000</v>
      </c>
      <c r="J87" s="21" t="s">
        <v>119</v>
      </c>
      <c r="K87" s="23">
        <v>46204.541666666664</v>
      </c>
      <c r="L87" s="21">
        <v>700</v>
      </c>
      <c r="M87" s="22">
        <v>3056</v>
      </c>
      <c r="N87" s="24">
        <v>426.25</v>
      </c>
      <c r="O87" s="24">
        <v>854.86</v>
      </c>
      <c r="P87" s="24">
        <v>1589.03</v>
      </c>
      <c r="Q87" s="21">
        <v>957</v>
      </c>
      <c r="R87" s="22">
        <v>24066</v>
      </c>
      <c r="S87" s="22">
        <v>56446</v>
      </c>
      <c r="T87" s="21">
        <v>3</v>
      </c>
      <c r="U87" s="21">
        <v>13</v>
      </c>
      <c r="V87" s="21">
        <v>17</v>
      </c>
      <c r="W87" s="23">
        <v>46275.5</v>
      </c>
      <c r="X87" s="25"/>
      <c r="Y87" s="21">
        <v>0</v>
      </c>
      <c r="Z87" s="26">
        <v>56532</v>
      </c>
      <c r="AA87">
        <v>428.61</v>
      </c>
      <c r="AB87" s="18">
        <v>1.0055366568914956</v>
      </c>
      <c r="AC87" s="19">
        <v>2.0055366568914956</v>
      </c>
      <c r="AD87" s="19">
        <v>1.2352941176470589</v>
      </c>
      <c r="AE87" s="19">
        <v>1.7843137254901962</v>
      </c>
    </row>
    <row r="88" spans="1:31">
      <c r="A88">
        <v>92</v>
      </c>
      <c r="B88" t="s">
        <v>261</v>
      </c>
      <c r="C88" t="s">
        <v>262</v>
      </c>
      <c r="D88" t="s">
        <v>231</v>
      </c>
      <c r="E88" s="27">
        <v>46083</v>
      </c>
      <c r="F88" s="28" t="s">
        <v>263</v>
      </c>
      <c r="G88" s="28" t="s">
        <v>55</v>
      </c>
      <c r="H88" s="28" t="s">
        <v>146</v>
      </c>
      <c r="I88" s="29">
        <v>30000</v>
      </c>
      <c r="J88" s="28" t="s">
        <v>147</v>
      </c>
      <c r="K88" s="30">
        <v>46205.791666666664</v>
      </c>
      <c r="L88" s="28">
        <v>334</v>
      </c>
      <c r="M88" s="29">
        <v>1507</v>
      </c>
      <c r="N88" s="31">
        <v>1028.95</v>
      </c>
      <c r="O88" s="31">
        <v>2000.07</v>
      </c>
      <c r="P88" s="31">
        <v>3042.72</v>
      </c>
      <c r="Q88" s="29">
        <v>1037</v>
      </c>
      <c r="R88" s="29">
        <v>26880</v>
      </c>
      <c r="S88" s="29">
        <v>62516</v>
      </c>
      <c r="T88" s="28">
        <v>8</v>
      </c>
      <c r="U88" s="28">
        <v>12</v>
      </c>
      <c r="V88" s="28">
        <v>18</v>
      </c>
      <c r="W88" s="30">
        <v>46275.5</v>
      </c>
      <c r="X88" s="32"/>
      <c r="Y88" s="28">
        <v>0</v>
      </c>
      <c r="Z88" s="33">
        <v>62651</v>
      </c>
      <c r="AA88">
        <v>971.11999999999989</v>
      </c>
      <c r="AB88" s="18">
        <v>0.9437970746877884</v>
      </c>
      <c r="AC88" s="19">
        <v>1.9437970746877884</v>
      </c>
      <c r="AD88" s="19">
        <v>3.1111111111111107</v>
      </c>
      <c r="AE88" s="19">
        <v>1.5555555555555554</v>
      </c>
    </row>
    <row r="89" spans="1:31">
      <c r="A89">
        <v>93</v>
      </c>
      <c r="B89" t="s">
        <v>264</v>
      </c>
      <c r="C89" t="s">
        <v>265</v>
      </c>
      <c r="D89" t="s">
        <v>231</v>
      </c>
      <c r="E89" s="20">
        <v>46083</v>
      </c>
      <c r="F89" s="21" t="s">
        <v>266</v>
      </c>
      <c r="G89" s="21" t="s">
        <v>55</v>
      </c>
      <c r="H89" s="21" t="s">
        <v>113</v>
      </c>
      <c r="I89" s="22">
        <v>70240</v>
      </c>
      <c r="J89" s="21" t="s">
        <v>114</v>
      </c>
      <c r="K89" s="23">
        <v>46205.5</v>
      </c>
      <c r="L89" s="21">
        <v>708</v>
      </c>
      <c r="M89" s="22">
        <v>2978</v>
      </c>
      <c r="N89" s="24">
        <v>662.17</v>
      </c>
      <c r="O89" s="24">
        <v>1259.82</v>
      </c>
      <c r="P89" s="24">
        <v>1984.29</v>
      </c>
      <c r="Q89" s="21">
        <v>149</v>
      </c>
      <c r="R89" s="22">
        <v>5201</v>
      </c>
      <c r="S89" s="22">
        <v>13710</v>
      </c>
      <c r="T89" s="21">
        <v>4</v>
      </c>
      <c r="U89" s="21">
        <v>8</v>
      </c>
      <c r="V89" s="21">
        <v>17</v>
      </c>
      <c r="W89" s="23">
        <v>46275.5</v>
      </c>
      <c r="X89" s="25"/>
      <c r="Y89" s="21">
        <v>0</v>
      </c>
      <c r="Z89" s="26">
        <v>13828</v>
      </c>
      <c r="AA89">
        <v>597.65</v>
      </c>
      <c r="AB89" s="18">
        <v>0.90256278599151274</v>
      </c>
      <c r="AC89" s="19">
        <v>1.9025627859915129</v>
      </c>
      <c r="AD89" s="19">
        <v>1.6470588235294119</v>
      </c>
      <c r="AE89" s="19">
        <v>1.0980392156862746</v>
      </c>
    </row>
    <row r="90" spans="1:31">
      <c r="A90">
        <v>94</v>
      </c>
      <c r="B90" t="s">
        <v>267</v>
      </c>
      <c r="C90" t="s">
        <v>268</v>
      </c>
      <c r="D90" t="s">
        <v>231</v>
      </c>
      <c r="E90" s="27">
        <v>46083</v>
      </c>
      <c r="F90" s="28" t="s">
        <v>269</v>
      </c>
      <c r="G90" s="28" t="s">
        <v>55</v>
      </c>
      <c r="H90" s="28" t="s">
        <v>164</v>
      </c>
      <c r="I90" s="29">
        <v>54500</v>
      </c>
      <c r="J90" s="28" t="s">
        <v>165</v>
      </c>
      <c r="K90" s="30">
        <v>46205.833333333336</v>
      </c>
      <c r="L90" s="28">
        <v>563</v>
      </c>
      <c r="M90" s="29">
        <v>2567</v>
      </c>
      <c r="N90" s="31">
        <v>618.99</v>
      </c>
      <c r="O90" s="31">
        <v>1083.8399999999999</v>
      </c>
      <c r="P90" s="31">
        <v>1815.1</v>
      </c>
      <c r="Q90" s="29">
        <v>1414</v>
      </c>
      <c r="R90" s="29">
        <v>40098</v>
      </c>
      <c r="S90" s="29">
        <v>100653</v>
      </c>
      <c r="T90" s="28">
        <v>2</v>
      </c>
      <c r="U90" s="28">
        <v>4</v>
      </c>
      <c r="V90" s="28">
        <v>8</v>
      </c>
      <c r="W90" s="30">
        <v>46275.375</v>
      </c>
      <c r="X90" s="32"/>
      <c r="Y90" s="28">
        <v>0</v>
      </c>
      <c r="Z90" s="33">
        <v>101031</v>
      </c>
      <c r="AA90">
        <v>464.84999999999991</v>
      </c>
      <c r="AB90" s="18">
        <v>0.75098143750302893</v>
      </c>
      <c r="AC90" s="19">
        <v>1.750981437503029</v>
      </c>
      <c r="AD90" s="19">
        <v>1.75</v>
      </c>
      <c r="AE90" s="19">
        <v>1.1666666666666667</v>
      </c>
    </row>
    <row r="91" spans="1:31">
      <c r="A91">
        <v>95</v>
      </c>
      <c r="B91" t="s">
        <v>270</v>
      </c>
      <c r="C91" t="s">
        <v>271</v>
      </c>
      <c r="D91" t="s">
        <v>231</v>
      </c>
      <c r="E91" s="20">
        <v>46083</v>
      </c>
      <c r="F91" s="21" t="s">
        <v>272</v>
      </c>
      <c r="G91" s="21" t="s">
        <v>55</v>
      </c>
      <c r="H91" s="21" t="s">
        <v>85</v>
      </c>
      <c r="I91" s="22">
        <v>76100</v>
      </c>
      <c r="J91" s="21" t="s">
        <v>86</v>
      </c>
      <c r="K91" s="23">
        <v>46206.75</v>
      </c>
      <c r="L91" s="21">
        <v>698</v>
      </c>
      <c r="M91" s="22">
        <v>3550</v>
      </c>
      <c r="N91" s="24">
        <v>1286.56</v>
      </c>
      <c r="O91" s="24">
        <v>2445.96</v>
      </c>
      <c r="P91" s="24">
        <v>4545.46</v>
      </c>
      <c r="Q91" s="22">
        <v>1429</v>
      </c>
      <c r="R91" s="22">
        <v>41850</v>
      </c>
      <c r="S91" s="22">
        <v>104554</v>
      </c>
      <c r="T91" s="21">
        <v>6</v>
      </c>
      <c r="U91" s="21">
        <v>12</v>
      </c>
      <c r="V91" s="21">
        <v>37</v>
      </c>
      <c r="W91" s="23">
        <v>46275.625</v>
      </c>
      <c r="X91" s="25"/>
      <c r="Y91" s="21">
        <v>0</v>
      </c>
      <c r="Z91" s="26">
        <v>104983</v>
      </c>
      <c r="AA91">
        <v>1159.4000000000001</v>
      </c>
      <c r="AB91" s="18">
        <v>0.90116279069767458</v>
      </c>
      <c r="AC91" s="19">
        <v>1.9011627906976745</v>
      </c>
      <c r="AD91" s="19">
        <v>1.1351351351351351</v>
      </c>
      <c r="AE91" s="19">
        <v>0.7567567567567568</v>
      </c>
    </row>
    <row r="92" spans="1:31">
      <c r="A92">
        <v>96</v>
      </c>
      <c r="B92" t="s">
        <v>273</v>
      </c>
      <c r="C92" t="s">
        <v>274</v>
      </c>
      <c r="D92" t="s">
        <v>231</v>
      </c>
      <c r="E92" s="27">
        <v>46083</v>
      </c>
      <c r="F92" s="28" t="s">
        <v>275</v>
      </c>
      <c r="G92" s="28" t="s">
        <v>55</v>
      </c>
      <c r="H92" s="28" t="s">
        <v>68</v>
      </c>
      <c r="I92" s="29">
        <v>76416</v>
      </c>
      <c r="J92" s="28" t="s">
        <v>69</v>
      </c>
      <c r="K92" s="30">
        <v>46206.854166666664</v>
      </c>
      <c r="L92" s="28">
        <v>801</v>
      </c>
      <c r="M92" s="29">
        <v>3445</v>
      </c>
      <c r="N92" s="31">
        <v>599.99</v>
      </c>
      <c r="O92" s="31">
        <v>984.9</v>
      </c>
      <c r="P92" s="31">
        <v>1996.01</v>
      </c>
      <c r="Q92" s="28">
        <v>569</v>
      </c>
      <c r="R92" s="29">
        <v>19801</v>
      </c>
      <c r="S92" s="29">
        <v>68357</v>
      </c>
      <c r="T92" s="28">
        <v>3</v>
      </c>
      <c r="U92" s="28">
        <v>7</v>
      </c>
      <c r="V92" s="28">
        <v>16</v>
      </c>
      <c r="W92" s="30">
        <v>46275.583333333336</v>
      </c>
      <c r="X92" s="32"/>
      <c r="Y92" s="28">
        <v>0</v>
      </c>
      <c r="Z92" s="33">
        <v>68736</v>
      </c>
      <c r="AA92">
        <v>384.90999999999997</v>
      </c>
      <c r="AB92" s="18">
        <v>0.64152735878931311</v>
      </c>
      <c r="AC92" s="19">
        <v>1.6415273587893131</v>
      </c>
      <c r="AD92" s="19">
        <v>1.3125</v>
      </c>
      <c r="AE92" s="19">
        <v>1.0208333333333335</v>
      </c>
    </row>
    <row r="93" spans="1:31">
      <c r="A93">
        <v>97</v>
      </c>
      <c r="B93" t="s">
        <v>276</v>
      </c>
      <c r="C93" t="s">
        <v>277</v>
      </c>
      <c r="D93" t="s">
        <v>231</v>
      </c>
      <c r="E93" s="20">
        <v>46083</v>
      </c>
      <c r="F93" s="21" t="s">
        <v>278</v>
      </c>
      <c r="G93" s="21" t="s">
        <v>55</v>
      </c>
      <c r="H93" s="21" t="s">
        <v>74</v>
      </c>
      <c r="I93" s="22">
        <v>80000</v>
      </c>
      <c r="J93" s="21" t="s">
        <v>75</v>
      </c>
      <c r="K93" s="23">
        <v>46206.541666666664</v>
      </c>
      <c r="L93" s="21">
        <v>674</v>
      </c>
      <c r="M93" s="22">
        <v>2966</v>
      </c>
      <c r="N93" s="24">
        <v>520.75</v>
      </c>
      <c r="O93" s="24">
        <v>906.31</v>
      </c>
      <c r="P93" s="24">
        <v>1426.56</v>
      </c>
      <c r="Q93" s="22">
        <v>1439</v>
      </c>
      <c r="R93" s="22">
        <v>41255</v>
      </c>
      <c r="S93" s="22">
        <v>103006</v>
      </c>
      <c r="T93" s="21">
        <v>2</v>
      </c>
      <c r="U93" s="21">
        <v>11</v>
      </c>
      <c r="V93" s="21">
        <v>18</v>
      </c>
      <c r="W93" s="23">
        <v>46275.583333333336</v>
      </c>
      <c r="X93" s="25"/>
      <c r="Y93" s="21">
        <v>0</v>
      </c>
      <c r="Z93" s="26">
        <v>103415</v>
      </c>
      <c r="AA93">
        <v>385.55999999999995</v>
      </c>
      <c r="AB93" s="18">
        <v>0.74039366298607767</v>
      </c>
      <c r="AC93" s="19">
        <v>1.7403936629860777</v>
      </c>
      <c r="AD93" s="19">
        <v>0.77777777777777768</v>
      </c>
      <c r="AE93" s="19">
        <v>1.4259259259259258</v>
      </c>
    </row>
    <row r="94" spans="1:31">
      <c r="A94">
        <v>98</v>
      </c>
      <c r="B94" t="s">
        <v>279</v>
      </c>
      <c r="C94" t="s">
        <v>280</v>
      </c>
      <c r="D94" t="s">
        <v>281</v>
      </c>
      <c r="E94" s="27">
        <v>46083</v>
      </c>
      <c r="F94" s="28" t="s">
        <v>282</v>
      </c>
      <c r="G94" s="28" t="s">
        <v>55</v>
      </c>
      <c r="H94" s="28" t="s">
        <v>171</v>
      </c>
      <c r="I94" s="29">
        <v>69176</v>
      </c>
      <c r="J94" s="28" t="s">
        <v>172</v>
      </c>
      <c r="K94" s="30">
        <v>46207.708333333336</v>
      </c>
      <c r="L94" s="28">
        <v>683</v>
      </c>
      <c r="M94" s="29">
        <v>2919</v>
      </c>
      <c r="N94" s="31">
        <v>846.07</v>
      </c>
      <c r="O94" s="31">
        <v>1654.41</v>
      </c>
      <c r="P94" s="31">
        <v>2646.74</v>
      </c>
      <c r="Q94" s="28">
        <v>591</v>
      </c>
      <c r="R94" s="29">
        <v>21134</v>
      </c>
      <c r="S94" s="29">
        <v>71378</v>
      </c>
      <c r="T94" s="28">
        <v>4</v>
      </c>
      <c r="U94" s="28">
        <v>10</v>
      </c>
      <c r="V94" s="28">
        <v>19</v>
      </c>
      <c r="W94" s="30">
        <v>46275.625</v>
      </c>
      <c r="X94" s="32"/>
      <c r="Y94" s="28">
        <v>0</v>
      </c>
      <c r="Z94" s="33">
        <v>71803</v>
      </c>
      <c r="AA94">
        <v>808.34</v>
      </c>
      <c r="AB94" s="18">
        <v>0.95540558109849061</v>
      </c>
      <c r="AC94" s="19">
        <v>1.9554055810984907</v>
      </c>
      <c r="AD94" s="19">
        <v>1.4736842105263157</v>
      </c>
      <c r="AE94" s="19">
        <v>1.2280701754385965</v>
      </c>
    </row>
    <row r="95" spans="1:31">
      <c r="A95">
        <v>99</v>
      </c>
      <c r="B95" t="s">
        <v>183</v>
      </c>
      <c r="C95" t="s">
        <v>185</v>
      </c>
      <c r="D95" t="s">
        <v>60</v>
      </c>
      <c r="E95" s="20">
        <v>46083</v>
      </c>
      <c r="F95" s="21" t="s">
        <v>283</v>
      </c>
      <c r="G95" s="21" t="s">
        <v>55</v>
      </c>
      <c r="H95" s="21" t="s">
        <v>171</v>
      </c>
      <c r="I95" s="22">
        <v>69176</v>
      </c>
      <c r="J95" s="21" t="s">
        <v>172</v>
      </c>
      <c r="K95" s="23">
        <v>46187.791666666664</v>
      </c>
      <c r="L95" s="21">
        <v>628</v>
      </c>
      <c r="M95" s="22">
        <v>2588</v>
      </c>
      <c r="N95" s="24">
        <v>540</v>
      </c>
      <c r="O95" s="24">
        <v>778.12</v>
      </c>
      <c r="P95" s="24">
        <v>1085</v>
      </c>
      <c r="Q95" s="21">
        <v>239</v>
      </c>
      <c r="R95" s="22">
        <v>7477</v>
      </c>
      <c r="S95" s="22">
        <v>18298</v>
      </c>
      <c r="T95" s="21">
        <v>5</v>
      </c>
      <c r="U95" s="21">
        <v>10</v>
      </c>
      <c r="V95" s="21">
        <v>25</v>
      </c>
      <c r="W95" s="23">
        <v>46275.625</v>
      </c>
      <c r="X95" s="25"/>
      <c r="Y95" s="21">
        <v>0</v>
      </c>
      <c r="Z95" s="26">
        <v>18445</v>
      </c>
      <c r="AA95">
        <v>238.12</v>
      </c>
      <c r="AB95" s="18">
        <v>0.44096296296296295</v>
      </c>
      <c r="AC95" s="19">
        <v>1.440962962962963</v>
      </c>
      <c r="AD95" s="19">
        <v>1.4</v>
      </c>
      <c r="AE95" s="19">
        <v>0.93333333333333335</v>
      </c>
    </row>
    <row r="96" spans="1:31">
      <c r="A96">
        <v>100</v>
      </c>
      <c r="B96" t="s">
        <v>284</v>
      </c>
      <c r="C96" t="s">
        <v>285</v>
      </c>
      <c r="D96" t="s">
        <v>281</v>
      </c>
      <c r="E96" s="27">
        <v>46083</v>
      </c>
      <c r="F96" s="28" t="s">
        <v>286</v>
      </c>
      <c r="G96" s="28" t="s">
        <v>55</v>
      </c>
      <c r="H96" s="28" t="s">
        <v>62</v>
      </c>
      <c r="I96" s="29">
        <v>71500</v>
      </c>
      <c r="J96" s="28" t="s">
        <v>63</v>
      </c>
      <c r="K96" s="30">
        <v>46207.5</v>
      </c>
      <c r="L96" s="28">
        <v>796</v>
      </c>
      <c r="M96" s="29">
        <v>3459</v>
      </c>
      <c r="N96" s="31">
        <v>715.5</v>
      </c>
      <c r="O96" s="31">
        <v>1533.88</v>
      </c>
      <c r="P96" s="31">
        <v>2609.71</v>
      </c>
      <c r="Q96" s="28">
        <v>578</v>
      </c>
      <c r="R96" s="29">
        <v>21437</v>
      </c>
      <c r="S96" s="29">
        <v>62686</v>
      </c>
      <c r="T96" s="28">
        <v>6</v>
      </c>
      <c r="U96" s="28">
        <v>11</v>
      </c>
      <c r="V96" s="28">
        <v>21</v>
      </c>
      <c r="W96" s="30">
        <v>46275.583333333336</v>
      </c>
      <c r="X96" s="32"/>
      <c r="Y96" s="28">
        <v>1</v>
      </c>
      <c r="Z96" s="33">
        <v>63098</v>
      </c>
      <c r="AA96">
        <v>818.38000000000011</v>
      </c>
      <c r="AB96" s="18">
        <v>1.143787561146052</v>
      </c>
      <c r="AC96" s="19">
        <v>2.143787561146052</v>
      </c>
      <c r="AD96" s="19">
        <v>2</v>
      </c>
      <c r="AE96" s="19">
        <v>1.2222222222222221</v>
      </c>
    </row>
    <row r="97" spans="1:31">
      <c r="A97">
        <v>101</v>
      </c>
      <c r="B97" t="s">
        <v>287</v>
      </c>
      <c r="C97" t="s">
        <v>288</v>
      </c>
      <c r="D97" t="s">
        <v>281</v>
      </c>
      <c r="E97" s="20">
        <v>46083</v>
      </c>
      <c r="F97" s="21" t="s">
        <v>289</v>
      </c>
      <c r="G97" s="21" t="s">
        <v>55</v>
      </c>
      <c r="H97" s="21" t="s">
        <v>91</v>
      </c>
      <c r="I97" s="22">
        <v>82500</v>
      </c>
      <c r="J97" s="21" t="s">
        <v>92</v>
      </c>
      <c r="K97" s="23">
        <v>46208.666666666664</v>
      </c>
      <c r="L97" s="21">
        <v>742</v>
      </c>
      <c r="M97" s="22">
        <v>3133</v>
      </c>
      <c r="N97" s="24">
        <v>954</v>
      </c>
      <c r="O97" s="24">
        <v>1600.15</v>
      </c>
      <c r="P97" s="24">
        <v>2500.3000000000002</v>
      </c>
      <c r="Q97" s="22">
        <v>1454</v>
      </c>
      <c r="R97" s="22">
        <v>41456</v>
      </c>
      <c r="S97" s="22">
        <v>103830</v>
      </c>
      <c r="T97" s="21">
        <v>4</v>
      </c>
      <c r="U97" s="21">
        <v>7</v>
      </c>
      <c r="V97" s="21">
        <v>18</v>
      </c>
      <c r="W97" s="23">
        <v>46275.625</v>
      </c>
      <c r="X97" s="25"/>
      <c r="Y97" s="21">
        <v>0</v>
      </c>
      <c r="Z97" s="26">
        <v>104259</v>
      </c>
      <c r="AA97">
        <v>646.15000000000009</v>
      </c>
      <c r="AB97" s="18">
        <v>0.67730607966457035</v>
      </c>
      <c r="AC97" s="19">
        <v>1.6773060796645702</v>
      </c>
      <c r="AD97" s="19">
        <v>1.5555555555555554</v>
      </c>
      <c r="AE97" s="19">
        <v>0.90740740740740744</v>
      </c>
    </row>
    <row r="98" spans="1:31">
      <c r="A98">
        <v>102</v>
      </c>
      <c r="B98" t="s">
        <v>290</v>
      </c>
      <c r="C98" t="s">
        <v>291</v>
      </c>
      <c r="D98" t="s">
        <v>281</v>
      </c>
      <c r="E98" s="27">
        <v>46083</v>
      </c>
      <c r="F98" s="28" t="s">
        <v>292</v>
      </c>
      <c r="G98" s="28" t="s">
        <v>55</v>
      </c>
      <c r="H98" s="28" t="s">
        <v>56</v>
      </c>
      <c r="I98" s="29">
        <v>98500</v>
      </c>
      <c r="J98" s="28" t="s">
        <v>57</v>
      </c>
      <c r="K98" s="30">
        <v>46208.791666666664</v>
      </c>
      <c r="L98" s="28">
        <v>306</v>
      </c>
      <c r="M98" s="29">
        <v>1465</v>
      </c>
      <c r="N98" s="31">
        <v>843.21</v>
      </c>
      <c r="O98" s="31">
        <v>1440.59</v>
      </c>
      <c r="P98" s="31">
        <v>2011.85</v>
      </c>
      <c r="Q98" s="29">
        <v>1435</v>
      </c>
      <c r="R98" s="29">
        <v>39944</v>
      </c>
      <c r="S98" s="29">
        <v>100496</v>
      </c>
      <c r="T98" s="28">
        <v>3</v>
      </c>
      <c r="U98" s="28">
        <v>8</v>
      </c>
      <c r="V98" s="28">
        <v>12</v>
      </c>
      <c r="W98" s="30">
        <v>46275.541666666664</v>
      </c>
      <c r="X98" s="32"/>
      <c r="Y98" s="28">
        <v>0</v>
      </c>
      <c r="Z98" s="33">
        <v>100877</v>
      </c>
      <c r="AA98">
        <v>597.37999999999988</v>
      </c>
      <c r="AB98" s="18">
        <v>0.70845933990346399</v>
      </c>
      <c r="AC98" s="19">
        <v>1.708459339903464</v>
      </c>
      <c r="AD98" s="19">
        <v>1.75</v>
      </c>
      <c r="AE98" s="19">
        <v>1.5555555555555556</v>
      </c>
    </row>
    <row r="99" spans="1:31">
      <c r="A99">
        <v>103</v>
      </c>
      <c r="B99" t="s">
        <v>293</v>
      </c>
      <c r="C99" t="s">
        <v>294</v>
      </c>
      <c r="D99" t="s">
        <v>281</v>
      </c>
      <c r="E99" s="20">
        <v>46083</v>
      </c>
      <c r="F99" s="21" t="s">
        <v>295</v>
      </c>
      <c r="G99" s="21" t="s">
        <v>55</v>
      </c>
      <c r="H99" s="21" t="s">
        <v>74</v>
      </c>
      <c r="I99" s="22">
        <v>80000</v>
      </c>
      <c r="J99" s="21" t="s">
        <v>75</v>
      </c>
      <c r="K99" s="23">
        <v>46209.583333333336</v>
      </c>
      <c r="L99" s="21">
        <v>657</v>
      </c>
      <c r="M99" s="22">
        <v>2847</v>
      </c>
      <c r="N99" s="24">
        <v>729.87</v>
      </c>
      <c r="O99" s="24">
        <v>1606.6</v>
      </c>
      <c r="P99" s="24">
        <v>2501.33</v>
      </c>
      <c r="Q99" s="21">
        <v>581</v>
      </c>
      <c r="R99" s="22">
        <v>20993</v>
      </c>
      <c r="S99" s="22">
        <v>75309</v>
      </c>
      <c r="T99" s="21">
        <v>4</v>
      </c>
      <c r="U99" s="21">
        <v>10</v>
      </c>
      <c r="V99" s="21">
        <v>20</v>
      </c>
      <c r="W99" s="23">
        <v>46275.583333333336</v>
      </c>
      <c r="X99" s="25"/>
      <c r="Y99" s="21">
        <v>0</v>
      </c>
      <c r="Z99" s="26">
        <v>75721</v>
      </c>
      <c r="AA99">
        <v>876.7299999999999</v>
      </c>
      <c r="AB99" s="18">
        <v>1.2012139148067462</v>
      </c>
      <c r="AC99" s="19">
        <v>2.2012139148067464</v>
      </c>
      <c r="AD99" s="19">
        <v>1.4</v>
      </c>
      <c r="AE99" s="19">
        <v>1.1666666666666667</v>
      </c>
    </row>
    <row r="100" spans="1:31">
      <c r="A100">
        <v>104</v>
      </c>
      <c r="B100" t="s">
        <v>296</v>
      </c>
      <c r="C100" t="s">
        <v>297</v>
      </c>
      <c r="D100" t="s">
        <v>281</v>
      </c>
      <c r="E100" s="27">
        <v>46083</v>
      </c>
      <c r="F100" s="28" t="s">
        <v>298</v>
      </c>
      <c r="G100" s="28" t="s">
        <v>55</v>
      </c>
      <c r="H100" s="28" t="s">
        <v>118</v>
      </c>
      <c r="I100" s="29">
        <v>67000</v>
      </c>
      <c r="J100" s="28" t="s">
        <v>119</v>
      </c>
      <c r="K100" s="30">
        <v>46209.708333333336</v>
      </c>
      <c r="L100" s="28">
        <v>667</v>
      </c>
      <c r="M100" s="29">
        <v>2931</v>
      </c>
      <c r="N100" s="31">
        <v>842.5</v>
      </c>
      <c r="O100" s="31">
        <v>1496.38</v>
      </c>
      <c r="P100" s="31">
        <v>2526.59</v>
      </c>
      <c r="Q100" s="29">
        <v>1412</v>
      </c>
      <c r="R100" s="29">
        <v>40123</v>
      </c>
      <c r="S100" s="29">
        <v>100817</v>
      </c>
      <c r="T100" s="28">
        <v>4</v>
      </c>
      <c r="U100" s="28">
        <v>5</v>
      </c>
      <c r="V100" s="28">
        <v>13</v>
      </c>
      <c r="W100" s="30">
        <v>46275.5</v>
      </c>
      <c r="X100" s="32"/>
      <c r="Y100" s="28">
        <v>0</v>
      </c>
      <c r="Z100" s="33">
        <v>101207</v>
      </c>
      <c r="AA100">
        <v>653.88000000000011</v>
      </c>
      <c r="AB100" s="18">
        <v>0.77611869436201797</v>
      </c>
      <c r="AC100" s="19">
        <v>1.776118694362018</v>
      </c>
      <c r="AD100" s="19">
        <v>2.1538461538461537</v>
      </c>
      <c r="AE100" s="19">
        <v>0.89743589743589747</v>
      </c>
    </row>
    <row r="101" spans="1:31">
      <c r="A101">
        <v>105</v>
      </c>
      <c r="B101" t="s">
        <v>299</v>
      </c>
      <c r="C101" t="s">
        <v>300</v>
      </c>
      <c r="D101" t="s">
        <v>281</v>
      </c>
      <c r="E101" s="20">
        <v>46083</v>
      </c>
      <c r="F101" s="21" t="s">
        <v>301</v>
      </c>
      <c r="G101" s="21" t="s">
        <v>55</v>
      </c>
      <c r="H101" s="21" t="s">
        <v>79</v>
      </c>
      <c r="I101" s="22">
        <v>71000</v>
      </c>
      <c r="J101" s="21" t="s">
        <v>80</v>
      </c>
      <c r="K101" s="23">
        <v>46210.5</v>
      </c>
      <c r="L101" s="21">
        <v>789</v>
      </c>
      <c r="M101" s="22">
        <v>3431</v>
      </c>
      <c r="N101" s="24">
        <v>778.96</v>
      </c>
      <c r="O101" s="24">
        <v>1469.07</v>
      </c>
      <c r="P101" s="24">
        <v>2698.42</v>
      </c>
      <c r="Q101" s="22">
        <v>1401</v>
      </c>
      <c r="R101" s="22">
        <v>40088</v>
      </c>
      <c r="S101" s="22">
        <v>100718</v>
      </c>
      <c r="T101" s="21">
        <v>1</v>
      </c>
      <c r="U101" s="21">
        <v>6</v>
      </c>
      <c r="V101" s="21">
        <v>13</v>
      </c>
      <c r="W101" s="23">
        <v>46275.625</v>
      </c>
      <c r="X101" s="25"/>
      <c r="Y101" s="21">
        <v>0</v>
      </c>
      <c r="Z101" s="26">
        <v>101111</v>
      </c>
      <c r="AA101">
        <v>690.1099999999999</v>
      </c>
      <c r="AB101" s="18">
        <v>0.88593766047037059</v>
      </c>
      <c r="AC101" s="19">
        <v>1.8859376604703706</v>
      </c>
      <c r="AD101" s="19">
        <v>0.53846153846153844</v>
      </c>
      <c r="AE101" s="19">
        <v>1.0769230769230769</v>
      </c>
    </row>
    <row r="102" spans="1:31">
      <c r="A102">
        <v>106</v>
      </c>
      <c r="B102" t="s">
        <v>302</v>
      </c>
      <c r="C102" t="s">
        <v>303</v>
      </c>
      <c r="D102" t="s">
        <v>281</v>
      </c>
      <c r="E102" s="27">
        <v>46083</v>
      </c>
      <c r="F102" s="28" t="s">
        <v>304</v>
      </c>
      <c r="G102" s="28" t="s">
        <v>55</v>
      </c>
      <c r="H102" s="28" t="s">
        <v>164</v>
      </c>
      <c r="I102" s="29">
        <v>54500</v>
      </c>
      <c r="J102" s="28" t="s">
        <v>165</v>
      </c>
      <c r="K102" s="30">
        <v>46210.541666666664</v>
      </c>
      <c r="L102" s="28">
        <v>590</v>
      </c>
      <c r="M102" s="29">
        <v>2569</v>
      </c>
      <c r="N102" s="31">
        <v>915.75</v>
      </c>
      <c r="O102" s="31">
        <v>1724.83</v>
      </c>
      <c r="P102" s="31">
        <v>2702.1</v>
      </c>
      <c r="Q102" s="29">
        <v>1454</v>
      </c>
      <c r="R102" s="29">
        <v>41876</v>
      </c>
      <c r="S102" s="29">
        <v>105343</v>
      </c>
      <c r="T102" s="28">
        <v>4</v>
      </c>
      <c r="U102" s="28">
        <v>10</v>
      </c>
      <c r="V102" s="28">
        <v>18</v>
      </c>
      <c r="W102" s="30">
        <v>46275.375</v>
      </c>
      <c r="X102" s="32"/>
      <c r="Y102" s="28">
        <v>0</v>
      </c>
      <c r="Z102" s="33">
        <v>105763</v>
      </c>
      <c r="AA102">
        <v>809.07999999999993</v>
      </c>
      <c r="AB102" s="18">
        <v>0.88351624351624347</v>
      </c>
      <c r="AC102" s="19">
        <v>1.8835162435162434</v>
      </c>
      <c r="AD102" s="19">
        <v>1.5555555555555554</v>
      </c>
      <c r="AE102" s="19">
        <v>1.2962962962962963</v>
      </c>
    </row>
    <row r="103" spans="1:31">
      <c r="A103">
        <v>107</v>
      </c>
      <c r="B103" t="s">
        <v>305</v>
      </c>
      <c r="C103" t="s">
        <v>306</v>
      </c>
      <c r="D103" t="s">
        <v>66</v>
      </c>
      <c r="E103" s="20">
        <v>46083</v>
      </c>
      <c r="F103" s="21" t="s">
        <v>307</v>
      </c>
      <c r="G103" s="21" t="s">
        <v>55</v>
      </c>
      <c r="H103" s="21" t="s">
        <v>127</v>
      </c>
      <c r="I103" s="22">
        <v>68756</v>
      </c>
      <c r="J103" s="21" t="s">
        <v>128</v>
      </c>
      <c r="K103" s="23">
        <v>46212.666666666664</v>
      </c>
      <c r="L103" s="21">
        <v>596</v>
      </c>
      <c r="M103" s="22">
        <v>2695</v>
      </c>
      <c r="N103" s="24">
        <v>1179</v>
      </c>
      <c r="O103" s="24">
        <v>1954.33</v>
      </c>
      <c r="P103" s="24">
        <v>3394.94</v>
      </c>
      <c r="Q103" s="21">
        <v>963</v>
      </c>
      <c r="R103" s="22">
        <v>25454</v>
      </c>
      <c r="S103" s="22">
        <v>59188</v>
      </c>
      <c r="T103" s="21">
        <v>3</v>
      </c>
      <c r="U103" s="21">
        <v>8</v>
      </c>
      <c r="V103" s="21">
        <v>15</v>
      </c>
      <c r="W103" s="23">
        <v>46275.625</v>
      </c>
      <c r="X103" s="25"/>
      <c r="Y103" s="21">
        <v>0</v>
      </c>
      <c r="Z103" s="26">
        <v>59311</v>
      </c>
      <c r="AA103">
        <v>775.32999999999993</v>
      </c>
      <c r="AB103" s="18">
        <v>0.65761662425784562</v>
      </c>
      <c r="AC103" s="19">
        <v>1.6576166242578456</v>
      </c>
      <c r="AD103" s="19">
        <v>1.4000000000000001</v>
      </c>
      <c r="AE103" s="19">
        <v>1.2444444444444445</v>
      </c>
    </row>
    <row r="104" spans="1:31">
      <c r="A104">
        <v>108</v>
      </c>
      <c r="B104" t="s">
        <v>308</v>
      </c>
      <c r="C104" t="s">
        <v>309</v>
      </c>
      <c r="D104" t="s">
        <v>66</v>
      </c>
      <c r="E104" s="27">
        <v>46083</v>
      </c>
      <c r="F104" s="28" t="s">
        <v>310</v>
      </c>
      <c r="G104" s="28" t="s">
        <v>55</v>
      </c>
      <c r="H104" s="28" t="s">
        <v>113</v>
      </c>
      <c r="I104" s="29">
        <v>70240</v>
      </c>
      <c r="J104" s="28" t="s">
        <v>114</v>
      </c>
      <c r="K104" s="30">
        <v>46213.5</v>
      </c>
      <c r="L104" s="28">
        <v>748</v>
      </c>
      <c r="M104" s="29">
        <v>3218</v>
      </c>
      <c r="N104" s="31">
        <v>1336.5</v>
      </c>
      <c r="O104" s="31">
        <v>2308.3200000000002</v>
      </c>
      <c r="P104" s="31">
        <v>3500</v>
      </c>
      <c r="Q104" s="29">
        <v>1044</v>
      </c>
      <c r="R104" s="29">
        <v>37233</v>
      </c>
      <c r="S104" s="29">
        <v>100557</v>
      </c>
      <c r="T104" s="28">
        <v>1</v>
      </c>
      <c r="U104" s="28">
        <v>7</v>
      </c>
      <c r="V104" s="28">
        <v>14</v>
      </c>
      <c r="W104" s="30">
        <v>46275.5</v>
      </c>
      <c r="X104" s="32"/>
      <c r="Y104" s="28">
        <v>0</v>
      </c>
      <c r="Z104" s="33">
        <v>101232</v>
      </c>
      <c r="AA104">
        <v>971.82000000000016</v>
      </c>
      <c r="AB104" s="18">
        <v>0.72713804713804731</v>
      </c>
      <c r="AC104" s="19">
        <v>1.7271380471380473</v>
      </c>
      <c r="AD104" s="19">
        <v>0.5</v>
      </c>
      <c r="AE104" s="19">
        <v>1.1666666666666667</v>
      </c>
    </row>
    <row r="105" spans="1:31">
      <c r="A105">
        <v>109</v>
      </c>
      <c r="B105" t="s">
        <v>311</v>
      </c>
      <c r="C105" t="s">
        <v>312</v>
      </c>
      <c r="D105" t="s">
        <v>66</v>
      </c>
      <c r="E105" s="20">
        <v>46083</v>
      </c>
      <c r="F105" s="21" t="s">
        <v>313</v>
      </c>
      <c r="G105" s="21" t="s">
        <v>55</v>
      </c>
      <c r="H105" s="21" t="s">
        <v>85</v>
      </c>
      <c r="I105" s="22">
        <v>76100</v>
      </c>
      <c r="J105" s="21" t="s">
        <v>86</v>
      </c>
      <c r="K105" s="23">
        <v>46214.708333333336</v>
      </c>
      <c r="L105" s="21">
        <v>672</v>
      </c>
      <c r="M105" s="22">
        <v>2909</v>
      </c>
      <c r="N105" s="24">
        <v>1491.24</v>
      </c>
      <c r="O105" s="24">
        <v>2357.3000000000002</v>
      </c>
      <c r="P105" s="24">
        <v>3558.6</v>
      </c>
      <c r="Q105" s="22">
        <v>1014</v>
      </c>
      <c r="R105" s="22">
        <v>36895</v>
      </c>
      <c r="S105" s="22">
        <v>99872</v>
      </c>
      <c r="T105" s="21">
        <v>3</v>
      </c>
      <c r="U105" s="21">
        <v>5</v>
      </c>
      <c r="V105" s="21">
        <v>14</v>
      </c>
      <c r="W105" s="23">
        <v>46275.625</v>
      </c>
      <c r="X105" s="25"/>
      <c r="Y105" s="21">
        <v>0</v>
      </c>
      <c r="Z105" s="26">
        <v>100567</v>
      </c>
      <c r="AA105">
        <v>866.06000000000017</v>
      </c>
      <c r="AB105" s="18">
        <v>0.58076500093881611</v>
      </c>
      <c r="AC105" s="19">
        <v>1.5807650009388161</v>
      </c>
      <c r="AD105" s="19">
        <v>1.5</v>
      </c>
      <c r="AE105" s="19">
        <v>0.83333333333333337</v>
      </c>
    </row>
    <row r="106" spans="1:31">
      <c r="A106">
        <v>110</v>
      </c>
      <c r="B106" t="s">
        <v>51</v>
      </c>
      <c r="C106" t="s">
        <v>52</v>
      </c>
      <c r="D106" t="s">
        <v>53</v>
      </c>
      <c r="E106" s="27">
        <v>46084</v>
      </c>
      <c r="F106" s="28" t="s">
        <v>54</v>
      </c>
      <c r="G106" s="32"/>
      <c r="H106" s="28" t="s">
        <v>56</v>
      </c>
      <c r="I106" s="29">
        <v>98500</v>
      </c>
      <c r="J106" s="28" t="s">
        <v>57</v>
      </c>
      <c r="K106" s="30">
        <v>46184.583333333336</v>
      </c>
      <c r="L106" s="28">
        <v>454</v>
      </c>
      <c r="M106" s="29">
        <v>2693</v>
      </c>
      <c r="N106" s="31">
        <v>2644.79</v>
      </c>
      <c r="O106" s="31">
        <v>4791.18</v>
      </c>
      <c r="P106" s="31">
        <v>7147.42</v>
      </c>
      <c r="Q106" s="28">
        <v>508</v>
      </c>
      <c r="R106" s="29">
        <v>12416</v>
      </c>
      <c r="S106" s="29">
        <v>28128</v>
      </c>
      <c r="T106" s="28">
        <v>0</v>
      </c>
      <c r="U106" s="28">
        <v>5</v>
      </c>
      <c r="V106" s="28">
        <v>12</v>
      </c>
      <c r="W106" s="30">
        <v>46275.541666666664</v>
      </c>
      <c r="X106" s="32"/>
      <c r="Y106" s="28">
        <v>0</v>
      </c>
      <c r="Z106" s="33">
        <v>28223</v>
      </c>
      <c r="AA106">
        <v>2146.3900000000003</v>
      </c>
      <c r="AB106" s="18">
        <v>0.81155403642633261</v>
      </c>
      <c r="AC106" s="19">
        <v>1.8115540364263327</v>
      </c>
      <c r="AD106" s="19">
        <v>0</v>
      </c>
      <c r="AE106" s="19">
        <v>0.97222222222222232</v>
      </c>
    </row>
    <row r="107" spans="1:31">
      <c r="A107">
        <v>111</v>
      </c>
      <c r="B107" t="s">
        <v>133</v>
      </c>
      <c r="C107" t="s">
        <v>124</v>
      </c>
      <c r="D107" t="s">
        <v>53</v>
      </c>
      <c r="E107" s="20">
        <v>46084</v>
      </c>
      <c r="F107" s="21" t="s">
        <v>134</v>
      </c>
      <c r="G107" s="25"/>
      <c r="H107" s="21" t="s">
        <v>135</v>
      </c>
      <c r="I107" s="22">
        <v>49800</v>
      </c>
      <c r="J107" s="21" t="s">
        <v>136</v>
      </c>
      <c r="K107" s="23">
        <v>46184.875</v>
      </c>
      <c r="L107" s="21">
        <v>386</v>
      </c>
      <c r="M107" s="22">
        <v>1972</v>
      </c>
      <c r="N107" s="24">
        <v>368.73</v>
      </c>
      <c r="O107" s="24">
        <v>599.54999999999995</v>
      </c>
      <c r="P107" s="24">
        <v>998.65</v>
      </c>
      <c r="Q107" s="21">
        <v>705</v>
      </c>
      <c r="R107" s="22">
        <v>35499</v>
      </c>
      <c r="S107" s="22">
        <v>92915</v>
      </c>
      <c r="T107" s="21">
        <v>1</v>
      </c>
      <c r="U107" s="21">
        <v>8</v>
      </c>
      <c r="V107" s="21">
        <v>16</v>
      </c>
      <c r="W107" s="23">
        <v>46275.541666666664</v>
      </c>
      <c r="X107" s="25"/>
      <c r="Y107" s="21">
        <v>0</v>
      </c>
      <c r="Z107" s="26">
        <v>93027</v>
      </c>
      <c r="AA107">
        <v>230.81999999999994</v>
      </c>
      <c r="AB107" s="18">
        <v>0.62598649418273511</v>
      </c>
      <c r="AC107" s="19">
        <v>1.6259864941827351</v>
      </c>
      <c r="AD107" s="19">
        <v>0.4375</v>
      </c>
      <c r="AE107" s="19">
        <v>1.1666666666666667</v>
      </c>
    </row>
    <row r="108" spans="1:31">
      <c r="A108">
        <v>112</v>
      </c>
      <c r="B108" t="s">
        <v>161</v>
      </c>
      <c r="C108" t="s">
        <v>124</v>
      </c>
      <c r="D108" t="s">
        <v>159</v>
      </c>
      <c r="E108" s="27">
        <v>46084</v>
      </c>
      <c r="F108" s="28" t="s">
        <v>173</v>
      </c>
      <c r="G108" s="32"/>
      <c r="H108" s="28" t="s">
        <v>146</v>
      </c>
      <c r="I108" s="29">
        <v>30000</v>
      </c>
      <c r="J108" s="28" t="s">
        <v>147</v>
      </c>
      <c r="K108" s="30">
        <v>46185.625</v>
      </c>
      <c r="L108" s="28">
        <v>424</v>
      </c>
      <c r="M108" s="29">
        <v>2059</v>
      </c>
      <c r="N108" s="31">
        <v>1232.7</v>
      </c>
      <c r="O108" s="31">
        <v>2100.5300000000002</v>
      </c>
      <c r="P108" s="31">
        <v>2945.82</v>
      </c>
      <c r="Q108" s="28">
        <v>372</v>
      </c>
      <c r="R108" s="29">
        <v>13260</v>
      </c>
      <c r="S108" s="29">
        <v>26388</v>
      </c>
      <c r="T108" s="28">
        <v>3</v>
      </c>
      <c r="U108" s="28">
        <v>8</v>
      </c>
      <c r="V108" s="28">
        <v>15</v>
      </c>
      <c r="W108" s="30">
        <v>46275.5</v>
      </c>
      <c r="X108" s="32"/>
      <c r="Y108" s="28">
        <v>0</v>
      </c>
      <c r="Z108" s="33">
        <v>26433</v>
      </c>
      <c r="AA108">
        <v>867.83000000000015</v>
      </c>
      <c r="AB108" s="18">
        <v>0.70400746329196084</v>
      </c>
      <c r="AC108" s="19">
        <v>1.7040074632919608</v>
      </c>
      <c r="AD108" s="19">
        <v>1.4000000000000001</v>
      </c>
      <c r="AE108" s="19">
        <v>1.2444444444444445</v>
      </c>
    </row>
    <row r="109" spans="1:31">
      <c r="A109">
        <v>113</v>
      </c>
      <c r="B109" t="s">
        <v>180</v>
      </c>
      <c r="C109" t="s">
        <v>177</v>
      </c>
      <c r="D109" t="s">
        <v>178</v>
      </c>
      <c r="E109" s="20">
        <v>46084</v>
      </c>
      <c r="F109" s="21" t="s">
        <v>192</v>
      </c>
      <c r="G109" s="25"/>
      <c r="H109" s="21" t="s">
        <v>113</v>
      </c>
      <c r="I109" s="22">
        <v>70240</v>
      </c>
      <c r="J109" s="21" t="s">
        <v>114</v>
      </c>
      <c r="K109" s="23">
        <v>46185.75</v>
      </c>
      <c r="L109" s="21">
        <v>752</v>
      </c>
      <c r="M109" s="22">
        <v>3192</v>
      </c>
      <c r="N109" s="24">
        <v>1159.96</v>
      </c>
      <c r="O109" s="24">
        <v>2024.75</v>
      </c>
      <c r="P109" s="24">
        <v>3042.56</v>
      </c>
      <c r="Q109" s="21">
        <v>940</v>
      </c>
      <c r="R109" s="22">
        <v>43381</v>
      </c>
      <c r="S109" s="22">
        <v>106261</v>
      </c>
      <c r="T109" s="21">
        <v>4</v>
      </c>
      <c r="U109" s="21">
        <v>9</v>
      </c>
      <c r="V109" s="21">
        <v>19</v>
      </c>
      <c r="W109" s="23">
        <v>46275.5</v>
      </c>
      <c r="X109" s="25"/>
      <c r="Y109" s="21">
        <v>1</v>
      </c>
      <c r="Z109" s="26">
        <v>106419</v>
      </c>
      <c r="AA109">
        <v>864.79</v>
      </c>
      <c r="AB109" s="18">
        <v>0.74553432876995751</v>
      </c>
      <c r="AC109" s="19">
        <v>1.7455343287699576</v>
      </c>
      <c r="AD109" s="19">
        <v>1.4736842105263157</v>
      </c>
      <c r="AE109" s="19">
        <v>1.1052631578947367</v>
      </c>
    </row>
    <row r="110" spans="1:31">
      <c r="A110">
        <v>114</v>
      </c>
      <c r="B110" t="s">
        <v>168</v>
      </c>
      <c r="C110" t="s">
        <v>174</v>
      </c>
      <c r="D110" t="s">
        <v>169</v>
      </c>
      <c r="E110" s="27">
        <v>46084</v>
      </c>
      <c r="F110" s="28" t="s">
        <v>203</v>
      </c>
      <c r="G110" s="32"/>
      <c r="H110" s="28" t="s">
        <v>127</v>
      </c>
      <c r="I110" s="29">
        <v>68756</v>
      </c>
      <c r="J110" s="28" t="s">
        <v>128</v>
      </c>
      <c r="K110" s="30">
        <v>46186.875</v>
      </c>
      <c r="L110" s="28">
        <v>720</v>
      </c>
      <c r="M110" s="29">
        <v>3076</v>
      </c>
      <c r="N110" s="31">
        <v>598.4</v>
      </c>
      <c r="O110" s="31">
        <v>879.52</v>
      </c>
      <c r="P110" s="31">
        <v>1250</v>
      </c>
      <c r="Q110" s="28">
        <v>295</v>
      </c>
      <c r="R110" s="29">
        <v>10730</v>
      </c>
      <c r="S110" s="29">
        <v>27911</v>
      </c>
      <c r="T110" s="28">
        <v>6</v>
      </c>
      <c r="U110" s="28">
        <v>12</v>
      </c>
      <c r="V110" s="28">
        <v>27</v>
      </c>
      <c r="W110" s="30">
        <v>46275.625</v>
      </c>
      <c r="X110" s="32"/>
      <c r="Y110" s="28">
        <v>0</v>
      </c>
      <c r="Z110" s="33">
        <v>28041</v>
      </c>
      <c r="AA110">
        <v>281.12</v>
      </c>
      <c r="AB110" s="18">
        <v>0.46978609625668449</v>
      </c>
      <c r="AC110" s="19">
        <v>1.4697860962566844</v>
      </c>
      <c r="AD110" s="19">
        <v>1.5555555555555556</v>
      </c>
      <c r="AE110" s="19">
        <v>1.037037037037037</v>
      </c>
    </row>
    <row r="111" spans="1:31">
      <c r="A111">
        <v>115</v>
      </c>
      <c r="B111" t="s">
        <v>168</v>
      </c>
      <c r="C111" t="s">
        <v>174</v>
      </c>
      <c r="D111" t="s">
        <v>169</v>
      </c>
      <c r="E111" s="20">
        <v>46084</v>
      </c>
      <c r="F111" s="21" t="s">
        <v>203</v>
      </c>
      <c r="G111" s="25"/>
      <c r="H111" s="21" t="s">
        <v>127</v>
      </c>
      <c r="I111" s="22">
        <v>16000</v>
      </c>
      <c r="J111" s="21" t="s">
        <v>128</v>
      </c>
      <c r="K111" s="23">
        <v>46186.875</v>
      </c>
      <c r="L111" s="21">
        <v>91</v>
      </c>
      <c r="M111" s="21">
        <v>360</v>
      </c>
      <c r="N111" s="24">
        <v>45.67</v>
      </c>
      <c r="O111" s="24">
        <v>87.84</v>
      </c>
      <c r="P111" s="24">
        <v>136.71</v>
      </c>
      <c r="Q111" s="21">
        <v>0</v>
      </c>
      <c r="R111" s="21">
        <v>14</v>
      </c>
      <c r="S111" s="21">
        <v>52</v>
      </c>
      <c r="T111" s="21">
        <v>3</v>
      </c>
      <c r="U111" s="21">
        <v>5</v>
      </c>
      <c r="V111" s="21">
        <v>8</v>
      </c>
      <c r="W111" s="25"/>
      <c r="X111" s="25"/>
      <c r="Y111" s="21">
        <v>0</v>
      </c>
      <c r="Z111" s="34">
        <v>52</v>
      </c>
      <c r="AA111">
        <v>42.17</v>
      </c>
      <c r="AB111" s="18">
        <v>0.92336325815633891</v>
      </c>
      <c r="AC111" s="19">
        <v>1.9233632581563389</v>
      </c>
      <c r="AD111" s="19">
        <v>2.625</v>
      </c>
      <c r="AE111" s="19">
        <v>1.4583333333333335</v>
      </c>
    </row>
    <row r="112" spans="1:31">
      <c r="A112">
        <v>116</v>
      </c>
      <c r="B112" t="s">
        <v>181</v>
      </c>
      <c r="C112" t="s">
        <v>124</v>
      </c>
      <c r="D112" t="s">
        <v>178</v>
      </c>
      <c r="E112" s="27">
        <v>46084</v>
      </c>
      <c r="F112" s="28" t="s">
        <v>214</v>
      </c>
      <c r="G112" s="32"/>
      <c r="H112" s="28" t="s">
        <v>164</v>
      </c>
      <c r="I112" s="29">
        <v>54500</v>
      </c>
      <c r="J112" s="28" t="s">
        <v>165</v>
      </c>
      <c r="K112" s="30">
        <v>46186.875</v>
      </c>
      <c r="L112" s="28">
        <v>495</v>
      </c>
      <c r="M112" s="29">
        <v>2329</v>
      </c>
      <c r="N112" s="31">
        <v>382.09</v>
      </c>
      <c r="O112" s="31">
        <v>593.34</v>
      </c>
      <c r="P112" s="31">
        <v>1150</v>
      </c>
      <c r="Q112" s="28">
        <v>690</v>
      </c>
      <c r="R112" s="29">
        <v>38075</v>
      </c>
      <c r="S112" s="29">
        <v>95001</v>
      </c>
      <c r="T112" s="28">
        <v>8</v>
      </c>
      <c r="U112" s="28">
        <v>10</v>
      </c>
      <c r="V112" s="28">
        <v>27</v>
      </c>
      <c r="W112" s="30">
        <v>46275.375</v>
      </c>
      <c r="X112" s="32"/>
      <c r="Y112" s="28">
        <v>0</v>
      </c>
      <c r="Z112" s="33">
        <v>95129</v>
      </c>
      <c r="AA112">
        <v>211.25000000000006</v>
      </c>
      <c r="AB112" s="18">
        <v>0.55288021146850241</v>
      </c>
      <c r="AC112" s="19">
        <v>1.5528802114685023</v>
      </c>
      <c r="AD112" s="19">
        <v>2.074074074074074</v>
      </c>
      <c r="AE112" s="19">
        <v>0.86419753086419759</v>
      </c>
    </row>
    <row r="113" spans="1:31">
      <c r="A113">
        <v>117</v>
      </c>
      <c r="B113" t="s">
        <v>167</v>
      </c>
      <c r="C113" t="s">
        <v>175</v>
      </c>
      <c r="D113" t="s">
        <v>169</v>
      </c>
      <c r="E113" s="20">
        <v>46084</v>
      </c>
      <c r="F113" s="21" t="s">
        <v>225</v>
      </c>
      <c r="G113" s="25"/>
      <c r="H113" s="21" t="s">
        <v>91</v>
      </c>
      <c r="I113" s="22">
        <v>82500</v>
      </c>
      <c r="J113" s="21" t="s">
        <v>92</v>
      </c>
      <c r="K113" s="23">
        <v>46186.75</v>
      </c>
      <c r="L113" s="21">
        <v>865</v>
      </c>
      <c r="M113" s="22">
        <v>4068</v>
      </c>
      <c r="N113" s="24">
        <v>968</v>
      </c>
      <c r="O113" s="24">
        <v>1593.9</v>
      </c>
      <c r="P113" s="24">
        <v>2390.7800000000002</v>
      </c>
      <c r="Q113" s="21">
        <v>545</v>
      </c>
      <c r="R113" s="22">
        <v>16992</v>
      </c>
      <c r="S113" s="22">
        <v>39317</v>
      </c>
      <c r="T113" s="21">
        <v>8</v>
      </c>
      <c r="U113" s="21">
        <v>26</v>
      </c>
      <c r="V113" s="21">
        <v>61</v>
      </c>
      <c r="W113" s="23">
        <v>46275.625</v>
      </c>
      <c r="X113" s="25"/>
      <c r="Y113" s="21">
        <v>0</v>
      </c>
      <c r="Z113" s="26">
        <v>39398</v>
      </c>
      <c r="AA113">
        <v>625.90000000000009</v>
      </c>
      <c r="AB113" s="18">
        <v>0.64659090909090922</v>
      </c>
      <c r="AC113" s="19">
        <v>1.6465909090909092</v>
      </c>
      <c r="AD113" s="19">
        <v>0.91803278688524603</v>
      </c>
      <c r="AE113" s="19">
        <v>0.99453551912568305</v>
      </c>
    </row>
    <row r="114" spans="1:31">
      <c r="A114">
        <v>118</v>
      </c>
      <c r="B114" t="s">
        <v>162</v>
      </c>
      <c r="C114" t="s">
        <v>158</v>
      </c>
      <c r="D114" t="s">
        <v>159</v>
      </c>
      <c r="E114" s="27">
        <v>46084</v>
      </c>
      <c r="F114" s="28" t="s">
        <v>251</v>
      </c>
      <c r="G114" s="32"/>
      <c r="H114" s="28" t="s">
        <v>140</v>
      </c>
      <c r="I114" s="29">
        <v>75000</v>
      </c>
      <c r="J114" s="28" t="s">
        <v>141</v>
      </c>
      <c r="K114" s="30">
        <v>46186.5</v>
      </c>
      <c r="L114" s="28">
        <v>723</v>
      </c>
      <c r="M114" s="29">
        <v>2899</v>
      </c>
      <c r="N114" s="31">
        <v>284.94</v>
      </c>
      <c r="O114" s="31">
        <v>541.02</v>
      </c>
      <c r="P114" s="31">
        <v>855</v>
      </c>
      <c r="Q114" s="28">
        <v>764</v>
      </c>
      <c r="R114" s="29">
        <v>38274</v>
      </c>
      <c r="S114" s="29">
        <v>93565</v>
      </c>
      <c r="T114" s="28">
        <v>9</v>
      </c>
      <c r="U114" s="28">
        <v>13</v>
      </c>
      <c r="V114" s="28">
        <v>38</v>
      </c>
      <c r="W114" s="30">
        <v>46275.5</v>
      </c>
      <c r="X114" s="32"/>
      <c r="Y114" s="28">
        <v>1</v>
      </c>
      <c r="Z114" s="33">
        <v>93671</v>
      </c>
      <c r="AA114">
        <v>256.08</v>
      </c>
      <c r="AB114" s="18">
        <v>0.89871551905664349</v>
      </c>
      <c r="AC114" s="19">
        <v>1.8987155190566434</v>
      </c>
      <c r="AD114" s="19">
        <v>1.6578947368421051</v>
      </c>
      <c r="AE114" s="19">
        <v>0.79824561403508765</v>
      </c>
    </row>
    <row r="115" spans="1:31">
      <c r="A115">
        <v>119</v>
      </c>
      <c r="B115" t="s">
        <v>162</v>
      </c>
      <c r="C115" t="s">
        <v>158</v>
      </c>
      <c r="D115" t="s">
        <v>159</v>
      </c>
      <c r="E115" s="20">
        <v>46084</v>
      </c>
      <c r="F115" s="21" t="s">
        <v>251</v>
      </c>
      <c r="G115" s="25"/>
      <c r="H115" s="21" t="s">
        <v>140</v>
      </c>
      <c r="I115" s="22">
        <v>31600</v>
      </c>
      <c r="J115" s="21" t="s">
        <v>141</v>
      </c>
      <c r="K115" s="23">
        <v>46186.5</v>
      </c>
      <c r="L115" s="21">
        <v>37</v>
      </c>
      <c r="M115" s="21">
        <v>104</v>
      </c>
      <c r="N115" s="24">
        <v>21.6</v>
      </c>
      <c r="O115" s="24">
        <v>83.7</v>
      </c>
      <c r="P115" s="24">
        <v>116.45</v>
      </c>
      <c r="Q115" s="21">
        <v>0</v>
      </c>
      <c r="R115" s="21">
        <v>21</v>
      </c>
      <c r="S115" s="21">
        <v>71</v>
      </c>
      <c r="T115" s="21">
        <v>4</v>
      </c>
      <c r="U115" s="21">
        <v>6</v>
      </c>
      <c r="V115" s="21">
        <v>11</v>
      </c>
      <c r="W115" s="25"/>
      <c r="X115" s="25"/>
      <c r="Y115" s="21">
        <v>0</v>
      </c>
      <c r="Z115" s="34">
        <v>72</v>
      </c>
      <c r="AA115">
        <v>62.1</v>
      </c>
      <c r="AB115" s="18">
        <v>2.875</v>
      </c>
      <c r="AC115" s="19">
        <v>3.875</v>
      </c>
      <c r="AD115" s="19">
        <v>2.5454545454545454</v>
      </c>
      <c r="AE115" s="19">
        <v>1.2727272727272727</v>
      </c>
    </row>
    <row r="116" spans="1:31">
      <c r="A116">
        <v>120</v>
      </c>
      <c r="B116" t="s">
        <v>183</v>
      </c>
      <c r="C116" t="s">
        <v>185</v>
      </c>
      <c r="D116" t="s">
        <v>60</v>
      </c>
      <c r="E116" s="27">
        <v>46084</v>
      </c>
      <c r="F116" s="28" t="s">
        <v>283</v>
      </c>
      <c r="G116" s="32"/>
      <c r="H116" s="28" t="s">
        <v>171</v>
      </c>
      <c r="I116" s="29">
        <v>69176</v>
      </c>
      <c r="J116" s="28" t="s">
        <v>172</v>
      </c>
      <c r="K116" s="30">
        <v>46187.791666666664</v>
      </c>
      <c r="L116" s="28">
        <v>637</v>
      </c>
      <c r="M116" s="29">
        <v>2606</v>
      </c>
      <c r="N116" s="31">
        <v>528</v>
      </c>
      <c r="O116" s="31">
        <v>759</v>
      </c>
      <c r="P116" s="31">
        <v>1067.2</v>
      </c>
      <c r="Q116" s="28">
        <v>337</v>
      </c>
      <c r="R116" s="29">
        <v>11514</v>
      </c>
      <c r="S116" s="29">
        <v>24124</v>
      </c>
      <c r="T116" s="28">
        <v>6</v>
      </c>
      <c r="U116" s="28">
        <v>14</v>
      </c>
      <c r="V116" s="28">
        <v>27</v>
      </c>
      <c r="W116" s="30">
        <v>46275.625</v>
      </c>
      <c r="X116" s="32"/>
      <c r="Y116" s="28">
        <v>0</v>
      </c>
      <c r="Z116" s="33">
        <v>24167</v>
      </c>
      <c r="AA116">
        <v>231</v>
      </c>
      <c r="AB116" s="18">
        <v>0.4375</v>
      </c>
      <c r="AC116" s="19">
        <v>1.4375</v>
      </c>
      <c r="AD116" s="19">
        <v>1.5555555555555556</v>
      </c>
      <c r="AE116" s="19">
        <v>1.2098765432098766</v>
      </c>
    </row>
    <row r="117" spans="1:31">
      <c r="A117">
        <v>121</v>
      </c>
      <c r="B117" t="s">
        <v>58</v>
      </c>
      <c r="C117" t="s">
        <v>59</v>
      </c>
      <c r="D117" t="s">
        <v>60</v>
      </c>
      <c r="E117" s="20">
        <v>46084</v>
      </c>
      <c r="F117" s="21" t="s">
        <v>61</v>
      </c>
      <c r="G117" s="25"/>
      <c r="H117" s="21" t="s">
        <v>62</v>
      </c>
      <c r="I117" s="22">
        <v>71500</v>
      </c>
      <c r="J117" s="21" t="s">
        <v>63</v>
      </c>
      <c r="K117" s="23">
        <v>46187.5</v>
      </c>
      <c r="L117" s="21">
        <v>776</v>
      </c>
      <c r="M117" s="22">
        <v>3175</v>
      </c>
      <c r="N117" s="24">
        <v>379</v>
      </c>
      <c r="O117" s="24">
        <v>639.61</v>
      </c>
      <c r="P117" s="24">
        <v>967.7</v>
      </c>
      <c r="Q117" s="21">
        <v>717</v>
      </c>
      <c r="R117" s="22">
        <v>38806</v>
      </c>
      <c r="S117" s="22">
        <v>96267</v>
      </c>
      <c r="T117" s="21">
        <v>7</v>
      </c>
      <c r="U117" s="21">
        <v>14</v>
      </c>
      <c r="V117" s="21">
        <v>38</v>
      </c>
      <c r="W117" s="23">
        <v>46275.583333333336</v>
      </c>
      <c r="X117" s="25"/>
      <c r="Y117" s="21">
        <v>0</v>
      </c>
      <c r="Z117" s="26">
        <v>96393</v>
      </c>
      <c r="AA117">
        <v>260.61</v>
      </c>
      <c r="AB117" s="18">
        <v>0.68762532981530344</v>
      </c>
      <c r="AC117" s="19">
        <v>1.6876253298153034</v>
      </c>
      <c r="AD117" s="19">
        <v>1.2894736842105263</v>
      </c>
      <c r="AE117" s="19">
        <v>0.85964912280701755</v>
      </c>
    </row>
    <row r="118" spans="1:31">
      <c r="A118">
        <v>122</v>
      </c>
      <c r="B118" t="s">
        <v>58</v>
      </c>
      <c r="C118" t="s">
        <v>59</v>
      </c>
      <c r="D118" t="s">
        <v>60</v>
      </c>
      <c r="E118" s="27">
        <v>46084</v>
      </c>
      <c r="F118" s="28" t="s">
        <v>61</v>
      </c>
      <c r="G118" s="32"/>
      <c r="H118" s="28" t="s">
        <v>62</v>
      </c>
      <c r="I118" s="29">
        <v>26000</v>
      </c>
      <c r="J118" s="28" t="s">
        <v>63</v>
      </c>
      <c r="K118" s="30">
        <v>46187.5</v>
      </c>
      <c r="L118" s="28">
        <v>77</v>
      </c>
      <c r="M118" s="28">
        <v>395</v>
      </c>
      <c r="N118" s="31">
        <v>38.22</v>
      </c>
      <c r="O118" s="31">
        <v>95.55</v>
      </c>
      <c r="P118" s="31">
        <v>126.25</v>
      </c>
      <c r="Q118" s="28">
        <v>2</v>
      </c>
      <c r="R118" s="28">
        <v>16</v>
      </c>
      <c r="S118" s="28">
        <v>38</v>
      </c>
      <c r="T118" s="28">
        <v>1</v>
      </c>
      <c r="U118" s="28">
        <v>2</v>
      </c>
      <c r="V118" s="28">
        <v>8</v>
      </c>
      <c r="W118" s="32"/>
      <c r="X118" s="32"/>
      <c r="Y118" s="28">
        <v>0</v>
      </c>
      <c r="Z118" s="35">
        <v>38</v>
      </c>
      <c r="AA118">
        <v>57.33</v>
      </c>
      <c r="AB118" s="18">
        <v>1.5</v>
      </c>
      <c r="AC118" s="19">
        <v>2.5</v>
      </c>
      <c r="AD118" s="19">
        <v>0.875</v>
      </c>
      <c r="AE118" s="19">
        <v>0.58333333333333337</v>
      </c>
    </row>
    <row r="119" spans="1:31">
      <c r="A119">
        <v>123</v>
      </c>
      <c r="B119" t="s">
        <v>93</v>
      </c>
      <c r="C119" t="s">
        <v>94</v>
      </c>
      <c r="D119" t="s">
        <v>95</v>
      </c>
      <c r="E119" s="20">
        <v>46084</v>
      </c>
      <c r="F119" s="21" t="s">
        <v>96</v>
      </c>
      <c r="G119" s="25"/>
      <c r="H119" s="21" t="s">
        <v>74</v>
      </c>
      <c r="I119" s="22">
        <v>80000</v>
      </c>
      <c r="J119" s="21" t="s">
        <v>75</v>
      </c>
      <c r="K119" s="23">
        <v>46187.625</v>
      </c>
      <c r="L119" s="21">
        <v>541</v>
      </c>
      <c r="M119" s="22">
        <v>2182</v>
      </c>
      <c r="N119" s="24">
        <v>664.83</v>
      </c>
      <c r="O119" s="24">
        <v>1001.61</v>
      </c>
      <c r="P119" s="24">
        <v>1382.34</v>
      </c>
      <c r="Q119" s="21">
        <v>310</v>
      </c>
      <c r="R119" s="22">
        <v>11160</v>
      </c>
      <c r="S119" s="22">
        <v>24534</v>
      </c>
      <c r="T119" s="21">
        <v>7</v>
      </c>
      <c r="U119" s="21">
        <v>31</v>
      </c>
      <c r="V119" s="21">
        <v>60</v>
      </c>
      <c r="W119" s="23">
        <v>46275.583333333336</v>
      </c>
      <c r="X119" s="25"/>
      <c r="Y119" s="21">
        <v>1</v>
      </c>
      <c r="Z119" s="26">
        <v>24594</v>
      </c>
      <c r="AA119">
        <v>336.78</v>
      </c>
      <c r="AB119" s="18">
        <v>0.50656558819547848</v>
      </c>
      <c r="AC119" s="19">
        <v>1.5065655881954785</v>
      </c>
      <c r="AD119" s="19">
        <v>0.81666666666666665</v>
      </c>
      <c r="AE119" s="19">
        <v>1.2055555555555557</v>
      </c>
    </row>
    <row r="120" spans="1:31">
      <c r="A120">
        <v>124</v>
      </c>
      <c r="B120" t="s">
        <v>93</v>
      </c>
      <c r="C120" t="s">
        <v>94</v>
      </c>
      <c r="D120" t="s">
        <v>95</v>
      </c>
      <c r="E120" s="27">
        <v>46084</v>
      </c>
      <c r="F120" s="28" t="s">
        <v>96</v>
      </c>
      <c r="G120" s="32"/>
      <c r="H120" s="28" t="s">
        <v>74</v>
      </c>
      <c r="I120" s="29">
        <v>12000</v>
      </c>
      <c r="J120" s="28" t="s">
        <v>75</v>
      </c>
      <c r="K120" s="30">
        <v>46187.625</v>
      </c>
      <c r="L120" s="28">
        <v>117</v>
      </c>
      <c r="M120" s="28">
        <v>714</v>
      </c>
      <c r="N120" s="31">
        <v>45</v>
      </c>
      <c r="O120" s="31">
        <v>113.85</v>
      </c>
      <c r="P120" s="31">
        <v>166.42</v>
      </c>
      <c r="Q120" s="28">
        <v>1</v>
      </c>
      <c r="R120" s="28">
        <v>28</v>
      </c>
      <c r="S120" s="28">
        <v>50</v>
      </c>
      <c r="T120" s="28">
        <v>3</v>
      </c>
      <c r="U120" s="28">
        <v>9</v>
      </c>
      <c r="V120" s="28">
        <v>17</v>
      </c>
      <c r="W120" s="32"/>
      <c r="X120" s="32"/>
      <c r="Y120" s="28">
        <v>0</v>
      </c>
      <c r="Z120" s="35">
        <v>50</v>
      </c>
      <c r="AA120">
        <v>68.849999999999994</v>
      </c>
      <c r="AB120" s="18">
        <v>1.5299999999999998</v>
      </c>
      <c r="AC120" s="19">
        <v>2.5299999999999998</v>
      </c>
      <c r="AD120" s="19">
        <v>1.2352941176470589</v>
      </c>
      <c r="AE120" s="19">
        <v>1.2352941176470589</v>
      </c>
    </row>
    <row r="121" spans="1:31">
      <c r="A121">
        <v>125</v>
      </c>
      <c r="B121" t="s">
        <v>97</v>
      </c>
      <c r="C121" t="s">
        <v>98</v>
      </c>
      <c r="D121" t="s">
        <v>95</v>
      </c>
      <c r="E121" s="20">
        <v>46084</v>
      </c>
      <c r="F121" s="21" t="s">
        <v>99</v>
      </c>
      <c r="G121" s="25"/>
      <c r="H121" s="21" t="s">
        <v>100</v>
      </c>
      <c r="I121" s="22">
        <v>52237</v>
      </c>
      <c r="J121" s="21" t="s">
        <v>101</v>
      </c>
      <c r="K121" s="23">
        <v>46187.875</v>
      </c>
      <c r="L121" s="21">
        <v>386</v>
      </c>
      <c r="M121" s="22">
        <v>1711</v>
      </c>
      <c r="N121" s="24">
        <v>211.93</v>
      </c>
      <c r="O121" s="24">
        <v>365.67</v>
      </c>
      <c r="P121" s="24">
        <v>743.98</v>
      </c>
      <c r="Q121" s="21">
        <v>268</v>
      </c>
      <c r="R121" s="22">
        <v>9831</v>
      </c>
      <c r="S121" s="22">
        <v>19848</v>
      </c>
      <c r="T121" s="21">
        <v>0</v>
      </c>
      <c r="U121" s="21">
        <v>5</v>
      </c>
      <c r="V121" s="21">
        <v>16</v>
      </c>
      <c r="W121" s="23">
        <v>46275.541666666664</v>
      </c>
      <c r="X121" s="25"/>
      <c r="Y121" s="21">
        <v>0</v>
      </c>
      <c r="Z121" s="26">
        <v>19884</v>
      </c>
      <c r="AA121">
        <v>153.74</v>
      </c>
      <c r="AB121" s="18">
        <v>0.72542820742698066</v>
      </c>
      <c r="AC121" s="19">
        <v>1.7254282074269807</v>
      </c>
      <c r="AD121" s="19">
        <v>0</v>
      </c>
      <c r="AE121" s="19">
        <v>0.72916666666666674</v>
      </c>
    </row>
    <row r="122" spans="1:31">
      <c r="A122">
        <v>126</v>
      </c>
      <c r="B122" t="s">
        <v>102</v>
      </c>
      <c r="C122" t="s">
        <v>103</v>
      </c>
      <c r="D122" t="s">
        <v>104</v>
      </c>
      <c r="E122" s="27">
        <v>46084</v>
      </c>
      <c r="F122" s="28" t="s">
        <v>105</v>
      </c>
      <c r="G122" s="32"/>
      <c r="H122" s="28" t="s">
        <v>85</v>
      </c>
      <c r="I122" s="29">
        <v>76100</v>
      </c>
      <c r="J122" s="28" t="s">
        <v>86</v>
      </c>
      <c r="K122" s="30">
        <v>46188.75</v>
      </c>
      <c r="L122" s="28">
        <v>856</v>
      </c>
      <c r="M122" s="29">
        <v>3470</v>
      </c>
      <c r="N122" s="31">
        <v>315</v>
      </c>
      <c r="O122" s="31">
        <v>484</v>
      </c>
      <c r="P122" s="31">
        <v>783.62</v>
      </c>
      <c r="Q122" s="28">
        <v>672</v>
      </c>
      <c r="R122" s="29">
        <v>38585</v>
      </c>
      <c r="S122" s="29">
        <v>96758</v>
      </c>
      <c r="T122" s="28">
        <v>9</v>
      </c>
      <c r="U122" s="28">
        <v>22</v>
      </c>
      <c r="V122" s="28">
        <v>54</v>
      </c>
      <c r="W122" s="30">
        <v>46275.625</v>
      </c>
      <c r="X122" s="32"/>
      <c r="Y122" s="28">
        <v>0</v>
      </c>
      <c r="Z122" s="33">
        <v>96866</v>
      </c>
      <c r="AA122">
        <v>169</v>
      </c>
      <c r="AB122" s="18">
        <v>0.53650793650793649</v>
      </c>
      <c r="AC122" s="19">
        <v>1.5365079365079366</v>
      </c>
      <c r="AD122" s="19">
        <v>1.1666666666666667</v>
      </c>
      <c r="AE122" s="19">
        <v>0.95061728395061718</v>
      </c>
    </row>
    <row r="123" spans="1:31">
      <c r="A123">
        <v>127</v>
      </c>
      <c r="B123" t="s">
        <v>106</v>
      </c>
      <c r="C123" t="s">
        <v>107</v>
      </c>
      <c r="D123" t="s">
        <v>104</v>
      </c>
      <c r="E123" s="20">
        <v>46084</v>
      </c>
      <c r="F123" s="21" t="s">
        <v>108</v>
      </c>
      <c r="G123" s="25"/>
      <c r="H123" s="21" t="s">
        <v>79</v>
      </c>
      <c r="I123" s="22">
        <v>71000</v>
      </c>
      <c r="J123" s="21" t="s">
        <v>80</v>
      </c>
      <c r="K123" s="23">
        <v>46188.5</v>
      </c>
      <c r="L123" s="21">
        <v>784</v>
      </c>
      <c r="M123" s="22">
        <v>3222</v>
      </c>
      <c r="N123" s="24">
        <v>346.82</v>
      </c>
      <c r="O123" s="24">
        <v>605.98</v>
      </c>
      <c r="P123" s="24">
        <v>979.06</v>
      </c>
      <c r="Q123" s="21">
        <v>747</v>
      </c>
      <c r="R123" s="22">
        <v>39532</v>
      </c>
      <c r="S123" s="22">
        <v>96709</v>
      </c>
      <c r="T123" s="21">
        <v>3</v>
      </c>
      <c r="U123" s="21">
        <v>21</v>
      </c>
      <c r="V123" s="21">
        <v>43</v>
      </c>
      <c r="W123" s="23">
        <v>46275.625</v>
      </c>
      <c r="X123" s="25"/>
      <c r="Y123" s="21">
        <v>0</v>
      </c>
      <c r="Z123" s="26">
        <v>96822</v>
      </c>
      <c r="AA123">
        <v>259.16000000000003</v>
      </c>
      <c r="AB123" s="18">
        <v>0.74724641024162397</v>
      </c>
      <c r="AC123" s="19">
        <v>1.7472464102416241</v>
      </c>
      <c r="AD123" s="19">
        <v>0.48837209302325579</v>
      </c>
      <c r="AE123" s="19">
        <v>1.1395348837209303</v>
      </c>
    </row>
    <row r="124" spans="1:31">
      <c r="A124">
        <v>128</v>
      </c>
      <c r="B124" t="s">
        <v>106</v>
      </c>
      <c r="C124" t="s">
        <v>107</v>
      </c>
      <c r="D124" t="s">
        <v>104</v>
      </c>
      <c r="E124" s="27">
        <v>46084</v>
      </c>
      <c r="F124" s="28" t="s">
        <v>108</v>
      </c>
      <c r="G124" s="32"/>
      <c r="H124" s="28" t="s">
        <v>79</v>
      </c>
      <c r="I124" s="29">
        <v>20000</v>
      </c>
      <c r="J124" s="28" t="s">
        <v>80</v>
      </c>
      <c r="K124" s="30">
        <v>46188.5</v>
      </c>
      <c r="L124" s="28">
        <v>187</v>
      </c>
      <c r="M124" s="28">
        <v>793</v>
      </c>
      <c r="N124" s="31">
        <v>17.88</v>
      </c>
      <c r="O124" s="31">
        <v>52.2</v>
      </c>
      <c r="P124" s="31">
        <v>72</v>
      </c>
      <c r="Q124" s="28">
        <v>0</v>
      </c>
      <c r="R124" s="28">
        <v>14</v>
      </c>
      <c r="S124" s="28">
        <v>35</v>
      </c>
      <c r="T124" s="28">
        <v>4</v>
      </c>
      <c r="U124" s="28">
        <v>12</v>
      </c>
      <c r="V124" s="28">
        <v>16</v>
      </c>
      <c r="W124" s="32"/>
      <c r="X124" s="32"/>
      <c r="Y124" s="28">
        <v>0</v>
      </c>
      <c r="Z124" s="35">
        <v>35</v>
      </c>
      <c r="AA124">
        <v>34.320000000000007</v>
      </c>
      <c r="AB124" s="18">
        <v>1.9194630872483227</v>
      </c>
      <c r="AC124" s="19">
        <v>2.9194630872483223</v>
      </c>
      <c r="AD124" s="19">
        <v>1.75</v>
      </c>
      <c r="AE124" s="19">
        <v>1.75</v>
      </c>
    </row>
    <row r="125" spans="1:31">
      <c r="A125">
        <v>129</v>
      </c>
      <c r="B125" t="s">
        <v>109</v>
      </c>
      <c r="C125" t="s">
        <v>110</v>
      </c>
      <c r="D125" t="s">
        <v>111</v>
      </c>
      <c r="E125" s="20">
        <v>46084</v>
      </c>
      <c r="F125" s="21" t="s">
        <v>112</v>
      </c>
      <c r="G125" s="25"/>
      <c r="H125" s="21" t="s">
        <v>113</v>
      </c>
      <c r="I125" s="22">
        <v>70240</v>
      </c>
      <c r="J125" s="21" t="s">
        <v>114</v>
      </c>
      <c r="K125" s="23">
        <v>46188.75</v>
      </c>
      <c r="L125" s="21">
        <v>941</v>
      </c>
      <c r="M125" s="22">
        <v>3738</v>
      </c>
      <c r="N125" s="24">
        <v>295</v>
      </c>
      <c r="O125" s="24">
        <v>562</v>
      </c>
      <c r="P125" s="24">
        <v>929.78</v>
      </c>
      <c r="Q125" s="21">
        <v>277</v>
      </c>
      <c r="R125" s="22">
        <v>10767</v>
      </c>
      <c r="S125" s="22">
        <v>23357</v>
      </c>
      <c r="T125" s="21">
        <v>3</v>
      </c>
      <c r="U125" s="21">
        <v>8</v>
      </c>
      <c r="V125" s="21">
        <v>27</v>
      </c>
      <c r="W125" s="23">
        <v>46275.5</v>
      </c>
      <c r="X125" s="25"/>
      <c r="Y125" s="21">
        <v>0</v>
      </c>
      <c r="Z125" s="26">
        <v>23398</v>
      </c>
      <c r="AA125">
        <v>267</v>
      </c>
      <c r="AB125" s="18">
        <v>0.90508474576271192</v>
      </c>
      <c r="AC125" s="19">
        <v>1.9050847457627118</v>
      </c>
      <c r="AD125" s="19">
        <v>0.77777777777777779</v>
      </c>
      <c r="AE125" s="19">
        <v>0.69135802469135799</v>
      </c>
    </row>
    <row r="126" spans="1:31">
      <c r="A126">
        <v>130</v>
      </c>
      <c r="B126" t="s">
        <v>115</v>
      </c>
      <c r="C126" t="s">
        <v>116</v>
      </c>
      <c r="D126" t="s">
        <v>111</v>
      </c>
      <c r="E126" s="27">
        <v>46084</v>
      </c>
      <c r="F126" s="28" t="s">
        <v>117</v>
      </c>
      <c r="G126" s="32"/>
      <c r="H126" s="28" t="s">
        <v>118</v>
      </c>
      <c r="I126" s="29">
        <v>67000</v>
      </c>
      <c r="J126" s="28" t="s">
        <v>119</v>
      </c>
      <c r="K126" s="30">
        <v>46188.5</v>
      </c>
      <c r="L126" s="28">
        <v>640</v>
      </c>
      <c r="M126" s="29">
        <v>2591</v>
      </c>
      <c r="N126" s="31">
        <v>370</v>
      </c>
      <c r="O126" s="31">
        <v>654.01</v>
      </c>
      <c r="P126" s="31">
        <v>997.9</v>
      </c>
      <c r="Q126" s="28">
        <v>273</v>
      </c>
      <c r="R126" s="29">
        <v>10678</v>
      </c>
      <c r="S126" s="29">
        <v>23831</v>
      </c>
      <c r="T126" s="28">
        <v>11</v>
      </c>
      <c r="U126" s="28">
        <v>15</v>
      </c>
      <c r="V126" s="28">
        <v>38</v>
      </c>
      <c r="W126" s="30">
        <v>46275.5</v>
      </c>
      <c r="X126" s="32"/>
      <c r="Y126" s="28">
        <v>1</v>
      </c>
      <c r="Z126" s="33">
        <v>23887</v>
      </c>
      <c r="AA126">
        <v>284.01</v>
      </c>
      <c r="AB126" s="18">
        <v>0.76759459459459456</v>
      </c>
      <c r="AC126" s="19">
        <v>1.7675945945945946</v>
      </c>
      <c r="AD126" s="19">
        <v>2.0263157894736841</v>
      </c>
      <c r="AE126" s="19">
        <v>0.92105263157894735</v>
      </c>
    </row>
    <row r="127" spans="1:31">
      <c r="A127">
        <v>131</v>
      </c>
      <c r="B127" t="s">
        <v>120</v>
      </c>
      <c r="C127" t="s">
        <v>121</v>
      </c>
      <c r="D127" t="s">
        <v>122</v>
      </c>
      <c r="E127" s="20">
        <v>46084</v>
      </c>
      <c r="F127" s="21" t="s">
        <v>123</v>
      </c>
      <c r="G127" s="25"/>
      <c r="H127" s="21" t="s">
        <v>91</v>
      </c>
      <c r="I127" s="22">
        <v>82500</v>
      </c>
      <c r="J127" s="21" t="s">
        <v>92</v>
      </c>
      <c r="K127" s="23">
        <v>46189.625</v>
      </c>
      <c r="L127" s="21">
        <v>743</v>
      </c>
      <c r="M127" s="22">
        <v>3142</v>
      </c>
      <c r="N127" s="24">
        <v>572.35</v>
      </c>
      <c r="O127" s="24">
        <v>944.4</v>
      </c>
      <c r="P127" s="24">
        <v>1466.62</v>
      </c>
      <c r="Q127" s="21">
        <v>759</v>
      </c>
      <c r="R127" s="22">
        <v>40170</v>
      </c>
      <c r="S127" s="22">
        <v>100186</v>
      </c>
      <c r="T127" s="21">
        <v>10</v>
      </c>
      <c r="U127" s="21">
        <v>27</v>
      </c>
      <c r="V127" s="21">
        <v>65</v>
      </c>
      <c r="W127" s="23">
        <v>46275.625</v>
      </c>
      <c r="X127" s="25"/>
      <c r="Y127" s="21">
        <v>0</v>
      </c>
      <c r="Z127" s="26">
        <v>100317</v>
      </c>
      <c r="AA127">
        <v>372.04999999999995</v>
      </c>
      <c r="AB127" s="18">
        <v>0.6500393116100287</v>
      </c>
      <c r="AC127" s="19">
        <v>1.6500393116100287</v>
      </c>
      <c r="AD127" s="19">
        <v>1.0769230769230769</v>
      </c>
      <c r="AE127" s="19">
        <v>0.96923076923076912</v>
      </c>
    </row>
    <row r="128" spans="1:31">
      <c r="A128">
        <v>132</v>
      </c>
      <c r="B128" t="s">
        <v>124</v>
      </c>
      <c r="C128" t="s">
        <v>125</v>
      </c>
      <c r="D128" t="s">
        <v>122</v>
      </c>
      <c r="E128" s="27">
        <v>46084</v>
      </c>
      <c r="F128" s="28" t="s">
        <v>126</v>
      </c>
      <c r="G128" s="32"/>
      <c r="H128" s="28" t="s">
        <v>127</v>
      </c>
      <c r="I128" s="29">
        <v>68756</v>
      </c>
      <c r="J128" s="28" t="s">
        <v>128</v>
      </c>
      <c r="K128" s="30">
        <v>46189.75</v>
      </c>
      <c r="L128" s="28">
        <v>636</v>
      </c>
      <c r="M128" s="29">
        <v>2755</v>
      </c>
      <c r="N128" s="31">
        <v>454.5</v>
      </c>
      <c r="O128" s="31">
        <v>700.78</v>
      </c>
      <c r="P128" s="31">
        <v>1117.8</v>
      </c>
      <c r="Q128" s="28">
        <v>255</v>
      </c>
      <c r="R128" s="29">
        <v>10276</v>
      </c>
      <c r="S128" s="29">
        <v>22368</v>
      </c>
      <c r="T128" s="28">
        <v>3</v>
      </c>
      <c r="U128" s="28">
        <v>9</v>
      </c>
      <c r="V128" s="28">
        <v>19</v>
      </c>
      <c r="W128" s="30">
        <v>46275.625</v>
      </c>
      <c r="X128" s="32"/>
      <c r="Y128" s="28">
        <v>0</v>
      </c>
      <c r="Z128" s="33">
        <v>22404</v>
      </c>
      <c r="AA128">
        <v>246.27999999999997</v>
      </c>
      <c r="AB128" s="18">
        <v>0.54187018701870182</v>
      </c>
      <c r="AC128" s="19">
        <v>1.5418701870187017</v>
      </c>
      <c r="AD128" s="19">
        <v>1.1052631578947367</v>
      </c>
      <c r="AE128" s="19">
        <v>1.1052631578947367</v>
      </c>
    </row>
    <row r="129" spans="1:31">
      <c r="A129">
        <v>133</v>
      </c>
      <c r="B129" t="s">
        <v>124</v>
      </c>
      <c r="C129" t="s">
        <v>125</v>
      </c>
      <c r="D129" t="s">
        <v>122</v>
      </c>
      <c r="E129" s="20">
        <v>46084</v>
      </c>
      <c r="F129" s="21" t="s">
        <v>126</v>
      </c>
      <c r="G129" s="25"/>
      <c r="H129" s="21" t="s">
        <v>127</v>
      </c>
      <c r="I129" s="22">
        <v>16000</v>
      </c>
      <c r="J129" s="21" t="s">
        <v>128</v>
      </c>
      <c r="K129" s="23">
        <v>46189.75</v>
      </c>
      <c r="L129" s="21">
        <v>68</v>
      </c>
      <c r="M129" s="21">
        <v>315</v>
      </c>
      <c r="N129" s="24">
        <v>43.3</v>
      </c>
      <c r="O129" s="24">
        <v>78.3</v>
      </c>
      <c r="P129" s="24">
        <v>118.85</v>
      </c>
      <c r="Q129" s="21">
        <v>0</v>
      </c>
      <c r="R129" s="21">
        <v>7</v>
      </c>
      <c r="S129" s="21">
        <v>24</v>
      </c>
      <c r="T129" s="21">
        <v>1</v>
      </c>
      <c r="U129" s="21">
        <v>3</v>
      </c>
      <c r="V129" s="21">
        <v>9</v>
      </c>
      <c r="W129" s="25"/>
      <c r="X129" s="25"/>
      <c r="Y129" s="21">
        <v>0</v>
      </c>
      <c r="Z129" s="34">
        <v>24</v>
      </c>
      <c r="AA129">
        <v>35</v>
      </c>
      <c r="AB129" s="18">
        <v>0.80831408775981528</v>
      </c>
      <c r="AC129" s="19">
        <v>1.8083140877598154</v>
      </c>
      <c r="AD129" s="19">
        <v>0.77777777777777768</v>
      </c>
      <c r="AE129" s="19">
        <v>0.77777777777777768</v>
      </c>
    </row>
    <row r="130" spans="1:31">
      <c r="A130">
        <v>134</v>
      </c>
      <c r="B130" t="s">
        <v>129</v>
      </c>
      <c r="C130" t="s">
        <v>130</v>
      </c>
      <c r="D130" t="s">
        <v>131</v>
      </c>
      <c r="E130" s="27">
        <v>46084</v>
      </c>
      <c r="F130" s="28" t="s">
        <v>132</v>
      </c>
      <c r="G130" s="32"/>
      <c r="H130" s="28" t="s">
        <v>68</v>
      </c>
      <c r="I130" s="29">
        <v>76416</v>
      </c>
      <c r="J130" s="28" t="s">
        <v>69</v>
      </c>
      <c r="K130" s="30">
        <v>46189.833333333336</v>
      </c>
      <c r="L130" s="28">
        <v>755</v>
      </c>
      <c r="M130" s="29">
        <v>3126</v>
      </c>
      <c r="N130" s="31">
        <v>715.4</v>
      </c>
      <c r="O130" s="31">
        <v>1133.7</v>
      </c>
      <c r="P130" s="31">
        <v>1982.7</v>
      </c>
      <c r="Q130" s="28">
        <v>305</v>
      </c>
      <c r="R130" s="29">
        <v>11332</v>
      </c>
      <c r="S130" s="29">
        <v>24429</v>
      </c>
      <c r="T130" s="28">
        <v>6</v>
      </c>
      <c r="U130" s="28">
        <v>21</v>
      </c>
      <c r="V130" s="28">
        <v>49</v>
      </c>
      <c r="W130" s="30">
        <v>46275.583333333336</v>
      </c>
      <c r="X130" s="32"/>
      <c r="Y130" s="28">
        <v>1</v>
      </c>
      <c r="Z130" s="33">
        <v>24472</v>
      </c>
      <c r="AA130">
        <v>418.30000000000007</v>
      </c>
      <c r="AB130" s="18">
        <v>0.58470785574503781</v>
      </c>
      <c r="AC130" s="19">
        <v>1.5847078557450378</v>
      </c>
      <c r="AD130" s="19">
        <v>0.8571428571428571</v>
      </c>
      <c r="AE130" s="19">
        <v>1</v>
      </c>
    </row>
    <row r="131" spans="1:31">
      <c r="A131">
        <v>135</v>
      </c>
      <c r="B131" t="s">
        <v>129</v>
      </c>
      <c r="C131" t="s">
        <v>130</v>
      </c>
      <c r="D131" t="s">
        <v>131</v>
      </c>
      <c r="E131" s="20">
        <v>46084</v>
      </c>
      <c r="F131" s="21" t="s">
        <v>132</v>
      </c>
      <c r="G131" s="25"/>
      <c r="H131" s="21" t="s">
        <v>68</v>
      </c>
      <c r="I131" s="22">
        <v>14000</v>
      </c>
      <c r="J131" s="21" t="s">
        <v>69</v>
      </c>
      <c r="K131" s="23">
        <v>46189.833333333336</v>
      </c>
      <c r="L131" s="21">
        <v>50</v>
      </c>
      <c r="M131" s="21">
        <v>138</v>
      </c>
      <c r="N131" s="24">
        <v>157.5</v>
      </c>
      <c r="O131" s="24">
        <v>208.96</v>
      </c>
      <c r="P131" s="24">
        <v>262.75</v>
      </c>
      <c r="Q131" s="21">
        <v>2</v>
      </c>
      <c r="R131" s="21">
        <v>12</v>
      </c>
      <c r="S131" s="21">
        <v>29</v>
      </c>
      <c r="T131" s="21">
        <v>2</v>
      </c>
      <c r="U131" s="21">
        <v>5</v>
      </c>
      <c r="V131" s="21">
        <v>14</v>
      </c>
      <c r="W131" s="25"/>
      <c r="X131" s="25"/>
      <c r="Y131" s="21">
        <v>1</v>
      </c>
      <c r="Z131" s="34">
        <v>30</v>
      </c>
      <c r="AA131">
        <v>51.460000000000008</v>
      </c>
      <c r="AB131" s="18">
        <v>0.32673015873015876</v>
      </c>
      <c r="AC131" s="19">
        <v>1.3267301587301588</v>
      </c>
      <c r="AD131" s="19">
        <v>1</v>
      </c>
      <c r="AE131" s="19">
        <v>0.83333333333333337</v>
      </c>
    </row>
    <row r="132" spans="1:31">
      <c r="A132">
        <v>136</v>
      </c>
      <c r="B132" t="s">
        <v>137</v>
      </c>
      <c r="C132" t="s">
        <v>138</v>
      </c>
      <c r="D132" t="s">
        <v>131</v>
      </c>
      <c r="E132" s="27">
        <v>46084</v>
      </c>
      <c r="F132" s="28" t="s">
        <v>139</v>
      </c>
      <c r="G132" s="32"/>
      <c r="H132" s="28" t="s">
        <v>140</v>
      </c>
      <c r="I132" s="29">
        <v>75000</v>
      </c>
      <c r="J132" s="28" t="s">
        <v>141</v>
      </c>
      <c r="K132" s="30">
        <v>46189.875</v>
      </c>
      <c r="L132" s="28">
        <v>722</v>
      </c>
      <c r="M132" s="29">
        <v>2856</v>
      </c>
      <c r="N132" s="31">
        <v>221.12</v>
      </c>
      <c r="O132" s="31">
        <v>489.02</v>
      </c>
      <c r="P132" s="31">
        <v>771.2</v>
      </c>
      <c r="Q132" s="28">
        <v>270</v>
      </c>
      <c r="R132" s="29">
        <v>10809</v>
      </c>
      <c r="S132" s="29">
        <v>22676</v>
      </c>
      <c r="T132" s="28">
        <v>3</v>
      </c>
      <c r="U132" s="28">
        <v>12</v>
      </c>
      <c r="V132" s="28">
        <v>23</v>
      </c>
      <c r="W132" s="30">
        <v>46275.5</v>
      </c>
      <c r="X132" s="32"/>
      <c r="Y132" s="28">
        <v>0</v>
      </c>
      <c r="Z132" s="33">
        <v>22708</v>
      </c>
      <c r="AA132">
        <v>267.89999999999998</v>
      </c>
      <c r="AB132" s="18">
        <v>1.2115593342981186</v>
      </c>
      <c r="AC132" s="19">
        <v>2.2115593342981184</v>
      </c>
      <c r="AD132" s="19">
        <v>0.91304347826086962</v>
      </c>
      <c r="AE132" s="19">
        <v>1.2173913043478262</v>
      </c>
    </row>
    <row r="133" spans="1:31">
      <c r="A133">
        <v>137</v>
      </c>
      <c r="B133" t="s">
        <v>142</v>
      </c>
      <c r="C133" t="s">
        <v>143</v>
      </c>
      <c r="D133" t="s">
        <v>144</v>
      </c>
      <c r="E133" s="20">
        <v>46084</v>
      </c>
      <c r="F133" s="21" t="s">
        <v>145</v>
      </c>
      <c r="G133" s="25"/>
      <c r="H133" s="21" t="s">
        <v>146</v>
      </c>
      <c r="I133" s="22">
        <v>30000</v>
      </c>
      <c r="J133" s="21" t="s">
        <v>147</v>
      </c>
      <c r="K133" s="23">
        <v>46190.791666666664</v>
      </c>
      <c r="L133" s="21">
        <v>389</v>
      </c>
      <c r="M133" s="22">
        <v>1723</v>
      </c>
      <c r="N133" s="24">
        <v>411.38</v>
      </c>
      <c r="O133" s="24">
        <v>637.07000000000005</v>
      </c>
      <c r="P133" s="24">
        <v>1018.98</v>
      </c>
      <c r="Q133" s="21">
        <v>212</v>
      </c>
      <c r="R133" s="22">
        <v>10171</v>
      </c>
      <c r="S133" s="22">
        <v>22845</v>
      </c>
      <c r="T133" s="21">
        <v>4</v>
      </c>
      <c r="U133" s="21">
        <v>9</v>
      </c>
      <c r="V133" s="21">
        <v>22</v>
      </c>
      <c r="W133" s="23">
        <v>46275.5</v>
      </c>
      <c r="X133" s="25"/>
      <c r="Y133" s="21">
        <v>0</v>
      </c>
      <c r="Z133" s="26">
        <v>22884</v>
      </c>
      <c r="AA133">
        <v>225.69000000000005</v>
      </c>
      <c r="AB133" s="18">
        <v>0.5486168506004182</v>
      </c>
      <c r="AC133" s="19">
        <v>1.5486168506004183</v>
      </c>
      <c r="AD133" s="19">
        <v>1.2727272727272727</v>
      </c>
      <c r="AE133" s="19">
        <v>0.95454545454545459</v>
      </c>
    </row>
    <row r="134" spans="1:31">
      <c r="A134">
        <v>138</v>
      </c>
      <c r="B134" t="s">
        <v>148</v>
      </c>
      <c r="C134" t="s">
        <v>149</v>
      </c>
      <c r="D134" t="s">
        <v>144</v>
      </c>
      <c r="E134" s="27">
        <v>46084</v>
      </c>
      <c r="F134" s="28" t="s">
        <v>150</v>
      </c>
      <c r="G134" s="32"/>
      <c r="H134" s="28" t="s">
        <v>74</v>
      </c>
      <c r="I134" s="29">
        <v>80000</v>
      </c>
      <c r="J134" s="28" t="s">
        <v>75</v>
      </c>
      <c r="K134" s="30">
        <v>46190.625</v>
      </c>
      <c r="L134" s="28">
        <v>670</v>
      </c>
      <c r="M134" s="29">
        <v>3402</v>
      </c>
      <c r="N134" s="31">
        <v>882.23</v>
      </c>
      <c r="O134" s="31">
        <v>1672.59</v>
      </c>
      <c r="P134" s="31">
        <v>3200</v>
      </c>
      <c r="Q134" s="28">
        <v>590</v>
      </c>
      <c r="R134" s="29">
        <v>32567</v>
      </c>
      <c r="S134" s="29">
        <v>80860</v>
      </c>
      <c r="T134" s="28">
        <v>4</v>
      </c>
      <c r="U134" s="28">
        <v>12</v>
      </c>
      <c r="V134" s="28">
        <v>31</v>
      </c>
      <c r="W134" s="30">
        <v>46275.583333333336</v>
      </c>
      <c r="X134" s="32"/>
      <c r="Y134" s="28">
        <v>0</v>
      </c>
      <c r="Z134" s="33">
        <v>80964</v>
      </c>
      <c r="AA134">
        <v>790.3599999999999</v>
      </c>
      <c r="AB134" s="18">
        <v>0.89586615735125752</v>
      </c>
      <c r="AC134" s="19">
        <v>1.8958661573512574</v>
      </c>
      <c r="AD134" s="19">
        <v>0.90322580645161288</v>
      </c>
      <c r="AE134" s="19">
        <v>0.90322580645161288</v>
      </c>
    </row>
    <row r="135" spans="1:31">
      <c r="A135">
        <v>139</v>
      </c>
      <c r="B135" t="s">
        <v>148</v>
      </c>
      <c r="C135" t="s">
        <v>149</v>
      </c>
      <c r="D135" t="s">
        <v>144</v>
      </c>
      <c r="E135" s="20">
        <v>46084</v>
      </c>
      <c r="F135" s="21" t="s">
        <v>150</v>
      </c>
      <c r="G135" s="25"/>
      <c r="H135" s="21" t="s">
        <v>74</v>
      </c>
      <c r="I135" s="22">
        <v>12000</v>
      </c>
      <c r="J135" s="21" t="s">
        <v>75</v>
      </c>
      <c r="K135" s="23">
        <v>46190.625</v>
      </c>
      <c r="L135" s="21">
        <v>121</v>
      </c>
      <c r="M135" s="21">
        <v>667</v>
      </c>
      <c r="N135" s="24">
        <v>50.4</v>
      </c>
      <c r="O135" s="24">
        <v>121.25</v>
      </c>
      <c r="P135" s="24">
        <v>202.73</v>
      </c>
      <c r="Q135" s="21">
        <v>0</v>
      </c>
      <c r="R135" s="21">
        <v>14</v>
      </c>
      <c r="S135" s="21">
        <v>45</v>
      </c>
      <c r="T135" s="21">
        <v>5</v>
      </c>
      <c r="U135" s="21">
        <v>6</v>
      </c>
      <c r="V135" s="21">
        <v>9</v>
      </c>
      <c r="W135" s="25"/>
      <c r="X135" s="25"/>
      <c r="Y135" s="21">
        <v>0</v>
      </c>
      <c r="Z135" s="34">
        <v>46</v>
      </c>
      <c r="AA135">
        <v>70.849999999999994</v>
      </c>
      <c r="AB135" s="18">
        <v>1.4057539682539681</v>
      </c>
      <c r="AC135" s="19">
        <v>2.4057539682539684</v>
      </c>
      <c r="AD135" s="19">
        <v>3.8888888888888884</v>
      </c>
      <c r="AE135" s="19">
        <v>1.5555555555555554</v>
      </c>
    </row>
    <row r="136" spans="1:31">
      <c r="A136">
        <v>140</v>
      </c>
      <c r="B136" t="s">
        <v>151</v>
      </c>
      <c r="C136" t="s">
        <v>124</v>
      </c>
      <c r="D136" t="s">
        <v>152</v>
      </c>
      <c r="E136" s="27">
        <v>46084</v>
      </c>
      <c r="F136" s="28" t="s">
        <v>153</v>
      </c>
      <c r="G136" s="32"/>
      <c r="H136" s="28" t="s">
        <v>62</v>
      </c>
      <c r="I136" s="29">
        <v>71500</v>
      </c>
      <c r="J136" s="28" t="s">
        <v>63</v>
      </c>
      <c r="K136" s="30">
        <v>46190.5</v>
      </c>
      <c r="L136" s="28">
        <v>834</v>
      </c>
      <c r="M136" s="29">
        <v>3471</v>
      </c>
      <c r="N136" s="31">
        <v>597.08000000000004</v>
      </c>
      <c r="O136" s="31">
        <v>918.59</v>
      </c>
      <c r="P136" s="31">
        <v>1499.5</v>
      </c>
      <c r="Q136" s="28">
        <v>682</v>
      </c>
      <c r="R136" s="29">
        <v>39480</v>
      </c>
      <c r="S136" s="29">
        <v>99236</v>
      </c>
      <c r="T136" s="28">
        <v>11</v>
      </c>
      <c r="U136" s="28">
        <v>22</v>
      </c>
      <c r="V136" s="28">
        <v>49</v>
      </c>
      <c r="W136" s="30">
        <v>46275.583333333336</v>
      </c>
      <c r="X136" s="32"/>
      <c r="Y136" s="28">
        <v>0</v>
      </c>
      <c r="Z136" s="33">
        <v>99367</v>
      </c>
      <c r="AA136">
        <v>321.51</v>
      </c>
      <c r="AB136" s="18">
        <v>0.53847055670931865</v>
      </c>
      <c r="AC136" s="19">
        <v>1.5384705567093186</v>
      </c>
      <c r="AD136" s="19">
        <v>1.5714285714285714</v>
      </c>
      <c r="AE136" s="19">
        <v>1.0476190476190477</v>
      </c>
    </row>
    <row r="137" spans="1:31">
      <c r="A137">
        <v>141</v>
      </c>
      <c r="B137" t="s">
        <v>151</v>
      </c>
      <c r="C137" t="s">
        <v>124</v>
      </c>
      <c r="D137" t="s">
        <v>152</v>
      </c>
      <c r="E137" s="20">
        <v>46084</v>
      </c>
      <c r="F137" s="21" t="s">
        <v>153</v>
      </c>
      <c r="G137" s="25"/>
      <c r="H137" s="21" t="s">
        <v>62</v>
      </c>
      <c r="I137" s="22">
        <v>26000</v>
      </c>
      <c r="J137" s="21" t="s">
        <v>63</v>
      </c>
      <c r="K137" s="23">
        <v>46190.5</v>
      </c>
      <c r="L137" s="21">
        <v>69</v>
      </c>
      <c r="M137" s="21">
        <v>419</v>
      </c>
      <c r="N137" s="24">
        <v>33.67</v>
      </c>
      <c r="O137" s="24">
        <v>99.19</v>
      </c>
      <c r="P137" s="24">
        <v>117</v>
      </c>
      <c r="Q137" s="21">
        <v>0</v>
      </c>
      <c r="R137" s="21">
        <v>13</v>
      </c>
      <c r="S137" s="21">
        <v>38</v>
      </c>
      <c r="T137" s="21">
        <v>0</v>
      </c>
      <c r="U137" s="21">
        <v>1</v>
      </c>
      <c r="V137" s="21">
        <v>8</v>
      </c>
      <c r="W137" s="25"/>
      <c r="X137" s="25"/>
      <c r="Y137" s="21">
        <v>0</v>
      </c>
      <c r="Z137" s="34">
        <v>38</v>
      </c>
      <c r="AA137">
        <v>65.52</v>
      </c>
      <c r="AB137" s="18">
        <v>1.9459459459459458</v>
      </c>
      <c r="AC137" s="19">
        <v>2.9459459459459456</v>
      </c>
      <c r="AD137" s="19">
        <v>0</v>
      </c>
      <c r="AE137" s="19">
        <v>0.29166666666666669</v>
      </c>
    </row>
    <row r="138" spans="1:31">
      <c r="A138">
        <v>142</v>
      </c>
      <c r="B138" t="s">
        <v>154</v>
      </c>
      <c r="C138" t="s">
        <v>155</v>
      </c>
      <c r="D138" t="s">
        <v>152</v>
      </c>
      <c r="E138" s="27">
        <v>46084</v>
      </c>
      <c r="F138" s="28" t="s">
        <v>156</v>
      </c>
      <c r="G138" s="32"/>
      <c r="H138" s="28" t="s">
        <v>56</v>
      </c>
      <c r="I138" s="29">
        <v>98500</v>
      </c>
      <c r="J138" s="28" t="s">
        <v>57</v>
      </c>
      <c r="K138" s="30">
        <v>46190.875</v>
      </c>
      <c r="L138" s="28">
        <v>397</v>
      </c>
      <c r="M138" s="29">
        <v>1801</v>
      </c>
      <c r="N138" s="31">
        <v>636.72</v>
      </c>
      <c r="O138" s="31">
        <v>882</v>
      </c>
      <c r="P138" s="31">
        <v>1232</v>
      </c>
      <c r="Q138" s="28">
        <v>743</v>
      </c>
      <c r="R138" s="29">
        <v>39195</v>
      </c>
      <c r="S138" s="29">
        <v>94653</v>
      </c>
      <c r="T138" s="28">
        <v>7</v>
      </c>
      <c r="U138" s="28">
        <v>17</v>
      </c>
      <c r="V138" s="28">
        <v>44</v>
      </c>
      <c r="W138" s="30">
        <v>46275.541666666664</v>
      </c>
      <c r="X138" s="32"/>
      <c r="Y138" s="28">
        <v>0</v>
      </c>
      <c r="Z138" s="33">
        <v>94751</v>
      </c>
      <c r="AA138">
        <v>245.27999999999997</v>
      </c>
      <c r="AB138" s="18">
        <v>0.38522427440633239</v>
      </c>
      <c r="AC138" s="19">
        <v>1.3852242744063323</v>
      </c>
      <c r="AD138" s="19">
        <v>1.1136363636363638</v>
      </c>
      <c r="AE138" s="19">
        <v>0.9015151515151516</v>
      </c>
    </row>
    <row r="139" spans="1:31">
      <c r="A139">
        <v>143</v>
      </c>
      <c r="B139" t="s">
        <v>124</v>
      </c>
      <c r="C139" t="s">
        <v>52</v>
      </c>
      <c r="D139" t="s">
        <v>53</v>
      </c>
      <c r="E139" s="20">
        <v>46084</v>
      </c>
      <c r="F139" s="21" t="s">
        <v>157</v>
      </c>
      <c r="G139" s="25"/>
      <c r="H139" s="21" t="s">
        <v>79</v>
      </c>
      <c r="I139" s="22">
        <v>71000</v>
      </c>
      <c r="J139" s="21" t="s">
        <v>80</v>
      </c>
      <c r="K139" s="23">
        <v>46191.5</v>
      </c>
      <c r="L139" s="21">
        <v>605</v>
      </c>
      <c r="M139" s="22">
        <v>2627</v>
      </c>
      <c r="N139" s="24">
        <v>247.74</v>
      </c>
      <c r="O139" s="24">
        <v>508</v>
      </c>
      <c r="P139" s="24">
        <v>927.13</v>
      </c>
      <c r="Q139" s="21">
        <v>623</v>
      </c>
      <c r="R139" s="22">
        <v>36760</v>
      </c>
      <c r="S139" s="22">
        <v>91298</v>
      </c>
      <c r="T139" s="21">
        <v>8</v>
      </c>
      <c r="U139" s="21">
        <v>13</v>
      </c>
      <c r="V139" s="21">
        <v>29</v>
      </c>
      <c r="W139" s="23">
        <v>46275.625</v>
      </c>
      <c r="X139" s="25"/>
      <c r="Y139" s="21">
        <v>0</v>
      </c>
      <c r="Z139" s="26">
        <v>91394</v>
      </c>
      <c r="AA139">
        <v>260.26</v>
      </c>
      <c r="AB139" s="18">
        <v>1.0505368531524986</v>
      </c>
      <c r="AC139" s="19">
        <v>2.0505368531524986</v>
      </c>
      <c r="AD139" s="19">
        <v>1.9310344827586206</v>
      </c>
      <c r="AE139" s="19">
        <v>1.0459770114942526</v>
      </c>
    </row>
    <row r="140" spans="1:31">
      <c r="A140">
        <v>144</v>
      </c>
      <c r="B140" t="s">
        <v>158</v>
      </c>
      <c r="C140" t="s">
        <v>124</v>
      </c>
      <c r="D140" t="s">
        <v>159</v>
      </c>
      <c r="E140" s="27">
        <v>46084</v>
      </c>
      <c r="F140" s="28" t="s">
        <v>160</v>
      </c>
      <c r="G140" s="32"/>
      <c r="H140" s="28" t="s">
        <v>113</v>
      </c>
      <c r="I140" s="29">
        <v>70240</v>
      </c>
      <c r="J140" s="28" t="s">
        <v>114</v>
      </c>
      <c r="K140" s="30">
        <v>46191.5</v>
      </c>
      <c r="L140" s="28">
        <v>686</v>
      </c>
      <c r="M140" s="29">
        <v>2960</v>
      </c>
      <c r="N140" s="31">
        <v>451.1</v>
      </c>
      <c r="O140" s="31">
        <v>723.25</v>
      </c>
      <c r="P140" s="31">
        <v>1214.23</v>
      </c>
      <c r="Q140" s="28">
        <v>174</v>
      </c>
      <c r="R140" s="29">
        <v>8372</v>
      </c>
      <c r="S140" s="29">
        <v>23197</v>
      </c>
      <c r="T140" s="28">
        <v>3</v>
      </c>
      <c r="U140" s="28">
        <v>5</v>
      </c>
      <c r="V140" s="28">
        <v>19</v>
      </c>
      <c r="W140" s="30">
        <v>46275.5</v>
      </c>
      <c r="X140" s="32"/>
      <c r="Y140" s="28">
        <v>0</v>
      </c>
      <c r="Z140" s="33">
        <v>23313</v>
      </c>
      <c r="AA140">
        <v>272.14999999999998</v>
      </c>
      <c r="AB140" s="18">
        <v>0.60330303702061616</v>
      </c>
      <c r="AC140" s="19">
        <v>1.6033030370206163</v>
      </c>
      <c r="AD140" s="19">
        <v>1.1052631578947367</v>
      </c>
      <c r="AE140" s="19">
        <v>0.61403508771929827</v>
      </c>
    </row>
    <row r="141" spans="1:31">
      <c r="A141">
        <v>145</v>
      </c>
      <c r="B141" t="s">
        <v>161</v>
      </c>
      <c r="C141" t="s">
        <v>162</v>
      </c>
      <c r="D141" t="s">
        <v>159</v>
      </c>
      <c r="E141" s="20">
        <v>46084</v>
      </c>
      <c r="F141" s="21" t="s">
        <v>163</v>
      </c>
      <c r="G141" s="25"/>
      <c r="H141" s="21" t="s">
        <v>164</v>
      </c>
      <c r="I141" s="22">
        <v>54500</v>
      </c>
      <c r="J141" s="21" t="s">
        <v>165</v>
      </c>
      <c r="K141" s="23">
        <v>46191.625</v>
      </c>
      <c r="L141" s="21">
        <v>535</v>
      </c>
      <c r="M141" s="22">
        <v>2359</v>
      </c>
      <c r="N141" s="24">
        <v>447.93</v>
      </c>
      <c r="O141" s="24">
        <v>881.05</v>
      </c>
      <c r="P141" s="24">
        <v>1255.9100000000001</v>
      </c>
      <c r="Q141" s="21">
        <v>715</v>
      </c>
      <c r="R141" s="22">
        <v>38075</v>
      </c>
      <c r="S141" s="22">
        <v>93016</v>
      </c>
      <c r="T141" s="21">
        <v>11</v>
      </c>
      <c r="U141" s="21">
        <v>18</v>
      </c>
      <c r="V141" s="21">
        <v>28</v>
      </c>
      <c r="W141" s="23">
        <v>46275.375</v>
      </c>
      <c r="X141" s="25"/>
      <c r="Y141" s="21">
        <v>0</v>
      </c>
      <c r="Z141" s="26">
        <v>93128</v>
      </c>
      <c r="AA141">
        <v>433.11999999999995</v>
      </c>
      <c r="AB141" s="18">
        <v>0.96693679816042677</v>
      </c>
      <c r="AC141" s="19">
        <v>1.9669367981604267</v>
      </c>
      <c r="AD141" s="19">
        <v>2.75</v>
      </c>
      <c r="AE141" s="19">
        <v>1.5</v>
      </c>
    </row>
    <row r="142" spans="1:31">
      <c r="A142">
        <v>146</v>
      </c>
      <c r="B142" t="s">
        <v>51</v>
      </c>
      <c r="C142" t="s">
        <v>133</v>
      </c>
      <c r="D142" t="s">
        <v>53</v>
      </c>
      <c r="E142" s="27">
        <v>46084</v>
      </c>
      <c r="F142" s="28" t="s">
        <v>166</v>
      </c>
      <c r="G142" s="32"/>
      <c r="H142" s="28" t="s">
        <v>135</v>
      </c>
      <c r="I142" s="29">
        <v>49800</v>
      </c>
      <c r="J142" s="28" t="s">
        <v>136</v>
      </c>
      <c r="K142" s="30">
        <v>46191.833333333336</v>
      </c>
      <c r="L142" s="28">
        <v>389</v>
      </c>
      <c r="M142" s="29">
        <v>2543</v>
      </c>
      <c r="N142" s="31">
        <v>1552.64</v>
      </c>
      <c r="O142" s="31">
        <v>2600.5</v>
      </c>
      <c r="P142" s="31">
        <v>4639.9399999999996</v>
      </c>
      <c r="Q142" s="28">
        <v>272</v>
      </c>
      <c r="R142" s="29">
        <v>10906</v>
      </c>
      <c r="S142" s="29">
        <v>24199</v>
      </c>
      <c r="T142" s="28">
        <v>3</v>
      </c>
      <c r="U142" s="28">
        <v>5</v>
      </c>
      <c r="V142" s="28">
        <v>10</v>
      </c>
      <c r="W142" s="30">
        <v>46275.541666666664</v>
      </c>
      <c r="X142" s="32"/>
      <c r="Y142" s="28">
        <v>0</v>
      </c>
      <c r="Z142" s="33">
        <v>24252</v>
      </c>
      <c r="AA142">
        <v>1047.8599999999999</v>
      </c>
      <c r="AB142" s="18">
        <v>0.67488922093981851</v>
      </c>
      <c r="AC142" s="19">
        <v>1.6748892209398185</v>
      </c>
      <c r="AD142" s="19">
        <v>2.1</v>
      </c>
      <c r="AE142" s="19">
        <v>1.1666666666666667</v>
      </c>
    </row>
    <row r="143" spans="1:31">
      <c r="A143">
        <v>147</v>
      </c>
      <c r="B143" t="s">
        <v>167</v>
      </c>
      <c r="C143" t="s">
        <v>168</v>
      </c>
      <c r="D143" t="s">
        <v>169</v>
      </c>
      <c r="E143" s="20">
        <v>46084</v>
      </c>
      <c r="F143" s="21" t="s">
        <v>170</v>
      </c>
      <c r="G143" s="25"/>
      <c r="H143" s="21" t="s">
        <v>171</v>
      </c>
      <c r="I143" s="22">
        <v>69176</v>
      </c>
      <c r="J143" s="21" t="s">
        <v>172</v>
      </c>
      <c r="K143" s="23">
        <v>46192.875</v>
      </c>
      <c r="L143" s="21">
        <v>709</v>
      </c>
      <c r="M143" s="22">
        <v>3212</v>
      </c>
      <c r="N143" s="24">
        <v>713.86</v>
      </c>
      <c r="O143" s="24">
        <v>1088.31</v>
      </c>
      <c r="P143" s="24">
        <v>1566</v>
      </c>
      <c r="Q143" s="21">
        <v>772</v>
      </c>
      <c r="R143" s="22">
        <v>41467</v>
      </c>
      <c r="S143" s="22">
        <v>101135</v>
      </c>
      <c r="T143" s="21">
        <v>7</v>
      </c>
      <c r="U143" s="21">
        <v>23</v>
      </c>
      <c r="V143" s="21">
        <v>43</v>
      </c>
      <c r="W143" s="23">
        <v>46275.625</v>
      </c>
      <c r="X143" s="25"/>
      <c r="Y143" s="21">
        <v>0</v>
      </c>
      <c r="Z143" s="26">
        <v>101262</v>
      </c>
      <c r="AA143">
        <v>374.44999999999993</v>
      </c>
      <c r="AB143" s="18">
        <v>0.52454262740593383</v>
      </c>
      <c r="AC143" s="19">
        <v>1.5245426274059339</v>
      </c>
      <c r="AD143" s="19">
        <v>1.1395348837209303</v>
      </c>
      <c r="AE143" s="19">
        <v>1.248062015503876</v>
      </c>
    </row>
    <row r="144" spans="1:31">
      <c r="A144">
        <v>148</v>
      </c>
      <c r="B144" t="s">
        <v>174</v>
      </c>
      <c r="C144" t="s">
        <v>175</v>
      </c>
      <c r="D144" t="s">
        <v>169</v>
      </c>
      <c r="E144" s="27">
        <v>46084</v>
      </c>
      <c r="F144" s="28" t="s">
        <v>176</v>
      </c>
      <c r="G144" s="32"/>
      <c r="H144" s="28" t="s">
        <v>127</v>
      </c>
      <c r="I144" s="29">
        <v>68756</v>
      </c>
      <c r="J144" s="28" t="s">
        <v>128</v>
      </c>
      <c r="K144" s="30">
        <v>46192.75</v>
      </c>
      <c r="L144" s="28">
        <v>671</v>
      </c>
      <c r="M144" s="29">
        <v>2957</v>
      </c>
      <c r="N144" s="31">
        <v>611.72</v>
      </c>
      <c r="O144" s="31">
        <v>968</v>
      </c>
      <c r="P144" s="31">
        <v>1423.09</v>
      </c>
      <c r="Q144" s="28">
        <v>229</v>
      </c>
      <c r="R144" s="29">
        <v>9834</v>
      </c>
      <c r="S144" s="29">
        <v>19419</v>
      </c>
      <c r="T144" s="28">
        <v>1</v>
      </c>
      <c r="U144" s="28">
        <v>5</v>
      </c>
      <c r="V144" s="28">
        <v>13</v>
      </c>
      <c r="W144" s="30">
        <v>46275.625</v>
      </c>
      <c r="X144" s="32"/>
      <c r="Y144" s="28">
        <v>0</v>
      </c>
      <c r="Z144" s="33">
        <v>19442</v>
      </c>
      <c r="AA144">
        <v>356.28</v>
      </c>
      <c r="AB144" s="18">
        <v>0.58242333093572218</v>
      </c>
      <c r="AC144" s="19">
        <v>1.5824233309357221</v>
      </c>
      <c r="AD144" s="19">
        <v>0.53846153846153844</v>
      </c>
      <c r="AE144" s="19">
        <v>0.89743589743589747</v>
      </c>
    </row>
    <row r="145" spans="1:31">
      <c r="A145">
        <v>149</v>
      </c>
      <c r="B145" t="s">
        <v>124</v>
      </c>
      <c r="C145" t="s">
        <v>177</v>
      </c>
      <c r="D145" t="s">
        <v>178</v>
      </c>
      <c r="E145" s="20">
        <v>46084</v>
      </c>
      <c r="F145" s="21" t="s">
        <v>179</v>
      </c>
      <c r="G145" s="25"/>
      <c r="H145" s="21" t="s">
        <v>140</v>
      </c>
      <c r="I145" s="22">
        <v>75000</v>
      </c>
      <c r="J145" s="21" t="s">
        <v>141</v>
      </c>
      <c r="K145" s="23">
        <v>46192.875</v>
      </c>
      <c r="L145" s="21">
        <v>601</v>
      </c>
      <c r="M145" s="22">
        <v>2559</v>
      </c>
      <c r="N145" s="24">
        <v>241.96</v>
      </c>
      <c r="O145" s="24">
        <v>567</v>
      </c>
      <c r="P145" s="24">
        <v>1008.83</v>
      </c>
      <c r="Q145" s="21">
        <v>235</v>
      </c>
      <c r="R145" s="22">
        <v>9424</v>
      </c>
      <c r="S145" s="22">
        <v>17715</v>
      </c>
      <c r="T145" s="21">
        <v>2</v>
      </c>
      <c r="U145" s="21">
        <v>8</v>
      </c>
      <c r="V145" s="21">
        <v>24</v>
      </c>
      <c r="W145" s="23">
        <v>46275.5</v>
      </c>
      <c r="X145" s="25"/>
      <c r="Y145" s="21">
        <v>0</v>
      </c>
      <c r="Z145" s="26">
        <v>17738</v>
      </c>
      <c r="AA145">
        <v>325.03999999999996</v>
      </c>
      <c r="AB145" s="18">
        <v>1.3433625392626878</v>
      </c>
      <c r="AC145" s="19">
        <v>2.3433625392626878</v>
      </c>
      <c r="AD145" s="19">
        <v>0.58333333333333337</v>
      </c>
      <c r="AE145" s="19">
        <v>0.77777777777777779</v>
      </c>
    </row>
    <row r="146" spans="1:31">
      <c r="A146">
        <v>150</v>
      </c>
      <c r="B146" t="s">
        <v>180</v>
      </c>
      <c r="C146" t="s">
        <v>181</v>
      </c>
      <c r="D146" t="s">
        <v>178</v>
      </c>
      <c r="E146" s="27">
        <v>46084</v>
      </c>
      <c r="F146" s="28" t="s">
        <v>182</v>
      </c>
      <c r="G146" s="32"/>
      <c r="H146" s="28" t="s">
        <v>118</v>
      </c>
      <c r="I146" s="29">
        <v>67000</v>
      </c>
      <c r="J146" s="28" t="s">
        <v>119</v>
      </c>
      <c r="K146" s="30">
        <v>46192.5</v>
      </c>
      <c r="L146" s="28">
        <v>597</v>
      </c>
      <c r="M146" s="29">
        <v>2902</v>
      </c>
      <c r="N146" s="31">
        <v>1116.25</v>
      </c>
      <c r="O146" s="31">
        <v>1953.79</v>
      </c>
      <c r="P146" s="31">
        <v>4500</v>
      </c>
      <c r="Q146" s="28">
        <v>272</v>
      </c>
      <c r="R146" s="29">
        <v>11184</v>
      </c>
      <c r="S146" s="29">
        <v>25073</v>
      </c>
      <c r="T146" s="28">
        <v>3</v>
      </c>
      <c r="U146" s="28">
        <v>7</v>
      </c>
      <c r="V146" s="28">
        <v>14</v>
      </c>
      <c r="W146" s="30">
        <v>46275.5</v>
      </c>
      <c r="X146" s="32"/>
      <c r="Y146" s="28">
        <v>1</v>
      </c>
      <c r="Z146" s="33">
        <v>25135</v>
      </c>
      <c r="AA146">
        <v>837.54</v>
      </c>
      <c r="AB146" s="18">
        <v>0.75031578947368416</v>
      </c>
      <c r="AC146" s="19">
        <v>1.7503157894736843</v>
      </c>
      <c r="AD146" s="19">
        <v>1.5</v>
      </c>
      <c r="AE146" s="19">
        <v>1.1666666666666667</v>
      </c>
    </row>
    <row r="147" spans="1:31">
      <c r="A147">
        <v>151</v>
      </c>
      <c r="B147" t="s">
        <v>58</v>
      </c>
      <c r="C147" t="s">
        <v>183</v>
      </c>
      <c r="D147" t="s">
        <v>60</v>
      </c>
      <c r="E147" s="20">
        <v>46084</v>
      </c>
      <c r="F147" s="21" t="s">
        <v>184</v>
      </c>
      <c r="G147" s="25"/>
      <c r="H147" s="21" t="s">
        <v>146</v>
      </c>
      <c r="I147" s="22">
        <v>30000</v>
      </c>
      <c r="J147" s="21" t="s">
        <v>147</v>
      </c>
      <c r="K147" s="23">
        <v>46193.666666666664</v>
      </c>
      <c r="L147" s="21">
        <v>389</v>
      </c>
      <c r="M147" s="22">
        <v>1943</v>
      </c>
      <c r="N147" s="24">
        <v>641.79999999999995</v>
      </c>
      <c r="O147" s="24">
        <v>930.02</v>
      </c>
      <c r="P147" s="24">
        <v>1337.9</v>
      </c>
      <c r="Q147" s="21">
        <v>224</v>
      </c>
      <c r="R147" s="22">
        <v>11264</v>
      </c>
      <c r="S147" s="22">
        <v>25783</v>
      </c>
      <c r="T147" s="21">
        <v>8</v>
      </c>
      <c r="U147" s="21">
        <v>15</v>
      </c>
      <c r="V147" s="21">
        <v>29</v>
      </c>
      <c r="W147" s="23">
        <v>46275.5</v>
      </c>
      <c r="X147" s="25"/>
      <c r="Y147" s="21">
        <v>0</v>
      </c>
      <c r="Z147" s="26">
        <v>25839</v>
      </c>
      <c r="AA147">
        <v>288.22000000000003</v>
      </c>
      <c r="AB147" s="18">
        <v>0.449080710501714</v>
      </c>
      <c r="AC147" s="19">
        <v>1.4490807105017141</v>
      </c>
      <c r="AD147" s="19">
        <v>1.9310344827586206</v>
      </c>
      <c r="AE147" s="19">
        <v>1.2068965517241379</v>
      </c>
    </row>
    <row r="148" spans="1:31">
      <c r="A148">
        <v>152</v>
      </c>
      <c r="B148" t="s">
        <v>185</v>
      </c>
      <c r="C148" t="s">
        <v>59</v>
      </c>
      <c r="D148" t="s">
        <v>60</v>
      </c>
      <c r="E148" s="27">
        <v>46084</v>
      </c>
      <c r="F148" s="28" t="s">
        <v>186</v>
      </c>
      <c r="G148" s="32"/>
      <c r="H148" s="28" t="s">
        <v>68</v>
      </c>
      <c r="I148" s="29">
        <v>76416</v>
      </c>
      <c r="J148" s="28" t="s">
        <v>69</v>
      </c>
      <c r="K148" s="30">
        <v>46193.791666666664</v>
      </c>
      <c r="L148" s="28">
        <v>663</v>
      </c>
      <c r="M148" s="29">
        <v>2679</v>
      </c>
      <c r="N148" s="31">
        <v>315</v>
      </c>
      <c r="O148" s="31">
        <v>525.54999999999995</v>
      </c>
      <c r="P148" s="31">
        <v>800</v>
      </c>
      <c r="Q148" s="28">
        <v>274</v>
      </c>
      <c r="R148" s="29">
        <v>10101</v>
      </c>
      <c r="S148" s="29">
        <v>19404</v>
      </c>
      <c r="T148" s="28">
        <v>5</v>
      </c>
      <c r="U148" s="28">
        <v>15</v>
      </c>
      <c r="V148" s="28">
        <v>36</v>
      </c>
      <c r="W148" s="30">
        <v>46275.583333333336</v>
      </c>
      <c r="X148" s="32"/>
      <c r="Y148" s="28">
        <v>1</v>
      </c>
      <c r="Z148" s="33">
        <v>19430</v>
      </c>
      <c r="AA148">
        <v>210.54999999999995</v>
      </c>
      <c r="AB148" s="18">
        <v>0.66841269841269824</v>
      </c>
      <c r="AC148" s="19">
        <v>1.6684126984126983</v>
      </c>
      <c r="AD148" s="19">
        <v>0.9722222222222221</v>
      </c>
      <c r="AE148" s="19">
        <v>0.9722222222222221</v>
      </c>
    </row>
    <row r="149" spans="1:31">
      <c r="A149">
        <v>153</v>
      </c>
      <c r="B149" t="s">
        <v>185</v>
      </c>
      <c r="C149" t="s">
        <v>59</v>
      </c>
      <c r="D149" t="s">
        <v>60</v>
      </c>
      <c r="E149" s="20">
        <v>46084</v>
      </c>
      <c r="F149" s="21" t="s">
        <v>186</v>
      </c>
      <c r="G149" s="25"/>
      <c r="H149" s="21" t="s">
        <v>68</v>
      </c>
      <c r="I149" s="22">
        <v>14000</v>
      </c>
      <c r="J149" s="21" t="s">
        <v>69</v>
      </c>
      <c r="K149" s="23">
        <v>46193.791666666664</v>
      </c>
      <c r="L149" s="21">
        <v>41</v>
      </c>
      <c r="M149" s="21">
        <v>146</v>
      </c>
      <c r="N149" s="24">
        <v>121.04</v>
      </c>
      <c r="O149" s="24">
        <v>144.53</v>
      </c>
      <c r="P149" s="24">
        <v>215.34</v>
      </c>
      <c r="Q149" s="21">
        <v>0</v>
      </c>
      <c r="R149" s="21">
        <v>6</v>
      </c>
      <c r="S149" s="21">
        <v>21</v>
      </c>
      <c r="T149" s="21">
        <v>2</v>
      </c>
      <c r="U149" s="21">
        <v>4</v>
      </c>
      <c r="V149" s="21">
        <v>9</v>
      </c>
      <c r="W149" s="25"/>
      <c r="X149" s="25"/>
      <c r="Y149" s="21">
        <v>1</v>
      </c>
      <c r="Z149" s="34">
        <v>25</v>
      </c>
      <c r="AA149">
        <v>23.489999999999995</v>
      </c>
      <c r="AB149" s="18">
        <v>0.19406807666886974</v>
      </c>
      <c r="AC149" s="19">
        <v>1.1940680766688698</v>
      </c>
      <c r="AD149" s="19">
        <v>1.5555555555555554</v>
      </c>
      <c r="AE149" s="19">
        <v>1.037037037037037</v>
      </c>
    </row>
    <row r="150" spans="1:31">
      <c r="A150">
        <v>154</v>
      </c>
      <c r="B150" t="s">
        <v>93</v>
      </c>
      <c r="C150" t="s">
        <v>97</v>
      </c>
      <c r="D150" t="s">
        <v>95</v>
      </c>
      <c r="E150" s="27">
        <v>46084</v>
      </c>
      <c r="F150" s="28" t="s">
        <v>187</v>
      </c>
      <c r="G150" s="32"/>
      <c r="H150" s="28" t="s">
        <v>62</v>
      </c>
      <c r="I150" s="29">
        <v>71500</v>
      </c>
      <c r="J150" s="28" t="s">
        <v>63</v>
      </c>
      <c r="K150" s="30">
        <v>46193.5</v>
      </c>
      <c r="L150" s="28">
        <v>605</v>
      </c>
      <c r="M150" s="29">
        <v>2588</v>
      </c>
      <c r="N150" s="31">
        <v>339.72</v>
      </c>
      <c r="O150" s="31">
        <v>729</v>
      </c>
      <c r="P150" s="31">
        <v>1130.3900000000001</v>
      </c>
      <c r="Q150" s="28">
        <v>241</v>
      </c>
      <c r="R150" s="29">
        <v>9473</v>
      </c>
      <c r="S150" s="29">
        <v>23609</v>
      </c>
      <c r="T150" s="28">
        <v>7</v>
      </c>
      <c r="U150" s="28">
        <v>13</v>
      </c>
      <c r="V150" s="28">
        <v>23</v>
      </c>
      <c r="W150" s="30">
        <v>46275.583333333336</v>
      </c>
      <c r="X150" s="32"/>
      <c r="Y150" s="28">
        <v>1</v>
      </c>
      <c r="Z150" s="33">
        <v>23726</v>
      </c>
      <c r="AA150">
        <v>389.28</v>
      </c>
      <c r="AB150" s="18">
        <v>1.1458848463440479</v>
      </c>
      <c r="AC150" s="19">
        <v>2.1458848463440479</v>
      </c>
      <c r="AD150" s="19">
        <v>2.1304347826086958</v>
      </c>
      <c r="AE150" s="19">
        <v>1.3188405797101448</v>
      </c>
    </row>
    <row r="151" spans="1:31">
      <c r="A151">
        <v>155</v>
      </c>
      <c r="B151" t="s">
        <v>98</v>
      </c>
      <c r="C151" t="s">
        <v>94</v>
      </c>
      <c r="D151" t="s">
        <v>95</v>
      </c>
      <c r="E151" s="20">
        <v>46084</v>
      </c>
      <c r="F151" s="21" t="s">
        <v>188</v>
      </c>
      <c r="G151" s="25"/>
      <c r="H151" s="21" t="s">
        <v>100</v>
      </c>
      <c r="I151" s="22">
        <v>52237</v>
      </c>
      <c r="J151" s="21" t="s">
        <v>101</v>
      </c>
      <c r="K151" s="23">
        <v>46193.958333333336</v>
      </c>
      <c r="L151" s="21">
        <v>326</v>
      </c>
      <c r="M151" s="22">
        <v>1330</v>
      </c>
      <c r="N151" s="24">
        <v>222.6</v>
      </c>
      <c r="O151" s="24">
        <v>375</v>
      </c>
      <c r="P151" s="24">
        <v>683.51</v>
      </c>
      <c r="Q151" s="21">
        <v>255</v>
      </c>
      <c r="R151" s="22">
        <v>10677</v>
      </c>
      <c r="S151" s="22">
        <v>22405</v>
      </c>
      <c r="T151" s="21">
        <v>5</v>
      </c>
      <c r="U151" s="21">
        <v>18</v>
      </c>
      <c r="V151" s="21">
        <v>27</v>
      </c>
      <c r="W151" s="23">
        <v>46275.541666666664</v>
      </c>
      <c r="X151" s="25"/>
      <c r="Y151" s="21">
        <v>0</v>
      </c>
      <c r="Z151" s="26">
        <v>22438</v>
      </c>
      <c r="AA151">
        <v>152.4</v>
      </c>
      <c r="AB151" s="18">
        <v>0.6846361185983828</v>
      </c>
      <c r="AC151" s="19">
        <v>1.6846361185983827</v>
      </c>
      <c r="AD151" s="19">
        <v>1.2962962962962963</v>
      </c>
      <c r="AE151" s="19">
        <v>1.5555555555555556</v>
      </c>
    </row>
    <row r="152" spans="1:31">
      <c r="A152">
        <v>156</v>
      </c>
      <c r="B152" t="s">
        <v>103</v>
      </c>
      <c r="C152" t="s">
        <v>107</v>
      </c>
      <c r="D152" t="s">
        <v>104</v>
      </c>
      <c r="E152" s="27">
        <v>46084</v>
      </c>
      <c r="F152" s="28" t="s">
        <v>189</v>
      </c>
      <c r="G152" s="32"/>
      <c r="H152" s="28" t="s">
        <v>85</v>
      </c>
      <c r="I152" s="29">
        <v>76100</v>
      </c>
      <c r="J152" s="28" t="s">
        <v>86</v>
      </c>
      <c r="K152" s="30">
        <v>46194.75</v>
      </c>
      <c r="L152" s="28">
        <v>814</v>
      </c>
      <c r="M152" s="29">
        <v>3212</v>
      </c>
      <c r="N152" s="31">
        <v>308.95</v>
      </c>
      <c r="O152" s="31">
        <v>422.55</v>
      </c>
      <c r="P152" s="31">
        <v>760.31</v>
      </c>
      <c r="Q152" s="28">
        <v>656</v>
      </c>
      <c r="R152" s="29">
        <v>38852</v>
      </c>
      <c r="S152" s="29">
        <v>95897</v>
      </c>
      <c r="T152" s="28">
        <v>3</v>
      </c>
      <c r="U152" s="28">
        <v>9</v>
      </c>
      <c r="V152" s="28">
        <v>26</v>
      </c>
      <c r="W152" s="30">
        <v>46275.625</v>
      </c>
      <c r="X152" s="32"/>
      <c r="Y152" s="28">
        <v>0</v>
      </c>
      <c r="Z152" s="33">
        <v>96003</v>
      </c>
      <c r="AA152">
        <v>113.60000000000002</v>
      </c>
      <c r="AB152" s="18">
        <v>0.3676970383557211</v>
      </c>
      <c r="AC152" s="19">
        <v>1.367697038355721</v>
      </c>
      <c r="AD152" s="19">
        <v>0.80769230769230771</v>
      </c>
      <c r="AE152" s="19">
        <v>0.80769230769230771</v>
      </c>
    </row>
    <row r="153" spans="1:31">
      <c r="A153">
        <v>157</v>
      </c>
      <c r="B153" t="s">
        <v>106</v>
      </c>
      <c r="C153" t="s">
        <v>102</v>
      </c>
      <c r="D153" t="s">
        <v>104</v>
      </c>
      <c r="E153" s="20">
        <v>46084</v>
      </c>
      <c r="F153" s="21" t="s">
        <v>190</v>
      </c>
      <c r="G153" s="25"/>
      <c r="H153" s="21" t="s">
        <v>79</v>
      </c>
      <c r="I153" s="22">
        <v>71000</v>
      </c>
      <c r="J153" s="21" t="s">
        <v>80</v>
      </c>
      <c r="K153" s="23">
        <v>46194.5</v>
      </c>
      <c r="L153" s="21">
        <v>695</v>
      </c>
      <c r="M153" s="22">
        <v>3146</v>
      </c>
      <c r="N153" s="24">
        <v>413.58</v>
      </c>
      <c r="O153" s="24">
        <v>734.33</v>
      </c>
      <c r="P153" s="24">
        <v>1236.54</v>
      </c>
      <c r="Q153" s="21">
        <v>668</v>
      </c>
      <c r="R153" s="22">
        <v>37422</v>
      </c>
      <c r="S153" s="22">
        <v>92392</v>
      </c>
      <c r="T153" s="21">
        <v>17</v>
      </c>
      <c r="U153" s="21">
        <v>31</v>
      </c>
      <c r="V153" s="21">
        <v>65</v>
      </c>
      <c r="W153" s="23">
        <v>46275.625</v>
      </c>
      <c r="X153" s="25"/>
      <c r="Y153" s="21">
        <v>1</v>
      </c>
      <c r="Z153" s="26">
        <v>92489</v>
      </c>
      <c r="AA153">
        <v>320.75000000000006</v>
      </c>
      <c r="AB153" s="18">
        <v>0.77554523913148621</v>
      </c>
      <c r="AC153" s="19">
        <v>1.7755452391314863</v>
      </c>
      <c r="AD153" s="19">
        <v>1.8307692307692307</v>
      </c>
      <c r="AE153" s="19">
        <v>1.1128205128205129</v>
      </c>
    </row>
    <row r="154" spans="1:31">
      <c r="A154">
        <v>158</v>
      </c>
      <c r="B154" t="s">
        <v>106</v>
      </c>
      <c r="C154" t="s">
        <v>102</v>
      </c>
      <c r="D154" t="s">
        <v>104</v>
      </c>
      <c r="E154" s="27">
        <v>46084</v>
      </c>
      <c r="F154" s="28" t="s">
        <v>190</v>
      </c>
      <c r="G154" s="32"/>
      <c r="H154" s="28" t="s">
        <v>79</v>
      </c>
      <c r="I154" s="29">
        <v>20000</v>
      </c>
      <c r="J154" s="28" t="s">
        <v>80</v>
      </c>
      <c r="K154" s="30">
        <v>46194.5</v>
      </c>
      <c r="L154" s="28">
        <v>208</v>
      </c>
      <c r="M154" s="28">
        <v>895</v>
      </c>
      <c r="N154" s="31">
        <v>17.88</v>
      </c>
      <c r="O154" s="31">
        <v>46.41</v>
      </c>
      <c r="P154" s="31">
        <v>64.319999999999993</v>
      </c>
      <c r="Q154" s="28">
        <v>0</v>
      </c>
      <c r="R154" s="28">
        <v>11</v>
      </c>
      <c r="S154" s="28">
        <v>36</v>
      </c>
      <c r="T154" s="28">
        <v>1</v>
      </c>
      <c r="U154" s="28">
        <v>4</v>
      </c>
      <c r="V154" s="28">
        <v>11</v>
      </c>
      <c r="W154" s="32"/>
      <c r="X154" s="32"/>
      <c r="Y154" s="28">
        <v>0</v>
      </c>
      <c r="Z154" s="35">
        <v>36</v>
      </c>
      <c r="AA154">
        <v>28.529999999999998</v>
      </c>
      <c r="AB154" s="18">
        <v>1.5956375838926173</v>
      </c>
      <c r="AC154" s="19">
        <v>2.5956375838926173</v>
      </c>
      <c r="AD154" s="19">
        <v>0.63636363636363635</v>
      </c>
      <c r="AE154" s="19">
        <v>0.84848484848484851</v>
      </c>
    </row>
    <row r="155" spans="1:31">
      <c r="A155">
        <v>159</v>
      </c>
      <c r="B155" t="s">
        <v>115</v>
      </c>
      <c r="C155" t="s">
        <v>109</v>
      </c>
      <c r="D155" t="s">
        <v>111</v>
      </c>
      <c r="E155" s="20">
        <v>46084</v>
      </c>
      <c r="F155" s="21" t="s">
        <v>191</v>
      </c>
      <c r="G155" s="25"/>
      <c r="H155" s="21" t="s">
        <v>113</v>
      </c>
      <c r="I155" s="22">
        <v>70240</v>
      </c>
      <c r="J155" s="21" t="s">
        <v>114</v>
      </c>
      <c r="K155" s="23">
        <v>46194.5</v>
      </c>
      <c r="L155" s="21">
        <v>984</v>
      </c>
      <c r="M155" s="22">
        <v>3871</v>
      </c>
      <c r="N155" s="24">
        <v>319.14999999999998</v>
      </c>
      <c r="O155" s="24">
        <v>607.08000000000004</v>
      </c>
      <c r="P155" s="24">
        <v>1006.5</v>
      </c>
      <c r="Q155" s="21">
        <v>676</v>
      </c>
      <c r="R155" s="22">
        <v>38297</v>
      </c>
      <c r="S155" s="22">
        <v>95872</v>
      </c>
      <c r="T155" s="21">
        <v>7</v>
      </c>
      <c r="U155" s="21">
        <v>12</v>
      </c>
      <c r="V155" s="21">
        <v>38</v>
      </c>
      <c r="W155" s="23">
        <v>46275.5</v>
      </c>
      <c r="X155" s="25"/>
      <c r="Y155" s="21">
        <v>1</v>
      </c>
      <c r="Z155" s="26">
        <v>95982</v>
      </c>
      <c r="AA155">
        <v>287.93000000000006</v>
      </c>
      <c r="AB155" s="18">
        <v>0.90217765940780226</v>
      </c>
      <c r="AC155" s="19">
        <v>1.9021776594078021</v>
      </c>
      <c r="AD155" s="19">
        <v>1.2894736842105263</v>
      </c>
      <c r="AE155" s="19">
        <v>0.73684210526315785</v>
      </c>
    </row>
    <row r="156" spans="1:31">
      <c r="A156">
        <v>160</v>
      </c>
      <c r="B156" t="s">
        <v>115</v>
      </c>
      <c r="C156" t="s">
        <v>109</v>
      </c>
      <c r="D156" t="s">
        <v>111</v>
      </c>
      <c r="E156" s="27">
        <v>46084</v>
      </c>
      <c r="F156" s="28" t="s">
        <v>191</v>
      </c>
      <c r="G156" s="32"/>
      <c r="H156" s="28" t="s">
        <v>113</v>
      </c>
      <c r="I156" s="29">
        <v>10500</v>
      </c>
      <c r="J156" s="28" t="s">
        <v>114</v>
      </c>
      <c r="K156" s="30">
        <v>46194.5</v>
      </c>
      <c r="L156" s="28">
        <v>83</v>
      </c>
      <c r="M156" s="28">
        <v>325</v>
      </c>
      <c r="N156" s="31">
        <v>28.8</v>
      </c>
      <c r="O156" s="31">
        <v>28.8</v>
      </c>
      <c r="P156" s="31">
        <v>280.32</v>
      </c>
      <c r="Q156" s="28">
        <v>0</v>
      </c>
      <c r="R156" s="28">
        <v>5</v>
      </c>
      <c r="S156" s="28">
        <v>27</v>
      </c>
      <c r="T156" s="28">
        <v>2</v>
      </c>
      <c r="U156" s="28">
        <v>3</v>
      </c>
      <c r="V156" s="28">
        <v>10</v>
      </c>
      <c r="W156" s="32"/>
      <c r="X156" s="32"/>
      <c r="Y156" s="28">
        <v>0</v>
      </c>
      <c r="Z156" s="35">
        <v>28</v>
      </c>
      <c r="AA156">
        <v>0</v>
      </c>
      <c r="AB156" s="18">
        <v>0</v>
      </c>
      <c r="AC156" s="19">
        <v>1</v>
      </c>
      <c r="AD156" s="19">
        <v>1.4</v>
      </c>
      <c r="AE156" s="19">
        <v>0.7</v>
      </c>
    </row>
    <row r="157" spans="1:31">
      <c r="A157">
        <v>161</v>
      </c>
      <c r="B157" t="s">
        <v>110</v>
      </c>
      <c r="C157" t="s">
        <v>116</v>
      </c>
      <c r="D157" t="s">
        <v>111</v>
      </c>
      <c r="E157" s="20">
        <v>46084</v>
      </c>
      <c r="F157" s="21" t="s">
        <v>193</v>
      </c>
      <c r="G157" s="25"/>
      <c r="H157" s="21" t="s">
        <v>164</v>
      </c>
      <c r="I157" s="22">
        <v>54500</v>
      </c>
      <c r="J157" s="21" t="s">
        <v>165</v>
      </c>
      <c r="K157" s="23">
        <v>46194.75</v>
      </c>
      <c r="L157" s="21">
        <v>443</v>
      </c>
      <c r="M157" s="22">
        <v>2009</v>
      </c>
      <c r="N157" s="24">
        <v>285</v>
      </c>
      <c r="O157" s="24">
        <v>462.74</v>
      </c>
      <c r="P157" s="24">
        <v>975.77</v>
      </c>
      <c r="Q157" s="21">
        <v>270</v>
      </c>
      <c r="R157" s="22">
        <v>10655</v>
      </c>
      <c r="S157" s="22">
        <v>22726</v>
      </c>
      <c r="T157" s="21">
        <v>5</v>
      </c>
      <c r="U157" s="21">
        <v>8</v>
      </c>
      <c r="V157" s="21">
        <v>19</v>
      </c>
      <c r="W157" s="23">
        <v>46275.375</v>
      </c>
      <c r="X157" s="25"/>
      <c r="Y157" s="21">
        <v>0</v>
      </c>
      <c r="Z157" s="26">
        <v>22759</v>
      </c>
      <c r="AA157">
        <v>177.74</v>
      </c>
      <c r="AB157" s="18">
        <v>0.62364912280701756</v>
      </c>
      <c r="AC157" s="19">
        <v>1.6236491228070176</v>
      </c>
      <c r="AD157" s="19">
        <v>1.8421052631578947</v>
      </c>
      <c r="AE157" s="19">
        <v>0.98245614035087714</v>
      </c>
    </row>
    <row r="158" spans="1:31">
      <c r="A158">
        <v>162</v>
      </c>
      <c r="B158" t="s">
        <v>125</v>
      </c>
      <c r="C158" t="s">
        <v>121</v>
      </c>
      <c r="D158" t="s">
        <v>122</v>
      </c>
      <c r="E158" s="27">
        <v>46084</v>
      </c>
      <c r="F158" s="28" t="s">
        <v>194</v>
      </c>
      <c r="G158" s="32"/>
      <c r="H158" s="28" t="s">
        <v>91</v>
      </c>
      <c r="I158" s="29">
        <v>82500</v>
      </c>
      <c r="J158" s="28" t="s">
        <v>92</v>
      </c>
      <c r="K158" s="30">
        <v>46195.833333333336</v>
      </c>
      <c r="L158" s="28">
        <v>695</v>
      </c>
      <c r="M158" s="29">
        <v>2890</v>
      </c>
      <c r="N158" s="31">
        <v>433.88</v>
      </c>
      <c r="O158" s="31">
        <v>674.89</v>
      </c>
      <c r="P158" s="31">
        <v>1075.81</v>
      </c>
      <c r="Q158" s="28">
        <v>287</v>
      </c>
      <c r="R158" s="29">
        <v>12173</v>
      </c>
      <c r="S158" s="29">
        <v>24750</v>
      </c>
      <c r="T158" s="28">
        <v>5</v>
      </c>
      <c r="U158" s="28">
        <v>16</v>
      </c>
      <c r="V158" s="28">
        <v>41</v>
      </c>
      <c r="W158" s="30">
        <v>46275.625</v>
      </c>
      <c r="X158" s="32"/>
      <c r="Y158" s="28">
        <v>0</v>
      </c>
      <c r="Z158" s="33">
        <v>24786</v>
      </c>
      <c r="AA158">
        <v>241.01</v>
      </c>
      <c r="AB158" s="18">
        <v>0.55547616852585968</v>
      </c>
      <c r="AC158" s="19">
        <v>1.5554761685258596</v>
      </c>
      <c r="AD158" s="19">
        <v>0.85365853658536595</v>
      </c>
      <c r="AE158" s="19">
        <v>0.91056910569105687</v>
      </c>
    </row>
    <row r="159" spans="1:31">
      <c r="A159">
        <v>163</v>
      </c>
      <c r="B159" t="s">
        <v>120</v>
      </c>
      <c r="C159" t="s">
        <v>124</v>
      </c>
      <c r="D159" t="s">
        <v>122</v>
      </c>
      <c r="E159" s="20">
        <v>46084</v>
      </c>
      <c r="F159" s="21" t="s">
        <v>195</v>
      </c>
      <c r="G159" s="25"/>
      <c r="H159" s="21" t="s">
        <v>171</v>
      </c>
      <c r="I159" s="22">
        <v>69176</v>
      </c>
      <c r="J159" s="21" t="s">
        <v>172</v>
      </c>
      <c r="K159" s="23">
        <v>46195.708333333336</v>
      </c>
      <c r="L159" s="21">
        <v>714</v>
      </c>
      <c r="M159" s="22">
        <v>2826</v>
      </c>
      <c r="N159" s="24">
        <v>496.28</v>
      </c>
      <c r="O159" s="24">
        <v>727.45</v>
      </c>
      <c r="P159" s="24">
        <v>1059.23</v>
      </c>
      <c r="Q159" s="21">
        <v>717</v>
      </c>
      <c r="R159" s="22">
        <v>39556</v>
      </c>
      <c r="S159" s="22">
        <v>97743</v>
      </c>
      <c r="T159" s="21">
        <v>9</v>
      </c>
      <c r="U159" s="21">
        <v>20</v>
      </c>
      <c r="V159" s="21">
        <v>43</v>
      </c>
      <c r="W159" s="23">
        <v>46275.625</v>
      </c>
      <c r="X159" s="25"/>
      <c r="Y159" s="21">
        <v>0</v>
      </c>
      <c r="Z159" s="26">
        <v>97858</v>
      </c>
      <c r="AA159">
        <v>231.17000000000007</v>
      </c>
      <c r="AB159" s="18">
        <v>0.46580559361650697</v>
      </c>
      <c r="AC159" s="19">
        <v>1.4658055936165071</v>
      </c>
      <c r="AD159" s="19">
        <v>1.4651162790697674</v>
      </c>
      <c r="AE159" s="19">
        <v>1.0852713178294573</v>
      </c>
    </row>
    <row r="160" spans="1:31">
      <c r="A160">
        <v>164</v>
      </c>
      <c r="B160" t="s">
        <v>129</v>
      </c>
      <c r="C160" t="s">
        <v>137</v>
      </c>
      <c r="D160" t="s">
        <v>131</v>
      </c>
      <c r="E160" s="27">
        <v>46084</v>
      </c>
      <c r="F160" s="28" t="s">
        <v>196</v>
      </c>
      <c r="G160" s="32"/>
      <c r="H160" s="28" t="s">
        <v>74</v>
      </c>
      <c r="I160" s="29">
        <v>80000</v>
      </c>
      <c r="J160" s="28" t="s">
        <v>75</v>
      </c>
      <c r="K160" s="30">
        <v>46195.5</v>
      </c>
      <c r="L160" s="28">
        <v>642</v>
      </c>
      <c r="M160" s="29">
        <v>3324</v>
      </c>
      <c r="N160" s="31">
        <v>1066.03</v>
      </c>
      <c r="O160" s="31">
        <v>1878.33</v>
      </c>
      <c r="P160" s="31">
        <v>4975</v>
      </c>
      <c r="Q160" s="28">
        <v>332</v>
      </c>
      <c r="R160" s="29">
        <v>12622</v>
      </c>
      <c r="S160" s="29">
        <v>28098</v>
      </c>
      <c r="T160" s="28">
        <v>4</v>
      </c>
      <c r="U160" s="28">
        <v>11</v>
      </c>
      <c r="V160" s="28">
        <v>40</v>
      </c>
      <c r="W160" s="30">
        <v>46275.583333333336</v>
      </c>
      <c r="X160" s="32"/>
      <c r="Y160" s="28">
        <v>0</v>
      </c>
      <c r="Z160" s="33">
        <v>28186</v>
      </c>
      <c r="AA160">
        <v>812.3</v>
      </c>
      <c r="AB160" s="18">
        <v>0.76198606042981898</v>
      </c>
      <c r="AC160" s="19">
        <v>1.761986060429819</v>
      </c>
      <c r="AD160" s="19">
        <v>0.7</v>
      </c>
      <c r="AE160" s="19">
        <v>0.64166666666666661</v>
      </c>
    </row>
    <row r="161" spans="1:31">
      <c r="A161">
        <v>165</v>
      </c>
      <c r="B161" t="s">
        <v>129</v>
      </c>
      <c r="C161" t="s">
        <v>137</v>
      </c>
      <c r="D161" t="s">
        <v>131</v>
      </c>
      <c r="E161" s="20">
        <v>46084</v>
      </c>
      <c r="F161" s="21" t="s">
        <v>196</v>
      </c>
      <c r="G161" s="25"/>
      <c r="H161" s="21" t="s">
        <v>74</v>
      </c>
      <c r="I161" s="22">
        <v>12000</v>
      </c>
      <c r="J161" s="21" t="s">
        <v>75</v>
      </c>
      <c r="K161" s="23">
        <v>46195.5</v>
      </c>
      <c r="L161" s="21">
        <v>138</v>
      </c>
      <c r="M161" s="21">
        <v>739</v>
      </c>
      <c r="N161" s="24">
        <v>45.9</v>
      </c>
      <c r="O161" s="24">
        <v>94.83</v>
      </c>
      <c r="P161" s="24">
        <v>181.59</v>
      </c>
      <c r="Q161" s="21">
        <v>0</v>
      </c>
      <c r="R161" s="21">
        <v>21</v>
      </c>
      <c r="S161" s="21">
        <v>63</v>
      </c>
      <c r="T161" s="21">
        <v>4</v>
      </c>
      <c r="U161" s="21">
        <v>9</v>
      </c>
      <c r="V161" s="21">
        <v>14</v>
      </c>
      <c r="W161" s="25"/>
      <c r="X161" s="25"/>
      <c r="Y161" s="21">
        <v>0</v>
      </c>
      <c r="Z161" s="34">
        <v>63</v>
      </c>
      <c r="AA161">
        <v>48.93</v>
      </c>
      <c r="AB161" s="18">
        <v>1.0660130718954248</v>
      </c>
      <c r="AC161" s="19">
        <v>2.066013071895425</v>
      </c>
      <c r="AD161" s="19">
        <v>2</v>
      </c>
      <c r="AE161" s="19">
        <v>1.5</v>
      </c>
    </row>
    <row r="162" spans="1:31">
      <c r="A162">
        <v>166</v>
      </c>
      <c r="B162" t="s">
        <v>138</v>
      </c>
      <c r="C162" t="s">
        <v>130</v>
      </c>
      <c r="D162" t="s">
        <v>131</v>
      </c>
      <c r="E162" s="27">
        <v>46084</v>
      </c>
      <c r="F162" s="28" t="s">
        <v>197</v>
      </c>
      <c r="G162" s="32"/>
      <c r="H162" s="28" t="s">
        <v>140</v>
      </c>
      <c r="I162" s="29">
        <v>75000</v>
      </c>
      <c r="J162" s="28" t="s">
        <v>141</v>
      </c>
      <c r="K162" s="30">
        <v>46195.833333333336</v>
      </c>
      <c r="L162" s="28">
        <v>739</v>
      </c>
      <c r="M162" s="29">
        <v>2922</v>
      </c>
      <c r="N162" s="31">
        <v>180</v>
      </c>
      <c r="O162" s="31">
        <v>415.92</v>
      </c>
      <c r="P162" s="31">
        <v>732.72</v>
      </c>
      <c r="Q162" s="28">
        <v>254</v>
      </c>
      <c r="R162" s="29">
        <v>10875</v>
      </c>
      <c r="S162" s="29">
        <v>22111</v>
      </c>
      <c r="T162" s="28">
        <v>2</v>
      </c>
      <c r="U162" s="28">
        <v>11</v>
      </c>
      <c r="V162" s="28">
        <v>31</v>
      </c>
      <c r="W162" s="30">
        <v>46275.5</v>
      </c>
      <c r="X162" s="32"/>
      <c r="Y162" s="28">
        <v>0</v>
      </c>
      <c r="Z162" s="33">
        <v>22148</v>
      </c>
      <c r="AA162">
        <v>235.92000000000002</v>
      </c>
      <c r="AB162" s="18">
        <v>1.3106666666666666</v>
      </c>
      <c r="AC162" s="19">
        <v>2.3106666666666666</v>
      </c>
      <c r="AD162" s="19">
        <v>0.45161290322580644</v>
      </c>
      <c r="AE162" s="19">
        <v>0.82795698924731176</v>
      </c>
    </row>
    <row r="163" spans="1:31">
      <c r="A163">
        <v>167</v>
      </c>
      <c r="B163" t="s">
        <v>148</v>
      </c>
      <c r="C163" t="s">
        <v>142</v>
      </c>
      <c r="D163" t="s">
        <v>144</v>
      </c>
      <c r="E163" s="20">
        <v>46084</v>
      </c>
      <c r="F163" s="21" t="s">
        <v>198</v>
      </c>
      <c r="G163" s="25"/>
      <c r="H163" s="21" t="s">
        <v>127</v>
      </c>
      <c r="I163" s="22">
        <v>68756</v>
      </c>
      <c r="J163" s="21" t="s">
        <v>128</v>
      </c>
      <c r="K163" s="23">
        <v>46196.666666666664</v>
      </c>
      <c r="L163" s="21">
        <v>554</v>
      </c>
      <c r="M163" s="22">
        <v>2370</v>
      </c>
      <c r="N163" s="24">
        <v>621</v>
      </c>
      <c r="O163" s="24">
        <v>1059.58</v>
      </c>
      <c r="P163" s="24">
        <v>1958.79</v>
      </c>
      <c r="Q163" s="21">
        <v>620</v>
      </c>
      <c r="R163" s="22">
        <v>32521</v>
      </c>
      <c r="S163" s="22">
        <v>79057</v>
      </c>
      <c r="T163" s="21">
        <v>5</v>
      </c>
      <c r="U163" s="21">
        <v>16</v>
      </c>
      <c r="V163" s="21">
        <v>30</v>
      </c>
      <c r="W163" s="23">
        <v>46275.625</v>
      </c>
      <c r="X163" s="25"/>
      <c r="Y163" s="21">
        <v>0</v>
      </c>
      <c r="Z163" s="26">
        <v>79145</v>
      </c>
      <c r="AA163">
        <v>438.57999999999993</v>
      </c>
      <c r="AB163" s="18">
        <v>0.70624798711755221</v>
      </c>
      <c r="AC163" s="19">
        <v>1.7062479871175522</v>
      </c>
      <c r="AD163" s="19">
        <v>1.1666666666666667</v>
      </c>
      <c r="AE163" s="19">
        <v>1.2444444444444445</v>
      </c>
    </row>
    <row r="164" spans="1:31">
      <c r="A164">
        <v>168</v>
      </c>
      <c r="B164" t="s">
        <v>143</v>
      </c>
      <c r="C164" t="s">
        <v>149</v>
      </c>
      <c r="D164" t="s">
        <v>144</v>
      </c>
      <c r="E164" s="27">
        <v>46084</v>
      </c>
      <c r="F164" s="28" t="s">
        <v>199</v>
      </c>
      <c r="G164" s="32"/>
      <c r="H164" s="28" t="s">
        <v>146</v>
      </c>
      <c r="I164" s="29">
        <v>30000</v>
      </c>
      <c r="J164" s="28" t="s">
        <v>147</v>
      </c>
      <c r="K164" s="30">
        <v>46196.791666666664</v>
      </c>
      <c r="L164" s="28">
        <v>475</v>
      </c>
      <c r="M164" s="29">
        <v>1859</v>
      </c>
      <c r="N164" s="31">
        <v>391.04</v>
      </c>
      <c r="O164" s="31">
        <v>700.75</v>
      </c>
      <c r="P164" s="31">
        <v>1076.3499999999999</v>
      </c>
      <c r="Q164" s="28">
        <v>270</v>
      </c>
      <c r="R164" s="29">
        <v>11894</v>
      </c>
      <c r="S164" s="29">
        <v>25838</v>
      </c>
      <c r="T164" s="28">
        <v>10</v>
      </c>
      <c r="U164" s="28">
        <v>23</v>
      </c>
      <c r="V164" s="28">
        <v>45</v>
      </c>
      <c r="W164" s="30">
        <v>46275.5</v>
      </c>
      <c r="X164" s="32"/>
      <c r="Y164" s="28">
        <v>1</v>
      </c>
      <c r="Z164" s="33">
        <v>25880</v>
      </c>
      <c r="AA164">
        <v>309.70999999999998</v>
      </c>
      <c r="AB164" s="18">
        <v>0.79201616202945979</v>
      </c>
      <c r="AC164" s="19">
        <v>1.7920161620294599</v>
      </c>
      <c r="AD164" s="19">
        <v>1.5555555555555556</v>
      </c>
      <c r="AE164" s="19">
        <v>1.1925925925925926</v>
      </c>
    </row>
    <row r="165" spans="1:31">
      <c r="A165">
        <v>169</v>
      </c>
      <c r="B165" t="s">
        <v>151</v>
      </c>
      <c r="C165" t="s">
        <v>154</v>
      </c>
      <c r="D165" t="s">
        <v>152</v>
      </c>
      <c r="E165" s="20">
        <v>46084</v>
      </c>
      <c r="F165" s="21" t="s">
        <v>200</v>
      </c>
      <c r="G165" s="25"/>
      <c r="H165" s="21" t="s">
        <v>62</v>
      </c>
      <c r="I165" s="22">
        <v>71500</v>
      </c>
      <c r="J165" s="21" t="s">
        <v>63</v>
      </c>
      <c r="K165" s="23">
        <v>46196.5</v>
      </c>
      <c r="L165" s="21">
        <v>851</v>
      </c>
      <c r="M165" s="22">
        <v>3585</v>
      </c>
      <c r="N165" s="24">
        <v>562.9</v>
      </c>
      <c r="O165" s="24">
        <v>869.79</v>
      </c>
      <c r="P165" s="24">
        <v>1361.36</v>
      </c>
      <c r="Q165" s="21">
        <v>223</v>
      </c>
      <c r="R165" s="22">
        <v>10498</v>
      </c>
      <c r="S165" s="22">
        <v>23442</v>
      </c>
      <c r="T165" s="21">
        <v>5</v>
      </c>
      <c r="U165" s="21">
        <v>21</v>
      </c>
      <c r="V165" s="21">
        <v>56</v>
      </c>
      <c r="W165" s="23">
        <v>46275.583333333336</v>
      </c>
      <c r="X165" s="25"/>
      <c r="Y165" s="21">
        <v>0</v>
      </c>
      <c r="Z165" s="26">
        <v>23494</v>
      </c>
      <c r="AA165">
        <v>306.89</v>
      </c>
      <c r="AB165" s="18">
        <v>0.54519452833540594</v>
      </c>
      <c r="AC165" s="19">
        <v>1.5451945283354058</v>
      </c>
      <c r="AD165" s="19">
        <v>0.625</v>
      </c>
      <c r="AE165" s="19">
        <v>0.875</v>
      </c>
    </row>
    <row r="166" spans="1:31">
      <c r="A166">
        <v>170</v>
      </c>
      <c r="B166" t="s">
        <v>155</v>
      </c>
      <c r="C166" t="s">
        <v>124</v>
      </c>
      <c r="D166" t="s">
        <v>152</v>
      </c>
      <c r="E166" s="27">
        <v>46084</v>
      </c>
      <c r="F166" s="28" t="s">
        <v>201</v>
      </c>
      <c r="G166" s="32"/>
      <c r="H166" s="28" t="s">
        <v>135</v>
      </c>
      <c r="I166" s="29">
        <v>49800</v>
      </c>
      <c r="J166" s="28" t="s">
        <v>136</v>
      </c>
      <c r="K166" s="30">
        <v>46196.875</v>
      </c>
      <c r="L166" s="28">
        <v>336</v>
      </c>
      <c r="M166" s="29">
        <v>1540</v>
      </c>
      <c r="N166" s="31">
        <v>674.92</v>
      </c>
      <c r="O166" s="31">
        <v>923.34</v>
      </c>
      <c r="P166" s="31">
        <v>1477.79</v>
      </c>
      <c r="Q166" s="28">
        <v>221</v>
      </c>
      <c r="R166" s="29">
        <v>10167</v>
      </c>
      <c r="S166" s="29">
        <v>26735</v>
      </c>
      <c r="T166" s="28">
        <v>2</v>
      </c>
      <c r="U166" s="28">
        <v>8</v>
      </c>
      <c r="V166" s="28">
        <v>24</v>
      </c>
      <c r="W166" s="30">
        <v>46275.541666666664</v>
      </c>
      <c r="X166" s="32"/>
      <c r="Y166" s="28">
        <v>0</v>
      </c>
      <c r="Z166" s="33">
        <v>26859</v>
      </c>
      <c r="AA166">
        <v>248.42000000000007</v>
      </c>
      <c r="AB166" s="18">
        <v>0.36807325312629657</v>
      </c>
      <c r="AC166" s="19">
        <v>1.3680732531262967</v>
      </c>
      <c r="AD166" s="19">
        <v>0.58333333333333337</v>
      </c>
      <c r="AE166" s="19">
        <v>0.77777777777777779</v>
      </c>
    </row>
    <row r="167" spans="1:31">
      <c r="A167">
        <v>171</v>
      </c>
      <c r="B167" t="s">
        <v>174</v>
      </c>
      <c r="C167" t="s">
        <v>167</v>
      </c>
      <c r="D167" t="s">
        <v>169</v>
      </c>
      <c r="E167" s="20">
        <v>46084</v>
      </c>
      <c r="F167" s="21" t="s">
        <v>202</v>
      </c>
      <c r="G167" s="25"/>
      <c r="H167" s="21" t="s">
        <v>85</v>
      </c>
      <c r="I167" s="22">
        <v>76100</v>
      </c>
      <c r="J167" s="21" t="s">
        <v>86</v>
      </c>
      <c r="K167" s="23">
        <v>46197.75</v>
      </c>
      <c r="L167" s="21">
        <v>747</v>
      </c>
      <c r="M167" s="22">
        <v>3789</v>
      </c>
      <c r="N167" s="24">
        <v>1150.43</v>
      </c>
      <c r="O167" s="24">
        <v>1938.62</v>
      </c>
      <c r="P167" s="24">
        <v>3510</v>
      </c>
      <c r="Q167" s="21">
        <v>559</v>
      </c>
      <c r="R167" s="22">
        <v>31001</v>
      </c>
      <c r="S167" s="22">
        <v>78491</v>
      </c>
      <c r="T167" s="21">
        <v>4</v>
      </c>
      <c r="U167" s="21">
        <v>11</v>
      </c>
      <c r="V167" s="21">
        <v>37</v>
      </c>
      <c r="W167" s="23">
        <v>46275.625</v>
      </c>
      <c r="X167" s="25"/>
      <c r="Y167" s="21">
        <v>0</v>
      </c>
      <c r="Z167" s="26">
        <v>78587</v>
      </c>
      <c r="AA167">
        <v>788.18999999999983</v>
      </c>
      <c r="AB167" s="18">
        <v>0.68512643098667436</v>
      </c>
      <c r="AC167" s="19">
        <v>1.6851264309866743</v>
      </c>
      <c r="AD167" s="19">
        <v>0.7567567567567568</v>
      </c>
      <c r="AE167" s="19">
        <v>0.69369369369369371</v>
      </c>
    </row>
    <row r="168" spans="1:31">
      <c r="A168">
        <v>172</v>
      </c>
      <c r="B168" t="s">
        <v>175</v>
      </c>
      <c r="C168" t="s">
        <v>168</v>
      </c>
      <c r="D168" t="s">
        <v>169</v>
      </c>
      <c r="E168" s="27">
        <v>46084</v>
      </c>
      <c r="F168" s="28" t="s">
        <v>204</v>
      </c>
      <c r="G168" s="32"/>
      <c r="H168" s="28" t="s">
        <v>79</v>
      </c>
      <c r="I168" s="29">
        <v>71000</v>
      </c>
      <c r="J168" s="28" t="s">
        <v>80</v>
      </c>
      <c r="K168" s="30">
        <v>46197.75</v>
      </c>
      <c r="L168" s="28">
        <v>846</v>
      </c>
      <c r="M168" s="29">
        <v>3406</v>
      </c>
      <c r="N168" s="31">
        <v>228.71</v>
      </c>
      <c r="O168" s="31">
        <v>513.38</v>
      </c>
      <c r="P168" s="31">
        <v>792</v>
      </c>
      <c r="Q168" s="28">
        <v>159</v>
      </c>
      <c r="R168" s="29">
        <v>7339</v>
      </c>
      <c r="S168" s="29">
        <v>15980</v>
      </c>
      <c r="T168" s="28">
        <v>4</v>
      </c>
      <c r="U168" s="28">
        <v>17</v>
      </c>
      <c r="V168" s="28">
        <v>48</v>
      </c>
      <c r="W168" s="30">
        <v>46275.625</v>
      </c>
      <c r="X168" s="32"/>
      <c r="Y168" s="28">
        <v>0</v>
      </c>
      <c r="Z168" s="33">
        <v>16003</v>
      </c>
      <c r="AA168">
        <v>284.66999999999996</v>
      </c>
      <c r="AB168" s="18">
        <v>1.2446766647719818</v>
      </c>
      <c r="AC168" s="19">
        <v>2.244676664771982</v>
      </c>
      <c r="AD168" s="19">
        <v>0.58333333333333337</v>
      </c>
      <c r="AE168" s="19">
        <v>0.82638888888888895</v>
      </c>
    </row>
    <row r="169" spans="1:31">
      <c r="A169">
        <v>173</v>
      </c>
      <c r="B169" t="s">
        <v>158</v>
      </c>
      <c r="C169" t="s">
        <v>161</v>
      </c>
      <c r="D169" t="s">
        <v>159</v>
      </c>
      <c r="E169" s="20">
        <v>46084</v>
      </c>
      <c r="F169" s="21" t="s">
        <v>205</v>
      </c>
      <c r="G169" s="25"/>
      <c r="H169" s="21" t="s">
        <v>164</v>
      </c>
      <c r="I169" s="22">
        <v>54500</v>
      </c>
      <c r="J169" s="21" t="s">
        <v>165</v>
      </c>
      <c r="K169" s="23">
        <v>46197.5</v>
      </c>
      <c r="L169" s="21">
        <v>625</v>
      </c>
      <c r="M169" s="22">
        <v>2654</v>
      </c>
      <c r="N169" s="24">
        <v>563.91999999999996</v>
      </c>
      <c r="O169" s="24">
        <v>896.81</v>
      </c>
      <c r="P169" s="24">
        <v>1404.18</v>
      </c>
      <c r="Q169" s="21">
        <v>645</v>
      </c>
      <c r="R169" s="22">
        <v>37743</v>
      </c>
      <c r="S169" s="22">
        <v>95630</v>
      </c>
      <c r="T169" s="21">
        <v>8</v>
      </c>
      <c r="U169" s="21">
        <v>11</v>
      </c>
      <c r="V169" s="21">
        <v>22</v>
      </c>
      <c r="W169" s="23">
        <v>46275.375</v>
      </c>
      <c r="X169" s="25"/>
      <c r="Y169" s="21">
        <v>0</v>
      </c>
      <c r="Z169" s="26">
        <v>95742</v>
      </c>
      <c r="AA169">
        <v>332.89</v>
      </c>
      <c r="AB169" s="18">
        <v>0.59031422896864805</v>
      </c>
      <c r="AC169" s="19">
        <v>1.590314228968648</v>
      </c>
      <c r="AD169" s="19">
        <v>2.5454545454545454</v>
      </c>
      <c r="AE169" s="19">
        <v>1.1666666666666667</v>
      </c>
    </row>
    <row r="170" spans="1:31">
      <c r="A170">
        <v>174</v>
      </c>
      <c r="B170" t="s">
        <v>124</v>
      </c>
      <c r="C170" t="s">
        <v>162</v>
      </c>
      <c r="D170" t="s">
        <v>159</v>
      </c>
      <c r="E170" s="27">
        <v>46084</v>
      </c>
      <c r="F170" s="28" t="s">
        <v>206</v>
      </c>
      <c r="G170" s="32"/>
      <c r="H170" s="28" t="s">
        <v>118</v>
      </c>
      <c r="I170" s="29">
        <v>67000</v>
      </c>
      <c r="J170" s="28" t="s">
        <v>119</v>
      </c>
      <c r="K170" s="30">
        <v>46197.5</v>
      </c>
      <c r="L170" s="28">
        <v>545</v>
      </c>
      <c r="M170" s="29">
        <v>2355</v>
      </c>
      <c r="N170" s="31">
        <v>314.99</v>
      </c>
      <c r="O170" s="31">
        <v>620.23</v>
      </c>
      <c r="P170" s="31">
        <v>1426.5</v>
      </c>
      <c r="Q170" s="28">
        <v>151</v>
      </c>
      <c r="R170" s="29">
        <v>7695</v>
      </c>
      <c r="S170" s="29">
        <v>16633</v>
      </c>
      <c r="T170" s="28">
        <v>2</v>
      </c>
      <c r="U170" s="28">
        <v>7</v>
      </c>
      <c r="V170" s="28">
        <v>17</v>
      </c>
      <c r="W170" s="30">
        <v>46275.5</v>
      </c>
      <c r="X170" s="32"/>
      <c r="Y170" s="28">
        <v>0</v>
      </c>
      <c r="Z170" s="33">
        <v>16658</v>
      </c>
      <c r="AA170">
        <v>305.24</v>
      </c>
      <c r="AB170" s="18">
        <v>0.96904663640115563</v>
      </c>
      <c r="AC170" s="19">
        <v>1.9690466364011556</v>
      </c>
      <c r="AD170" s="19">
        <v>0.82352941176470595</v>
      </c>
      <c r="AE170" s="19">
        <v>0.96078431372549034</v>
      </c>
    </row>
    <row r="171" spans="1:31">
      <c r="A171">
        <v>175</v>
      </c>
      <c r="B171" t="s">
        <v>124</v>
      </c>
      <c r="C171" t="s">
        <v>51</v>
      </c>
      <c r="D171" t="s">
        <v>53</v>
      </c>
      <c r="E171" s="20">
        <v>46084</v>
      </c>
      <c r="F171" s="21" t="s">
        <v>207</v>
      </c>
      <c r="G171" s="25"/>
      <c r="H171" s="21" t="s">
        <v>56</v>
      </c>
      <c r="I171" s="22">
        <v>98500</v>
      </c>
      <c r="J171" s="21" t="s">
        <v>57</v>
      </c>
      <c r="K171" s="23">
        <v>46197.833333333336</v>
      </c>
      <c r="L171" s="21">
        <v>362</v>
      </c>
      <c r="M171" s="22">
        <v>2296</v>
      </c>
      <c r="N171" s="24">
        <v>1337.13</v>
      </c>
      <c r="O171" s="24">
        <v>2431.0500000000002</v>
      </c>
      <c r="P171" s="24">
        <v>5000</v>
      </c>
      <c r="Q171" s="21">
        <v>622</v>
      </c>
      <c r="R171" s="22">
        <v>32921</v>
      </c>
      <c r="S171" s="22">
        <v>85937</v>
      </c>
      <c r="T171" s="21">
        <v>5</v>
      </c>
      <c r="U171" s="21">
        <v>7</v>
      </c>
      <c r="V171" s="21">
        <v>20</v>
      </c>
      <c r="W171" s="23">
        <v>46275.541666666664</v>
      </c>
      <c r="X171" s="25"/>
      <c r="Y171" s="21">
        <v>0</v>
      </c>
      <c r="Z171" s="26">
        <v>86046</v>
      </c>
      <c r="AA171">
        <v>1093.92</v>
      </c>
      <c r="AB171" s="18">
        <v>0.81811043054901167</v>
      </c>
      <c r="AC171" s="19">
        <v>1.8181104305490117</v>
      </c>
      <c r="AD171" s="19">
        <v>1.75</v>
      </c>
      <c r="AE171" s="19">
        <v>0.81666666666666665</v>
      </c>
    </row>
    <row r="172" spans="1:31">
      <c r="A172">
        <v>176</v>
      </c>
      <c r="B172" t="s">
        <v>52</v>
      </c>
      <c r="C172" t="s">
        <v>133</v>
      </c>
      <c r="D172" t="s">
        <v>53</v>
      </c>
      <c r="E172" s="27">
        <v>46084</v>
      </c>
      <c r="F172" s="28" t="s">
        <v>208</v>
      </c>
      <c r="G172" s="32"/>
      <c r="H172" s="28" t="s">
        <v>100</v>
      </c>
      <c r="I172" s="29">
        <v>52237</v>
      </c>
      <c r="J172" s="28" t="s">
        <v>101</v>
      </c>
      <c r="K172" s="30">
        <v>46197.833333333336</v>
      </c>
      <c r="L172" s="28">
        <v>278</v>
      </c>
      <c r="M172" s="29">
        <v>1171</v>
      </c>
      <c r="N172" s="31">
        <v>217.06</v>
      </c>
      <c r="O172" s="31">
        <v>352.5</v>
      </c>
      <c r="P172" s="31">
        <v>768.09</v>
      </c>
      <c r="Q172" s="28">
        <v>154</v>
      </c>
      <c r="R172" s="29">
        <v>5443</v>
      </c>
      <c r="S172" s="29">
        <v>15479</v>
      </c>
      <c r="T172" s="28">
        <v>2</v>
      </c>
      <c r="U172" s="28">
        <v>5</v>
      </c>
      <c r="V172" s="28">
        <v>9</v>
      </c>
      <c r="W172" s="30">
        <v>46275.541666666664</v>
      </c>
      <c r="X172" s="32"/>
      <c r="Y172" s="28">
        <v>0</v>
      </c>
      <c r="Z172" s="33">
        <v>15512</v>
      </c>
      <c r="AA172">
        <v>135.44</v>
      </c>
      <c r="AB172" s="18">
        <v>0.62397493780521518</v>
      </c>
      <c r="AC172" s="19">
        <v>1.6239749378052151</v>
      </c>
      <c r="AD172" s="19">
        <v>1.5555555555555554</v>
      </c>
      <c r="AE172" s="19">
        <v>1.2962962962962963</v>
      </c>
    </row>
    <row r="173" spans="1:31">
      <c r="A173">
        <v>177</v>
      </c>
      <c r="B173" t="s">
        <v>59</v>
      </c>
      <c r="C173" t="s">
        <v>183</v>
      </c>
      <c r="D173" t="s">
        <v>60</v>
      </c>
      <c r="E173" s="20">
        <v>46084</v>
      </c>
      <c r="F173" s="21" t="s">
        <v>209</v>
      </c>
      <c r="G173" s="25"/>
      <c r="H173" s="21" t="s">
        <v>171</v>
      </c>
      <c r="I173" s="22">
        <v>69176</v>
      </c>
      <c r="J173" s="21" t="s">
        <v>172</v>
      </c>
      <c r="K173" s="23">
        <v>46198.666666666664</v>
      </c>
      <c r="L173" s="21">
        <v>634</v>
      </c>
      <c r="M173" s="22">
        <v>2603</v>
      </c>
      <c r="N173" s="24">
        <v>228.97</v>
      </c>
      <c r="O173" s="24">
        <v>403.54</v>
      </c>
      <c r="P173" s="24">
        <v>926.82</v>
      </c>
      <c r="Q173" s="21">
        <v>599</v>
      </c>
      <c r="R173" s="22">
        <v>36440</v>
      </c>
      <c r="S173" s="22">
        <v>93074</v>
      </c>
      <c r="T173" s="21">
        <v>6</v>
      </c>
      <c r="U173" s="21">
        <v>17</v>
      </c>
      <c r="V173" s="21">
        <v>42</v>
      </c>
      <c r="W173" s="23">
        <v>46275.625</v>
      </c>
      <c r="X173" s="25"/>
      <c r="Y173" s="21">
        <v>0</v>
      </c>
      <c r="Z173" s="26">
        <v>93186</v>
      </c>
      <c r="AA173">
        <v>174.57000000000002</v>
      </c>
      <c r="AB173" s="18">
        <v>0.76241429008167017</v>
      </c>
      <c r="AC173" s="19">
        <v>1.7624142900816702</v>
      </c>
      <c r="AD173" s="19">
        <v>1</v>
      </c>
      <c r="AE173" s="19">
        <v>0.94444444444444453</v>
      </c>
    </row>
    <row r="174" spans="1:31">
      <c r="A174">
        <v>178</v>
      </c>
      <c r="B174" t="s">
        <v>185</v>
      </c>
      <c r="C174" t="s">
        <v>58</v>
      </c>
      <c r="D174" t="s">
        <v>60</v>
      </c>
      <c r="E174" s="27">
        <v>46084</v>
      </c>
      <c r="F174" s="28" t="s">
        <v>210</v>
      </c>
      <c r="G174" s="32"/>
      <c r="H174" s="28" t="s">
        <v>91</v>
      </c>
      <c r="I174" s="29">
        <v>82500</v>
      </c>
      <c r="J174" s="28" t="s">
        <v>92</v>
      </c>
      <c r="K174" s="30">
        <v>46198.666666666664</v>
      </c>
      <c r="L174" s="28">
        <v>895</v>
      </c>
      <c r="M174" s="29">
        <v>4239</v>
      </c>
      <c r="N174" s="31">
        <v>843.3</v>
      </c>
      <c r="O174" s="31">
        <v>1450.56</v>
      </c>
      <c r="P174" s="31">
        <v>2605.84</v>
      </c>
      <c r="Q174" s="28">
        <v>786</v>
      </c>
      <c r="R174" s="29">
        <v>40912</v>
      </c>
      <c r="S174" s="29">
        <v>101350</v>
      </c>
      <c r="T174" s="28">
        <v>6</v>
      </c>
      <c r="U174" s="28">
        <v>16</v>
      </c>
      <c r="V174" s="28">
        <v>45</v>
      </c>
      <c r="W174" s="30">
        <v>46275.625</v>
      </c>
      <c r="X174" s="32"/>
      <c r="Y174" s="28">
        <v>0</v>
      </c>
      <c r="Z174" s="33">
        <v>101472</v>
      </c>
      <c r="AA174">
        <v>607.26</v>
      </c>
      <c r="AB174" s="18">
        <v>0.72009960868018497</v>
      </c>
      <c r="AC174" s="19">
        <v>1.720099608680185</v>
      </c>
      <c r="AD174" s="19">
        <v>0.93333333333333335</v>
      </c>
      <c r="AE174" s="19">
        <v>0.82962962962962961</v>
      </c>
    </row>
    <row r="175" spans="1:31">
      <c r="A175">
        <v>179</v>
      </c>
      <c r="B175" t="s">
        <v>94</v>
      </c>
      <c r="C175" t="s">
        <v>124</v>
      </c>
      <c r="D175" t="s">
        <v>95</v>
      </c>
      <c r="E175" s="20">
        <v>46084</v>
      </c>
      <c r="F175" s="21" t="s">
        <v>211</v>
      </c>
      <c r="G175" s="25"/>
      <c r="H175" s="21" t="s">
        <v>74</v>
      </c>
      <c r="I175" s="22">
        <v>80000</v>
      </c>
      <c r="J175" s="21" t="s">
        <v>75</v>
      </c>
      <c r="K175" s="23">
        <v>46198.75</v>
      </c>
      <c r="L175" s="21">
        <v>513</v>
      </c>
      <c r="M175" s="22">
        <v>2188</v>
      </c>
      <c r="N175" s="24">
        <v>440.1</v>
      </c>
      <c r="O175" s="24">
        <v>727</v>
      </c>
      <c r="P175" s="24">
        <v>1157.4100000000001</v>
      </c>
      <c r="Q175" s="21">
        <v>655</v>
      </c>
      <c r="R175" s="22">
        <v>36904</v>
      </c>
      <c r="S175" s="22">
        <v>90843</v>
      </c>
      <c r="T175" s="21">
        <v>1</v>
      </c>
      <c r="U175" s="21">
        <v>9</v>
      </c>
      <c r="V175" s="21">
        <v>26</v>
      </c>
      <c r="W175" s="23">
        <v>46275.583333333336</v>
      </c>
      <c r="X175" s="25"/>
      <c r="Y175" s="21">
        <v>0</v>
      </c>
      <c r="Z175" s="26">
        <v>90937</v>
      </c>
      <c r="AA175">
        <v>286.89999999999998</v>
      </c>
      <c r="AB175" s="18">
        <v>0.65189729606907509</v>
      </c>
      <c r="AC175" s="19">
        <v>1.6518972960690752</v>
      </c>
      <c r="AD175" s="19">
        <v>0.26923076923076922</v>
      </c>
      <c r="AE175" s="19">
        <v>0.80769230769230771</v>
      </c>
    </row>
    <row r="176" spans="1:31">
      <c r="A176">
        <v>180</v>
      </c>
      <c r="B176" t="s">
        <v>98</v>
      </c>
      <c r="C176" t="s">
        <v>93</v>
      </c>
      <c r="D176" t="s">
        <v>95</v>
      </c>
      <c r="E176" s="27">
        <v>46084</v>
      </c>
      <c r="F176" s="28" t="s">
        <v>212</v>
      </c>
      <c r="G176" s="32"/>
      <c r="H176" s="28" t="s">
        <v>68</v>
      </c>
      <c r="I176" s="29">
        <v>76416</v>
      </c>
      <c r="J176" s="28" t="s">
        <v>69</v>
      </c>
      <c r="K176" s="30">
        <v>46198.75</v>
      </c>
      <c r="L176" s="28">
        <v>588</v>
      </c>
      <c r="M176" s="29">
        <v>2529</v>
      </c>
      <c r="N176" s="31">
        <v>338.64</v>
      </c>
      <c r="O176" s="31">
        <v>575.25</v>
      </c>
      <c r="P176" s="31">
        <v>1329.85</v>
      </c>
      <c r="Q176" s="28">
        <v>608</v>
      </c>
      <c r="R176" s="29">
        <v>35558</v>
      </c>
      <c r="S176" s="29">
        <v>89453</v>
      </c>
      <c r="T176" s="28">
        <v>0</v>
      </c>
      <c r="U176" s="28">
        <v>15</v>
      </c>
      <c r="V176" s="28">
        <v>32</v>
      </c>
      <c r="W176" s="30">
        <v>46275.583333333336</v>
      </c>
      <c r="X176" s="32"/>
      <c r="Y176" s="28">
        <v>0</v>
      </c>
      <c r="Z176" s="33">
        <v>89557</v>
      </c>
      <c r="AA176">
        <v>236.61</v>
      </c>
      <c r="AB176" s="18">
        <v>0.69870659107016309</v>
      </c>
      <c r="AC176" s="19">
        <v>1.6987065910701631</v>
      </c>
      <c r="AD176" s="19">
        <v>0</v>
      </c>
      <c r="AE176" s="19">
        <v>1.09375</v>
      </c>
    </row>
    <row r="177" spans="1:31">
      <c r="A177">
        <v>181</v>
      </c>
      <c r="B177" t="s">
        <v>124</v>
      </c>
      <c r="C177" t="s">
        <v>180</v>
      </c>
      <c r="D177" t="s">
        <v>178</v>
      </c>
      <c r="E177" s="20">
        <v>46084</v>
      </c>
      <c r="F177" s="21" t="s">
        <v>213</v>
      </c>
      <c r="G177" s="25"/>
      <c r="H177" s="21" t="s">
        <v>113</v>
      </c>
      <c r="I177" s="22">
        <v>70240</v>
      </c>
      <c r="J177" s="21" t="s">
        <v>114</v>
      </c>
      <c r="K177" s="23">
        <v>46198.791666666664</v>
      </c>
      <c r="L177" s="21">
        <v>580</v>
      </c>
      <c r="M177" s="22">
        <v>2515</v>
      </c>
      <c r="N177" s="24">
        <v>837.82</v>
      </c>
      <c r="O177" s="24">
        <v>1766.25</v>
      </c>
      <c r="P177" s="24">
        <v>2911.89</v>
      </c>
      <c r="Q177" s="21">
        <v>264</v>
      </c>
      <c r="R177" s="22">
        <v>9971</v>
      </c>
      <c r="S177" s="22">
        <v>21691</v>
      </c>
      <c r="T177" s="21">
        <v>4</v>
      </c>
      <c r="U177" s="21">
        <v>9</v>
      </c>
      <c r="V177" s="21">
        <v>29</v>
      </c>
      <c r="W177" s="23">
        <v>46275.5</v>
      </c>
      <c r="X177" s="25"/>
      <c r="Y177" s="21">
        <v>1</v>
      </c>
      <c r="Z177" s="26">
        <v>21726</v>
      </c>
      <c r="AA177">
        <v>928.43</v>
      </c>
      <c r="AB177" s="18">
        <v>1.1081497218973049</v>
      </c>
      <c r="AC177" s="19">
        <v>2.1081497218973047</v>
      </c>
      <c r="AD177" s="19">
        <v>0.96551724137931028</v>
      </c>
      <c r="AE177" s="19">
        <v>0.72413793103448265</v>
      </c>
    </row>
    <row r="178" spans="1:31">
      <c r="A178">
        <v>182</v>
      </c>
      <c r="B178" t="s">
        <v>177</v>
      </c>
      <c r="C178" t="s">
        <v>181</v>
      </c>
      <c r="D178" t="s">
        <v>178</v>
      </c>
      <c r="E178" s="27">
        <v>46084</v>
      </c>
      <c r="F178" s="28" t="s">
        <v>215</v>
      </c>
      <c r="G178" s="32"/>
      <c r="H178" s="28" t="s">
        <v>140</v>
      </c>
      <c r="I178" s="29">
        <v>75000</v>
      </c>
      <c r="J178" s="28" t="s">
        <v>141</v>
      </c>
      <c r="K178" s="30">
        <v>46198.791666666664</v>
      </c>
      <c r="L178" s="28">
        <v>630</v>
      </c>
      <c r="M178" s="29">
        <v>2622</v>
      </c>
      <c r="N178" s="31">
        <v>302</v>
      </c>
      <c r="O178" s="31">
        <v>641.75</v>
      </c>
      <c r="P178" s="31">
        <v>1309.1300000000001</v>
      </c>
      <c r="Q178" s="28">
        <v>834</v>
      </c>
      <c r="R178" s="29">
        <v>36169</v>
      </c>
      <c r="S178" s="29">
        <v>89822</v>
      </c>
      <c r="T178" s="28">
        <v>7</v>
      </c>
      <c r="U178" s="28">
        <v>19</v>
      </c>
      <c r="V178" s="28">
        <v>32</v>
      </c>
      <c r="W178" s="30">
        <v>46275.5</v>
      </c>
      <c r="X178" s="32"/>
      <c r="Y178" s="28">
        <v>1</v>
      </c>
      <c r="Z178" s="33">
        <v>89940</v>
      </c>
      <c r="AA178">
        <v>339.75</v>
      </c>
      <c r="AB178" s="18">
        <v>1.125</v>
      </c>
      <c r="AC178" s="19">
        <v>2.125</v>
      </c>
      <c r="AD178" s="19">
        <v>1.53125</v>
      </c>
      <c r="AE178" s="19">
        <v>1.3854166666666667</v>
      </c>
    </row>
    <row r="179" spans="1:31">
      <c r="A179">
        <v>183</v>
      </c>
      <c r="B179" t="s">
        <v>125</v>
      </c>
      <c r="C179" t="s">
        <v>120</v>
      </c>
      <c r="D179" t="s">
        <v>122</v>
      </c>
      <c r="E179" s="20">
        <v>46084</v>
      </c>
      <c r="F179" s="21" t="s">
        <v>216</v>
      </c>
      <c r="G179" s="25"/>
      <c r="H179" s="21" t="s">
        <v>127</v>
      </c>
      <c r="I179" s="22">
        <v>68756</v>
      </c>
      <c r="J179" s="21" t="s">
        <v>128</v>
      </c>
      <c r="K179" s="23">
        <v>46199.625</v>
      </c>
      <c r="L179" s="21">
        <v>792</v>
      </c>
      <c r="M179" s="22">
        <v>3822</v>
      </c>
      <c r="N179" s="24">
        <v>735.03</v>
      </c>
      <c r="O179" s="24">
        <v>1273.77</v>
      </c>
      <c r="P179" s="24">
        <v>2491.7199999999998</v>
      </c>
      <c r="Q179" s="21">
        <v>615</v>
      </c>
      <c r="R179" s="22">
        <v>38046</v>
      </c>
      <c r="S179" s="22">
        <v>96161</v>
      </c>
      <c r="T179" s="21">
        <v>3</v>
      </c>
      <c r="U179" s="21">
        <v>13</v>
      </c>
      <c r="V179" s="21">
        <v>28</v>
      </c>
      <c r="W179" s="23">
        <v>46275.625</v>
      </c>
      <c r="X179" s="25"/>
      <c r="Y179" s="21">
        <v>0</v>
      </c>
      <c r="Z179" s="26">
        <v>96272</v>
      </c>
      <c r="AA179">
        <v>538.74</v>
      </c>
      <c r="AB179" s="18">
        <v>0.73294967552344803</v>
      </c>
      <c r="AC179" s="19">
        <v>1.7329496755234481</v>
      </c>
      <c r="AD179" s="19">
        <v>0.75</v>
      </c>
      <c r="AE179" s="19">
        <v>1.0833333333333333</v>
      </c>
    </row>
    <row r="180" spans="1:31">
      <c r="A180">
        <v>184</v>
      </c>
      <c r="B180" t="s">
        <v>125</v>
      </c>
      <c r="C180" t="s">
        <v>120</v>
      </c>
      <c r="D180" t="s">
        <v>122</v>
      </c>
      <c r="E180" s="27">
        <v>46084</v>
      </c>
      <c r="F180" s="28" t="s">
        <v>216</v>
      </c>
      <c r="G180" s="32"/>
      <c r="H180" s="28" t="s">
        <v>127</v>
      </c>
      <c r="I180" s="29">
        <v>16000</v>
      </c>
      <c r="J180" s="28" t="s">
        <v>128</v>
      </c>
      <c r="K180" s="30">
        <v>46199.625</v>
      </c>
      <c r="L180" s="28">
        <v>98</v>
      </c>
      <c r="M180" s="28">
        <v>345</v>
      </c>
      <c r="N180" s="31">
        <v>48.1</v>
      </c>
      <c r="O180" s="31">
        <v>86.72</v>
      </c>
      <c r="P180" s="31">
        <v>156.6</v>
      </c>
      <c r="Q180" s="28">
        <v>0</v>
      </c>
      <c r="R180" s="28">
        <v>17</v>
      </c>
      <c r="S180" s="28">
        <v>36</v>
      </c>
      <c r="T180" s="28">
        <v>1</v>
      </c>
      <c r="U180" s="28">
        <v>6</v>
      </c>
      <c r="V180" s="28">
        <v>11</v>
      </c>
      <c r="W180" s="32"/>
      <c r="X180" s="32"/>
      <c r="Y180" s="28">
        <v>0</v>
      </c>
      <c r="Z180" s="35">
        <v>37</v>
      </c>
      <c r="AA180">
        <v>38.619999999999997</v>
      </c>
      <c r="AB180" s="18">
        <v>0.80291060291060279</v>
      </c>
      <c r="AC180" s="19">
        <v>1.8029106029106028</v>
      </c>
      <c r="AD180" s="19">
        <v>0.63636363636363635</v>
      </c>
      <c r="AE180" s="19">
        <v>1.2727272727272727</v>
      </c>
    </row>
    <row r="181" spans="1:31">
      <c r="A181">
        <v>185</v>
      </c>
      <c r="B181" t="s">
        <v>121</v>
      </c>
      <c r="C181" t="s">
        <v>124</v>
      </c>
      <c r="D181" t="s">
        <v>122</v>
      </c>
      <c r="E181" s="20">
        <v>46084</v>
      </c>
      <c r="F181" s="21" t="s">
        <v>217</v>
      </c>
      <c r="G181" s="25"/>
      <c r="H181" s="21" t="s">
        <v>146</v>
      </c>
      <c r="I181" s="22">
        <v>30000</v>
      </c>
      <c r="J181" s="21" t="s">
        <v>147</v>
      </c>
      <c r="K181" s="23">
        <v>46199.625</v>
      </c>
      <c r="L181" s="21">
        <v>360</v>
      </c>
      <c r="M181" s="22">
        <v>1516</v>
      </c>
      <c r="N181" s="24">
        <v>394.07</v>
      </c>
      <c r="O181" s="24">
        <v>599.46</v>
      </c>
      <c r="P181" s="24">
        <v>931.22</v>
      </c>
      <c r="Q181" s="21">
        <v>585</v>
      </c>
      <c r="R181" s="22">
        <v>33640</v>
      </c>
      <c r="S181" s="22">
        <v>89363</v>
      </c>
      <c r="T181" s="21">
        <v>2</v>
      </c>
      <c r="U181" s="21">
        <v>4</v>
      </c>
      <c r="V181" s="21">
        <v>10</v>
      </c>
      <c r="W181" s="23">
        <v>46275.5</v>
      </c>
      <c r="X181" s="25"/>
      <c r="Y181" s="21">
        <v>0</v>
      </c>
      <c r="Z181" s="26">
        <v>89470</v>
      </c>
      <c r="AA181">
        <v>205.39000000000004</v>
      </c>
      <c r="AB181" s="18">
        <v>0.52120181693607748</v>
      </c>
      <c r="AC181" s="19">
        <v>1.5212018169360775</v>
      </c>
      <c r="AD181" s="19">
        <v>1.4</v>
      </c>
      <c r="AE181" s="19">
        <v>0.93333333333333324</v>
      </c>
    </row>
    <row r="182" spans="1:31">
      <c r="A182">
        <v>186</v>
      </c>
      <c r="B182" t="s">
        <v>116</v>
      </c>
      <c r="C182" t="s">
        <v>109</v>
      </c>
      <c r="D182" t="s">
        <v>111</v>
      </c>
      <c r="E182" s="27">
        <v>46084</v>
      </c>
      <c r="F182" s="28" t="s">
        <v>218</v>
      </c>
      <c r="G182" s="32"/>
      <c r="H182" s="28" t="s">
        <v>118</v>
      </c>
      <c r="I182" s="29">
        <v>67000</v>
      </c>
      <c r="J182" s="28" t="s">
        <v>119</v>
      </c>
      <c r="K182" s="30">
        <v>46199.833333333336</v>
      </c>
      <c r="L182" s="28">
        <v>705</v>
      </c>
      <c r="M182" s="29">
        <v>3042</v>
      </c>
      <c r="N182" s="31">
        <v>248.12</v>
      </c>
      <c r="O182" s="31">
        <v>499</v>
      </c>
      <c r="P182" s="31">
        <v>982.95</v>
      </c>
      <c r="Q182" s="28">
        <v>243</v>
      </c>
      <c r="R182" s="29">
        <v>9993</v>
      </c>
      <c r="S182" s="29">
        <v>21365</v>
      </c>
      <c r="T182" s="28">
        <v>2</v>
      </c>
      <c r="U182" s="28">
        <v>8</v>
      </c>
      <c r="V182" s="28">
        <v>26</v>
      </c>
      <c r="W182" s="30">
        <v>46275.5</v>
      </c>
      <c r="X182" s="32"/>
      <c r="Y182" s="28">
        <v>0</v>
      </c>
      <c r="Z182" s="33">
        <v>21408</v>
      </c>
      <c r="AA182">
        <v>250.88</v>
      </c>
      <c r="AB182" s="18">
        <v>1.0111236498468483</v>
      </c>
      <c r="AC182" s="19">
        <v>2.0111236498468483</v>
      </c>
      <c r="AD182" s="19">
        <v>0.53846153846153844</v>
      </c>
      <c r="AE182" s="19">
        <v>0.71794871794871784</v>
      </c>
    </row>
    <row r="183" spans="1:31">
      <c r="A183">
        <v>187</v>
      </c>
      <c r="B183" t="s">
        <v>110</v>
      </c>
      <c r="C183" t="s">
        <v>115</v>
      </c>
      <c r="D183" t="s">
        <v>111</v>
      </c>
      <c r="E183" s="20">
        <v>46084</v>
      </c>
      <c r="F183" s="21" t="s">
        <v>219</v>
      </c>
      <c r="G183" s="25"/>
      <c r="H183" s="21" t="s">
        <v>164</v>
      </c>
      <c r="I183" s="22">
        <v>54500</v>
      </c>
      <c r="J183" s="21" t="s">
        <v>165</v>
      </c>
      <c r="K183" s="23">
        <v>46199.833333333336</v>
      </c>
      <c r="L183" s="21">
        <v>505</v>
      </c>
      <c r="M183" s="22">
        <v>2238</v>
      </c>
      <c r="N183" s="24">
        <v>327.60000000000002</v>
      </c>
      <c r="O183" s="24">
        <v>530.5</v>
      </c>
      <c r="P183" s="24">
        <v>1134.31</v>
      </c>
      <c r="Q183" s="21">
        <v>621</v>
      </c>
      <c r="R183" s="22">
        <v>33764</v>
      </c>
      <c r="S183" s="22">
        <v>90140</v>
      </c>
      <c r="T183" s="21">
        <v>3</v>
      </c>
      <c r="U183" s="21">
        <v>7</v>
      </c>
      <c r="V183" s="21">
        <v>31</v>
      </c>
      <c r="W183" s="23">
        <v>46275.375</v>
      </c>
      <c r="X183" s="25"/>
      <c r="Y183" s="21">
        <v>0</v>
      </c>
      <c r="Z183" s="26">
        <v>90249</v>
      </c>
      <c r="AA183">
        <v>202.89999999999998</v>
      </c>
      <c r="AB183" s="18">
        <v>0.61935286935286926</v>
      </c>
      <c r="AC183" s="19">
        <v>1.6193528693528692</v>
      </c>
      <c r="AD183" s="19">
        <v>0.67741935483870963</v>
      </c>
      <c r="AE183" s="19">
        <v>0.5268817204301075</v>
      </c>
    </row>
    <row r="184" spans="1:31">
      <c r="A184">
        <v>188</v>
      </c>
      <c r="B184" t="s">
        <v>107</v>
      </c>
      <c r="C184" t="s">
        <v>102</v>
      </c>
      <c r="D184" t="s">
        <v>104</v>
      </c>
      <c r="E184" s="27">
        <v>46084</v>
      </c>
      <c r="F184" s="28" t="s">
        <v>220</v>
      </c>
      <c r="G184" s="32"/>
      <c r="H184" s="28" t="s">
        <v>62</v>
      </c>
      <c r="I184" s="29">
        <v>71500</v>
      </c>
      <c r="J184" s="28" t="s">
        <v>63</v>
      </c>
      <c r="K184" s="30">
        <v>46199.791666666664</v>
      </c>
      <c r="L184" s="28">
        <v>822</v>
      </c>
      <c r="M184" s="29">
        <v>3581</v>
      </c>
      <c r="N184" s="31">
        <v>166.03</v>
      </c>
      <c r="O184" s="31">
        <v>376.77</v>
      </c>
      <c r="P184" s="31">
        <v>1059.3499999999999</v>
      </c>
      <c r="Q184" s="28">
        <v>199</v>
      </c>
      <c r="R184" s="29">
        <v>9452</v>
      </c>
      <c r="S184" s="29">
        <v>20286</v>
      </c>
      <c r="T184" s="28">
        <v>5</v>
      </c>
      <c r="U184" s="28">
        <v>13</v>
      </c>
      <c r="V184" s="28">
        <v>23</v>
      </c>
      <c r="W184" s="30">
        <v>46275.583333333336</v>
      </c>
      <c r="X184" s="32"/>
      <c r="Y184" s="28">
        <v>0</v>
      </c>
      <c r="Z184" s="33">
        <v>20319</v>
      </c>
      <c r="AA184">
        <v>210.73999999999998</v>
      </c>
      <c r="AB184" s="18">
        <v>1.2692886827681742</v>
      </c>
      <c r="AC184" s="19">
        <v>2.2692886827681744</v>
      </c>
      <c r="AD184" s="19">
        <v>1.5217391304347827</v>
      </c>
      <c r="AE184" s="19">
        <v>1.3188405797101448</v>
      </c>
    </row>
    <row r="185" spans="1:31">
      <c r="A185">
        <v>189</v>
      </c>
      <c r="B185" t="s">
        <v>103</v>
      </c>
      <c r="C185" t="s">
        <v>106</v>
      </c>
      <c r="D185" t="s">
        <v>104</v>
      </c>
      <c r="E185" s="20">
        <v>46084</v>
      </c>
      <c r="F185" s="21" t="s">
        <v>221</v>
      </c>
      <c r="G185" s="25"/>
      <c r="H185" s="21" t="s">
        <v>135</v>
      </c>
      <c r="I185" s="22">
        <v>49800</v>
      </c>
      <c r="J185" s="21" t="s">
        <v>136</v>
      </c>
      <c r="K185" s="23">
        <v>46199.791666666664</v>
      </c>
      <c r="L185" s="21">
        <v>480</v>
      </c>
      <c r="M185" s="22">
        <v>2566</v>
      </c>
      <c r="N185" s="24">
        <v>854.62</v>
      </c>
      <c r="O185" s="24">
        <v>1467.37</v>
      </c>
      <c r="P185" s="24">
        <v>2618.6799999999998</v>
      </c>
      <c r="Q185" s="21">
        <v>232</v>
      </c>
      <c r="R185" s="22">
        <v>6915</v>
      </c>
      <c r="S185" s="22">
        <v>57936</v>
      </c>
      <c r="T185" s="21">
        <v>2</v>
      </c>
      <c r="U185" s="21">
        <v>10</v>
      </c>
      <c r="V185" s="21">
        <v>24</v>
      </c>
      <c r="W185" s="23">
        <v>46275.541666666664</v>
      </c>
      <c r="X185" s="25"/>
      <c r="Y185" s="21">
        <v>0</v>
      </c>
      <c r="Z185" s="26">
        <v>58058</v>
      </c>
      <c r="AA185">
        <v>612.74999999999989</v>
      </c>
      <c r="AB185" s="18">
        <v>0.71698532681191629</v>
      </c>
      <c r="AC185" s="19">
        <v>1.7169853268119162</v>
      </c>
      <c r="AD185" s="19">
        <v>0.58333333333333337</v>
      </c>
      <c r="AE185" s="19">
        <v>0.97222222222222232</v>
      </c>
    </row>
    <row r="186" spans="1:31">
      <c r="A186">
        <v>190</v>
      </c>
      <c r="B186" t="s">
        <v>143</v>
      </c>
      <c r="C186" t="s">
        <v>148</v>
      </c>
      <c r="D186" t="s">
        <v>144</v>
      </c>
      <c r="E186" s="27">
        <v>46084</v>
      </c>
      <c r="F186" s="28" t="s">
        <v>222</v>
      </c>
      <c r="G186" s="32"/>
      <c r="H186" s="28" t="s">
        <v>91</v>
      </c>
      <c r="I186" s="29">
        <v>82500</v>
      </c>
      <c r="J186" s="28" t="s">
        <v>92</v>
      </c>
      <c r="K186" s="30">
        <v>46200.708333333336</v>
      </c>
      <c r="L186" s="28">
        <v>879</v>
      </c>
      <c r="M186" s="29">
        <v>4233</v>
      </c>
      <c r="N186" s="31">
        <v>600</v>
      </c>
      <c r="O186" s="31">
        <v>1200.5999999999999</v>
      </c>
      <c r="P186" s="31">
        <v>1986.71</v>
      </c>
      <c r="Q186" s="28">
        <v>163</v>
      </c>
      <c r="R186" s="29">
        <v>8282</v>
      </c>
      <c r="S186" s="29">
        <v>18516</v>
      </c>
      <c r="T186" s="28">
        <v>3</v>
      </c>
      <c r="U186" s="28">
        <v>11</v>
      </c>
      <c r="V186" s="28">
        <v>39</v>
      </c>
      <c r="W186" s="30">
        <v>46275.625</v>
      </c>
      <c r="X186" s="32"/>
      <c r="Y186" s="28">
        <v>0</v>
      </c>
      <c r="Z186" s="33">
        <v>18542</v>
      </c>
      <c r="AA186">
        <v>600.59999999999991</v>
      </c>
      <c r="AB186" s="18">
        <v>1.0009999999999999</v>
      </c>
      <c r="AC186" s="19">
        <v>2.0009999999999999</v>
      </c>
      <c r="AD186" s="19">
        <v>0.53846153846153844</v>
      </c>
      <c r="AE186" s="19">
        <v>0.65811965811965811</v>
      </c>
    </row>
    <row r="187" spans="1:31">
      <c r="A187">
        <v>191</v>
      </c>
      <c r="B187" t="s">
        <v>149</v>
      </c>
      <c r="C187" t="s">
        <v>142</v>
      </c>
      <c r="D187" t="s">
        <v>144</v>
      </c>
      <c r="E187" s="20">
        <v>46084</v>
      </c>
      <c r="F187" s="21" t="s">
        <v>223</v>
      </c>
      <c r="G187" s="25"/>
      <c r="H187" s="21" t="s">
        <v>171</v>
      </c>
      <c r="I187" s="22">
        <v>69176</v>
      </c>
      <c r="J187" s="21" t="s">
        <v>172</v>
      </c>
      <c r="K187" s="23">
        <v>46200.708333333336</v>
      </c>
      <c r="L187" s="21">
        <v>691</v>
      </c>
      <c r="M187" s="22">
        <v>2951</v>
      </c>
      <c r="N187" s="24">
        <v>445.5</v>
      </c>
      <c r="O187" s="24">
        <v>728.89</v>
      </c>
      <c r="P187" s="24">
        <v>1324.03</v>
      </c>
      <c r="Q187" s="21">
        <v>853</v>
      </c>
      <c r="R187" s="22">
        <v>37801</v>
      </c>
      <c r="S187" s="22">
        <v>95250</v>
      </c>
      <c r="T187" s="21">
        <v>5</v>
      </c>
      <c r="U187" s="21">
        <v>14</v>
      </c>
      <c r="V187" s="21">
        <v>26</v>
      </c>
      <c r="W187" s="23">
        <v>46275.625</v>
      </c>
      <c r="X187" s="25"/>
      <c r="Y187" s="21">
        <v>0</v>
      </c>
      <c r="Z187" s="26">
        <v>95353</v>
      </c>
      <c r="AA187">
        <v>283.39</v>
      </c>
      <c r="AB187" s="18">
        <v>0.63611672278338938</v>
      </c>
      <c r="AC187" s="19">
        <v>1.6361167227833895</v>
      </c>
      <c r="AD187" s="19">
        <v>1.346153846153846</v>
      </c>
      <c r="AE187" s="19">
        <v>1.2564102564102564</v>
      </c>
    </row>
    <row r="188" spans="1:31">
      <c r="A188">
        <v>192</v>
      </c>
      <c r="B188" t="s">
        <v>130</v>
      </c>
      <c r="C188" t="s">
        <v>137</v>
      </c>
      <c r="D188" t="s">
        <v>131</v>
      </c>
      <c r="E188" s="27">
        <v>46084</v>
      </c>
      <c r="F188" s="28" t="s">
        <v>224</v>
      </c>
      <c r="G188" s="32"/>
      <c r="H188" s="28" t="s">
        <v>68</v>
      </c>
      <c r="I188" s="29">
        <v>76416</v>
      </c>
      <c r="J188" s="28" t="s">
        <v>69</v>
      </c>
      <c r="K188" s="30">
        <v>46200.875</v>
      </c>
      <c r="L188" s="28">
        <v>575</v>
      </c>
      <c r="M188" s="29">
        <v>2575</v>
      </c>
      <c r="N188" s="31">
        <v>259.89</v>
      </c>
      <c r="O188" s="31">
        <v>541.14</v>
      </c>
      <c r="P188" s="31">
        <v>2160</v>
      </c>
      <c r="Q188" s="28">
        <v>816</v>
      </c>
      <c r="R188" s="29">
        <v>36198</v>
      </c>
      <c r="S188" s="29">
        <v>89453</v>
      </c>
      <c r="T188" s="28">
        <v>0</v>
      </c>
      <c r="U188" s="28">
        <v>4</v>
      </c>
      <c r="V188" s="28">
        <v>19</v>
      </c>
      <c r="W188" s="30">
        <v>46275.583333333336</v>
      </c>
      <c r="X188" s="32"/>
      <c r="Y188" s="28">
        <v>0</v>
      </c>
      <c r="Z188" s="33">
        <v>89549</v>
      </c>
      <c r="AA188">
        <v>281.25</v>
      </c>
      <c r="AB188" s="18">
        <v>1.0821886182615723</v>
      </c>
      <c r="AC188" s="19">
        <v>2.0821886182615721</v>
      </c>
      <c r="AD188" s="19">
        <v>0</v>
      </c>
      <c r="AE188" s="19">
        <v>0.49122807017543857</v>
      </c>
    </row>
    <row r="189" spans="1:31">
      <c r="A189">
        <v>193</v>
      </c>
      <c r="B189" t="s">
        <v>138</v>
      </c>
      <c r="C189" t="s">
        <v>129</v>
      </c>
      <c r="D189" t="s">
        <v>131</v>
      </c>
      <c r="E189" s="20">
        <v>46084</v>
      </c>
      <c r="F189" s="21" t="s">
        <v>226</v>
      </c>
      <c r="G189" s="25"/>
      <c r="H189" s="21" t="s">
        <v>74</v>
      </c>
      <c r="I189" s="22">
        <v>80000</v>
      </c>
      <c r="J189" s="21" t="s">
        <v>75</v>
      </c>
      <c r="K189" s="23">
        <v>46200.875</v>
      </c>
      <c r="L189" s="21">
        <v>654</v>
      </c>
      <c r="M189" s="22">
        <v>2711</v>
      </c>
      <c r="N189" s="24">
        <v>675</v>
      </c>
      <c r="O189" s="24">
        <v>1229.02</v>
      </c>
      <c r="P189" s="24">
        <v>2021.08</v>
      </c>
      <c r="Q189" s="21">
        <v>334</v>
      </c>
      <c r="R189" s="22">
        <v>10000</v>
      </c>
      <c r="S189" s="22">
        <v>22482</v>
      </c>
      <c r="T189" s="21">
        <v>4</v>
      </c>
      <c r="U189" s="21">
        <v>17</v>
      </c>
      <c r="V189" s="21">
        <v>42</v>
      </c>
      <c r="W189" s="23">
        <v>46275.583333333336</v>
      </c>
      <c r="X189" s="25"/>
      <c r="Y189" s="21">
        <v>0</v>
      </c>
      <c r="Z189" s="26">
        <v>22520</v>
      </c>
      <c r="AA189">
        <v>554.02</v>
      </c>
      <c r="AB189" s="18">
        <v>0.82077037037037037</v>
      </c>
      <c r="AC189" s="19">
        <v>1.8207703703703704</v>
      </c>
      <c r="AD189" s="19">
        <v>0.66666666666666663</v>
      </c>
      <c r="AE189" s="19">
        <v>0.94444444444444453</v>
      </c>
    </row>
    <row r="190" spans="1:31">
      <c r="A190">
        <v>194</v>
      </c>
      <c r="B190" t="s">
        <v>138</v>
      </c>
      <c r="C190" t="s">
        <v>129</v>
      </c>
      <c r="D190" t="s">
        <v>131</v>
      </c>
      <c r="E190" s="27">
        <v>46084</v>
      </c>
      <c r="F190" s="28" t="s">
        <v>226</v>
      </c>
      <c r="G190" s="32"/>
      <c r="H190" s="28" t="s">
        <v>74</v>
      </c>
      <c r="I190" s="29">
        <v>12000</v>
      </c>
      <c r="J190" s="28" t="s">
        <v>75</v>
      </c>
      <c r="K190" s="30">
        <v>46200.875</v>
      </c>
      <c r="L190" s="28">
        <v>123</v>
      </c>
      <c r="M190" s="28">
        <v>696</v>
      </c>
      <c r="N190" s="31">
        <v>31.5</v>
      </c>
      <c r="O190" s="31">
        <v>87.34</v>
      </c>
      <c r="P190" s="31">
        <v>166.42</v>
      </c>
      <c r="Q190" s="28">
        <v>0</v>
      </c>
      <c r="R190" s="28">
        <v>12</v>
      </c>
      <c r="S190" s="28">
        <v>33</v>
      </c>
      <c r="T190" s="28">
        <v>3</v>
      </c>
      <c r="U190" s="28">
        <v>3</v>
      </c>
      <c r="V190" s="28">
        <v>8</v>
      </c>
      <c r="W190" s="32"/>
      <c r="X190" s="32"/>
      <c r="Y190" s="28">
        <v>0</v>
      </c>
      <c r="Z190" s="35">
        <v>33</v>
      </c>
      <c r="AA190">
        <v>55.84</v>
      </c>
      <c r="AB190" s="18">
        <v>1.7726984126984129</v>
      </c>
      <c r="AC190" s="19">
        <v>2.7726984126984129</v>
      </c>
      <c r="AD190" s="19">
        <v>2.625</v>
      </c>
      <c r="AE190" s="19">
        <v>0.875</v>
      </c>
    </row>
    <row r="191" spans="1:31">
      <c r="A191">
        <v>195</v>
      </c>
      <c r="B191" t="s">
        <v>155</v>
      </c>
      <c r="C191" t="s">
        <v>151</v>
      </c>
      <c r="D191" t="s">
        <v>152</v>
      </c>
      <c r="E191" s="20">
        <v>46084</v>
      </c>
      <c r="F191" s="21" t="s">
        <v>227</v>
      </c>
      <c r="G191" s="25"/>
      <c r="H191" s="21" t="s">
        <v>85</v>
      </c>
      <c r="I191" s="22">
        <v>76100</v>
      </c>
      <c r="J191" s="21" t="s">
        <v>86</v>
      </c>
      <c r="K191" s="23">
        <v>46200.8125</v>
      </c>
      <c r="L191" s="21">
        <v>952</v>
      </c>
      <c r="M191" s="22">
        <v>5282</v>
      </c>
      <c r="N191" s="24">
        <v>1550.84</v>
      </c>
      <c r="O191" s="24">
        <v>3199.57</v>
      </c>
      <c r="P191" s="24">
        <v>8287.1</v>
      </c>
      <c r="Q191" s="21">
        <v>548</v>
      </c>
      <c r="R191" s="22">
        <v>14036</v>
      </c>
      <c r="S191" s="22">
        <v>32662</v>
      </c>
      <c r="T191" s="21">
        <v>2</v>
      </c>
      <c r="U191" s="21">
        <v>14</v>
      </c>
      <c r="V191" s="21">
        <v>51</v>
      </c>
      <c r="W191" s="23">
        <v>46275.625</v>
      </c>
      <c r="X191" s="25"/>
      <c r="Y191" s="21">
        <v>0</v>
      </c>
      <c r="Z191" s="26">
        <v>32727</v>
      </c>
      <c r="AA191">
        <v>1648.7300000000002</v>
      </c>
      <c r="AB191" s="18">
        <v>1.0631206313997579</v>
      </c>
      <c r="AC191" s="19">
        <v>2.0631206313997579</v>
      </c>
      <c r="AD191" s="19">
        <v>0.27450980392156865</v>
      </c>
      <c r="AE191" s="19">
        <v>0.64052287581699352</v>
      </c>
    </row>
    <row r="192" spans="1:31">
      <c r="A192">
        <v>196</v>
      </c>
      <c r="B192" t="s">
        <v>124</v>
      </c>
      <c r="C192" t="s">
        <v>154</v>
      </c>
      <c r="D192" t="s">
        <v>152</v>
      </c>
      <c r="E192" s="27">
        <v>46084</v>
      </c>
      <c r="F192" s="28" t="s">
        <v>228</v>
      </c>
      <c r="G192" s="32"/>
      <c r="H192" s="28" t="s">
        <v>79</v>
      </c>
      <c r="I192" s="29">
        <v>71000</v>
      </c>
      <c r="J192" s="28" t="s">
        <v>80</v>
      </c>
      <c r="K192" s="30">
        <v>46200.8125</v>
      </c>
      <c r="L192" s="28">
        <v>691</v>
      </c>
      <c r="M192" s="29">
        <v>2937</v>
      </c>
      <c r="N192" s="31">
        <v>192</v>
      </c>
      <c r="O192" s="31">
        <v>441</v>
      </c>
      <c r="P192" s="31">
        <v>1066.0899999999999</v>
      </c>
      <c r="Q192" s="28">
        <v>274</v>
      </c>
      <c r="R192" s="29">
        <v>8024</v>
      </c>
      <c r="S192" s="29">
        <v>15699</v>
      </c>
      <c r="T192" s="28">
        <v>2</v>
      </c>
      <c r="U192" s="28">
        <v>6</v>
      </c>
      <c r="V192" s="28">
        <v>27</v>
      </c>
      <c r="W192" s="30">
        <v>46275.625</v>
      </c>
      <c r="X192" s="32"/>
      <c r="Y192" s="28">
        <v>0</v>
      </c>
      <c r="Z192" s="33">
        <v>15720</v>
      </c>
      <c r="AA192">
        <v>249</v>
      </c>
      <c r="AB192" s="18">
        <v>1.296875</v>
      </c>
      <c r="AC192" s="19">
        <v>2.296875</v>
      </c>
      <c r="AD192" s="19">
        <v>0.51851851851851849</v>
      </c>
      <c r="AE192" s="19">
        <v>0.51851851851851849</v>
      </c>
    </row>
    <row r="193" spans="1:31">
      <c r="A193">
        <v>197</v>
      </c>
      <c r="B193" t="s">
        <v>229</v>
      </c>
      <c r="C193" t="s">
        <v>230</v>
      </c>
      <c r="D193" t="s">
        <v>231</v>
      </c>
      <c r="E193" s="20">
        <v>46084</v>
      </c>
      <c r="F193" s="21" t="s">
        <v>232</v>
      </c>
      <c r="G193" s="25"/>
      <c r="H193" s="21" t="s">
        <v>113</v>
      </c>
      <c r="I193" s="22">
        <v>70240</v>
      </c>
      <c r="J193" s="21" t="s">
        <v>114</v>
      </c>
      <c r="K193" s="23">
        <v>46201.5</v>
      </c>
      <c r="L193" s="21">
        <v>787</v>
      </c>
      <c r="M193" s="22">
        <v>3419</v>
      </c>
      <c r="N193" s="24">
        <v>551.42999999999995</v>
      </c>
      <c r="O193" s="24">
        <v>1075.92</v>
      </c>
      <c r="P193" s="24">
        <v>1853.86</v>
      </c>
      <c r="Q193" s="21">
        <v>531</v>
      </c>
      <c r="R193" s="22">
        <v>30649</v>
      </c>
      <c r="S193" s="22">
        <v>76466</v>
      </c>
      <c r="T193" s="21">
        <v>4</v>
      </c>
      <c r="U193" s="21">
        <v>9</v>
      </c>
      <c r="V193" s="21">
        <v>17</v>
      </c>
      <c r="W193" s="23">
        <v>46275.5</v>
      </c>
      <c r="X193" s="25"/>
      <c r="Y193" s="21">
        <v>1</v>
      </c>
      <c r="Z193" s="26">
        <v>76545</v>
      </c>
      <c r="AA193">
        <v>524.49000000000012</v>
      </c>
      <c r="AB193" s="18">
        <v>0.95114520428703586</v>
      </c>
      <c r="AC193" s="19">
        <v>1.9511452042870359</v>
      </c>
      <c r="AD193" s="19">
        <v>1.6470588235294119</v>
      </c>
      <c r="AE193" s="19">
        <v>1.2352941176470589</v>
      </c>
    </row>
    <row r="194" spans="1:31">
      <c r="A194">
        <v>198</v>
      </c>
      <c r="B194" t="s">
        <v>233</v>
      </c>
      <c r="C194" t="s">
        <v>234</v>
      </c>
      <c r="D194" t="s">
        <v>231</v>
      </c>
      <c r="E194" s="27">
        <v>46084</v>
      </c>
      <c r="F194" s="28" t="s">
        <v>235</v>
      </c>
      <c r="G194" s="32"/>
      <c r="H194" s="28" t="s">
        <v>127</v>
      </c>
      <c r="I194" s="29">
        <v>68756</v>
      </c>
      <c r="J194" s="28" t="s">
        <v>128</v>
      </c>
      <c r="K194" s="30">
        <v>46202.6875</v>
      </c>
      <c r="L194" s="28">
        <v>666</v>
      </c>
      <c r="M194" s="29">
        <v>2884</v>
      </c>
      <c r="N194" s="31">
        <v>535.04</v>
      </c>
      <c r="O194" s="31">
        <v>979.06</v>
      </c>
      <c r="P194" s="31">
        <v>1778.54</v>
      </c>
      <c r="Q194" s="28">
        <v>122</v>
      </c>
      <c r="R194" s="29">
        <v>3674</v>
      </c>
      <c r="S194" s="29">
        <v>9715</v>
      </c>
      <c r="T194" s="28">
        <v>2</v>
      </c>
      <c r="U194" s="28">
        <v>5</v>
      </c>
      <c r="V194" s="28">
        <v>18</v>
      </c>
      <c r="W194" s="30">
        <v>46275.625</v>
      </c>
      <c r="X194" s="32"/>
      <c r="Y194" s="28">
        <v>0</v>
      </c>
      <c r="Z194" s="33">
        <v>9735</v>
      </c>
      <c r="AA194">
        <v>444.02</v>
      </c>
      <c r="AB194" s="18">
        <v>0.82988187799043067</v>
      </c>
      <c r="AC194" s="19">
        <v>1.8298818779904307</v>
      </c>
      <c r="AD194" s="19">
        <v>0.77777777777777768</v>
      </c>
      <c r="AE194" s="19">
        <v>0.64814814814814814</v>
      </c>
    </row>
    <row r="195" spans="1:31">
      <c r="A195">
        <v>199</v>
      </c>
      <c r="B195" t="s">
        <v>236</v>
      </c>
      <c r="C195" t="s">
        <v>237</v>
      </c>
      <c r="D195" t="s">
        <v>231</v>
      </c>
      <c r="E195" s="20">
        <v>46084</v>
      </c>
      <c r="F195" s="21" t="s">
        <v>238</v>
      </c>
      <c r="G195" s="25"/>
      <c r="H195" s="21" t="s">
        <v>100</v>
      </c>
      <c r="I195" s="22">
        <v>52237</v>
      </c>
      <c r="J195" s="21" t="s">
        <v>101</v>
      </c>
      <c r="K195" s="23">
        <v>46202.833333333336</v>
      </c>
      <c r="L195" s="21">
        <v>343</v>
      </c>
      <c r="M195" s="22">
        <v>1561</v>
      </c>
      <c r="N195" s="24">
        <v>488.93</v>
      </c>
      <c r="O195" s="24">
        <v>862.81</v>
      </c>
      <c r="P195" s="24">
        <v>1320</v>
      </c>
      <c r="Q195" s="21">
        <v>517</v>
      </c>
      <c r="R195" s="22">
        <v>27388</v>
      </c>
      <c r="S195" s="22">
        <v>71721</v>
      </c>
      <c r="T195" s="21">
        <v>4</v>
      </c>
      <c r="U195" s="21">
        <v>12</v>
      </c>
      <c r="V195" s="21">
        <v>21</v>
      </c>
      <c r="W195" s="23">
        <v>46275.541666666664</v>
      </c>
      <c r="X195" s="25"/>
      <c r="Y195" s="21">
        <v>0</v>
      </c>
      <c r="Z195" s="26">
        <v>71799</v>
      </c>
      <c r="AA195">
        <v>373.87999999999994</v>
      </c>
      <c r="AB195" s="18">
        <v>0.76469024195692625</v>
      </c>
      <c r="AC195" s="19">
        <v>1.7646902419569261</v>
      </c>
      <c r="AD195" s="19">
        <v>1.3333333333333333</v>
      </c>
      <c r="AE195" s="19">
        <v>1.3333333333333333</v>
      </c>
    </row>
    <row r="196" spans="1:31">
      <c r="A196">
        <v>200</v>
      </c>
      <c r="B196" t="s">
        <v>239</v>
      </c>
      <c r="C196" t="s">
        <v>240</v>
      </c>
      <c r="D196" t="s">
        <v>231</v>
      </c>
      <c r="E196" s="27">
        <v>46084</v>
      </c>
      <c r="F196" s="28" t="s">
        <v>241</v>
      </c>
      <c r="G196" s="32"/>
      <c r="H196" s="28" t="s">
        <v>62</v>
      </c>
      <c r="I196" s="29">
        <v>71500</v>
      </c>
      <c r="J196" s="28" t="s">
        <v>63</v>
      </c>
      <c r="K196" s="30">
        <v>46202.5</v>
      </c>
      <c r="L196" s="28">
        <v>744</v>
      </c>
      <c r="M196" s="29">
        <v>3234</v>
      </c>
      <c r="N196" s="31">
        <v>633.88</v>
      </c>
      <c r="O196" s="31">
        <v>1082.7</v>
      </c>
      <c r="P196" s="31">
        <v>1831.78</v>
      </c>
      <c r="Q196" s="28">
        <v>742</v>
      </c>
      <c r="R196" s="29">
        <v>30999</v>
      </c>
      <c r="S196" s="29">
        <v>82244</v>
      </c>
      <c r="T196" s="28">
        <v>2</v>
      </c>
      <c r="U196" s="28">
        <v>4</v>
      </c>
      <c r="V196" s="28">
        <v>12</v>
      </c>
      <c r="W196" s="30">
        <v>46275.583333333336</v>
      </c>
      <c r="X196" s="32"/>
      <c r="Y196" s="28">
        <v>0</v>
      </c>
      <c r="Z196" s="33">
        <v>82412</v>
      </c>
      <c r="AA196">
        <v>448.82000000000005</v>
      </c>
      <c r="AB196" s="18">
        <v>0.70805199722344936</v>
      </c>
      <c r="AC196" s="19">
        <v>1.7080519972234494</v>
      </c>
      <c r="AD196" s="19">
        <v>1.1666666666666667</v>
      </c>
      <c r="AE196" s="19">
        <v>0.77777777777777779</v>
      </c>
    </row>
    <row r="197" spans="1:31">
      <c r="A197">
        <v>201</v>
      </c>
      <c r="B197" t="s">
        <v>242</v>
      </c>
      <c r="C197" t="s">
        <v>243</v>
      </c>
      <c r="D197" t="s">
        <v>231</v>
      </c>
      <c r="E197" s="20">
        <v>46084</v>
      </c>
      <c r="F197" s="21" t="s">
        <v>244</v>
      </c>
      <c r="G197" s="25"/>
      <c r="H197" s="21" t="s">
        <v>91</v>
      </c>
      <c r="I197" s="22">
        <v>82500</v>
      </c>
      <c r="J197" s="21" t="s">
        <v>92</v>
      </c>
      <c r="K197" s="23">
        <v>46203.708333333336</v>
      </c>
      <c r="L197" s="21">
        <v>759</v>
      </c>
      <c r="M197" s="22">
        <v>3155</v>
      </c>
      <c r="N197" s="24">
        <v>648.48</v>
      </c>
      <c r="O197" s="24">
        <v>1000</v>
      </c>
      <c r="P197" s="24">
        <v>1695.75</v>
      </c>
      <c r="Q197" s="21">
        <v>159</v>
      </c>
      <c r="R197" s="22">
        <v>15768</v>
      </c>
      <c r="S197" s="22">
        <v>59062</v>
      </c>
      <c r="T197" s="21">
        <v>3</v>
      </c>
      <c r="U197" s="21">
        <v>11</v>
      </c>
      <c r="V197" s="21">
        <v>22</v>
      </c>
      <c r="W197" s="23">
        <v>46275.625</v>
      </c>
      <c r="X197" s="25"/>
      <c r="Y197" s="21">
        <v>0</v>
      </c>
      <c r="Z197" s="26">
        <v>59138</v>
      </c>
      <c r="AA197">
        <v>351.52</v>
      </c>
      <c r="AB197" s="18">
        <v>0.54206760424376998</v>
      </c>
      <c r="AC197" s="19">
        <v>1.54206760424377</v>
      </c>
      <c r="AD197" s="19">
        <v>0.95454545454545459</v>
      </c>
      <c r="AE197" s="19">
        <v>1.1666666666666667</v>
      </c>
    </row>
    <row r="198" spans="1:31">
      <c r="A198">
        <v>202</v>
      </c>
      <c r="B198" t="s">
        <v>245</v>
      </c>
      <c r="C198" t="s">
        <v>246</v>
      </c>
      <c r="D198" t="s">
        <v>231</v>
      </c>
      <c r="E198" s="27">
        <v>46084</v>
      </c>
      <c r="F198" s="28" t="s">
        <v>247</v>
      </c>
      <c r="G198" s="32"/>
      <c r="H198" s="28" t="s">
        <v>74</v>
      </c>
      <c r="I198" s="29">
        <v>80000</v>
      </c>
      <c r="J198" s="28" t="s">
        <v>75</v>
      </c>
      <c r="K198" s="30">
        <v>46203.5</v>
      </c>
      <c r="L198" s="28">
        <v>731</v>
      </c>
      <c r="M198" s="29">
        <v>3176</v>
      </c>
      <c r="N198" s="31">
        <v>491.79</v>
      </c>
      <c r="O198" s="31">
        <v>888.89</v>
      </c>
      <c r="P198" s="31">
        <v>1779.3</v>
      </c>
      <c r="Q198" s="28">
        <v>513</v>
      </c>
      <c r="R198" s="29">
        <v>27202</v>
      </c>
      <c r="S198" s="29">
        <v>71576</v>
      </c>
      <c r="T198" s="28">
        <v>2</v>
      </c>
      <c r="U198" s="28">
        <v>6</v>
      </c>
      <c r="V198" s="28">
        <v>14</v>
      </c>
      <c r="W198" s="30">
        <v>46275.583333333336</v>
      </c>
      <c r="X198" s="32"/>
      <c r="Y198" s="28">
        <v>0</v>
      </c>
      <c r="Z198" s="33">
        <v>71662</v>
      </c>
      <c r="AA198">
        <v>397.09999999999997</v>
      </c>
      <c r="AB198" s="18">
        <v>0.80745846804530375</v>
      </c>
      <c r="AC198" s="19">
        <v>1.8074584680453039</v>
      </c>
      <c r="AD198" s="19">
        <v>1</v>
      </c>
      <c r="AE198" s="19">
        <v>1</v>
      </c>
    </row>
    <row r="199" spans="1:31">
      <c r="A199">
        <v>203</v>
      </c>
      <c r="B199" t="s">
        <v>248</v>
      </c>
      <c r="C199" t="s">
        <v>249</v>
      </c>
      <c r="D199" t="s">
        <v>231</v>
      </c>
      <c r="E199" s="20">
        <v>46084</v>
      </c>
      <c r="F199" s="21" t="s">
        <v>250</v>
      </c>
      <c r="G199" s="25"/>
      <c r="H199" s="21" t="s">
        <v>56</v>
      </c>
      <c r="I199" s="22">
        <v>98500</v>
      </c>
      <c r="J199" s="21" t="s">
        <v>57</v>
      </c>
      <c r="K199" s="23">
        <v>46203.833333333336</v>
      </c>
      <c r="L199" s="21">
        <v>310</v>
      </c>
      <c r="M199" s="22">
        <v>1558</v>
      </c>
      <c r="N199" s="24">
        <v>763.25</v>
      </c>
      <c r="O199" s="24">
        <v>1110.2</v>
      </c>
      <c r="P199" s="24">
        <v>1830.22</v>
      </c>
      <c r="Q199" s="21">
        <v>119</v>
      </c>
      <c r="R199" s="22">
        <v>3707</v>
      </c>
      <c r="S199" s="22">
        <v>9531</v>
      </c>
      <c r="T199" s="21">
        <v>3</v>
      </c>
      <c r="U199" s="21">
        <v>14</v>
      </c>
      <c r="V199" s="21">
        <v>22</v>
      </c>
      <c r="W199" s="23">
        <v>46275.541666666664</v>
      </c>
      <c r="X199" s="25"/>
      <c r="Y199" s="21">
        <v>0</v>
      </c>
      <c r="Z199" s="26">
        <v>9550</v>
      </c>
      <c r="AA199">
        <v>346.95000000000005</v>
      </c>
      <c r="AB199" s="18">
        <v>0.45456927612184744</v>
      </c>
      <c r="AC199" s="19">
        <v>1.4545692761218474</v>
      </c>
      <c r="AD199" s="19">
        <v>0.95454545454545459</v>
      </c>
      <c r="AE199" s="19">
        <v>1.4848484848484849</v>
      </c>
    </row>
    <row r="200" spans="1:31">
      <c r="A200">
        <v>204</v>
      </c>
      <c r="B200" t="s">
        <v>252</v>
      </c>
      <c r="C200" t="s">
        <v>253</v>
      </c>
      <c r="D200" t="s">
        <v>231</v>
      </c>
      <c r="E200" s="27">
        <v>46084</v>
      </c>
      <c r="F200" s="28" t="s">
        <v>254</v>
      </c>
      <c r="G200" s="32"/>
      <c r="H200" s="28" t="s">
        <v>79</v>
      </c>
      <c r="I200" s="29">
        <v>71000</v>
      </c>
      <c r="J200" s="28" t="s">
        <v>80</v>
      </c>
      <c r="K200" s="30">
        <v>46204.5</v>
      </c>
      <c r="L200" s="28">
        <v>706</v>
      </c>
      <c r="M200" s="29">
        <v>3101</v>
      </c>
      <c r="N200" s="31">
        <v>504.02</v>
      </c>
      <c r="O200" s="31">
        <v>1010.7</v>
      </c>
      <c r="P200" s="31">
        <v>1898.32</v>
      </c>
      <c r="Q200" s="28">
        <v>124</v>
      </c>
      <c r="R200" s="29">
        <v>3747</v>
      </c>
      <c r="S200" s="29">
        <v>9680</v>
      </c>
      <c r="T200" s="28">
        <v>2</v>
      </c>
      <c r="U200" s="28">
        <v>6</v>
      </c>
      <c r="V200" s="28">
        <v>18</v>
      </c>
      <c r="W200" s="30">
        <v>46275.625</v>
      </c>
      <c r="X200" s="32"/>
      <c r="Y200" s="28">
        <v>0</v>
      </c>
      <c r="Z200" s="33">
        <v>9695</v>
      </c>
      <c r="AA200">
        <v>506.68000000000006</v>
      </c>
      <c r="AB200" s="18">
        <v>1.0052775683504624</v>
      </c>
      <c r="AC200" s="19">
        <v>2.0052775683504622</v>
      </c>
      <c r="AD200" s="19">
        <v>0.77777777777777768</v>
      </c>
      <c r="AE200" s="19">
        <v>0.77777777777777768</v>
      </c>
    </row>
    <row r="201" spans="1:31">
      <c r="A201">
        <v>205</v>
      </c>
      <c r="B201" t="s">
        <v>255</v>
      </c>
      <c r="C201" t="s">
        <v>256</v>
      </c>
      <c r="D201" t="s">
        <v>231</v>
      </c>
      <c r="E201" s="20">
        <v>46084</v>
      </c>
      <c r="F201" s="21" t="s">
        <v>257</v>
      </c>
      <c r="G201" s="25"/>
      <c r="H201" s="21" t="s">
        <v>140</v>
      </c>
      <c r="I201" s="22">
        <v>75000</v>
      </c>
      <c r="J201" s="21" t="s">
        <v>141</v>
      </c>
      <c r="K201" s="23">
        <v>46204.708333333336</v>
      </c>
      <c r="L201" s="21">
        <v>844</v>
      </c>
      <c r="M201" s="22">
        <v>3572</v>
      </c>
      <c r="N201" s="24">
        <v>632.9</v>
      </c>
      <c r="O201" s="24">
        <v>1076.26</v>
      </c>
      <c r="P201" s="24">
        <v>2046.88</v>
      </c>
      <c r="Q201" s="21">
        <v>516</v>
      </c>
      <c r="R201" s="22">
        <v>26813</v>
      </c>
      <c r="S201" s="22">
        <v>70072</v>
      </c>
      <c r="T201" s="21">
        <v>3</v>
      </c>
      <c r="U201" s="21">
        <v>13</v>
      </c>
      <c r="V201" s="21">
        <v>23</v>
      </c>
      <c r="W201" s="23">
        <v>46275.5</v>
      </c>
      <c r="X201" s="25"/>
      <c r="Y201" s="21">
        <v>0</v>
      </c>
      <c r="Z201" s="26">
        <v>70154</v>
      </c>
      <c r="AA201">
        <v>443.36</v>
      </c>
      <c r="AB201" s="18">
        <v>0.700521409385369</v>
      </c>
      <c r="AC201" s="19">
        <v>1.7005214093853689</v>
      </c>
      <c r="AD201" s="19">
        <v>0.91304347826086962</v>
      </c>
      <c r="AE201" s="19">
        <v>1.3188405797101448</v>
      </c>
    </row>
    <row r="202" spans="1:31">
      <c r="A202">
        <v>206</v>
      </c>
      <c r="B202" t="s">
        <v>255</v>
      </c>
      <c r="C202" t="s">
        <v>256</v>
      </c>
      <c r="D202" t="s">
        <v>231</v>
      </c>
      <c r="E202" s="27">
        <v>46084</v>
      </c>
      <c r="F202" s="28" t="s">
        <v>257</v>
      </c>
      <c r="G202" s="32"/>
      <c r="H202" s="28" t="s">
        <v>140</v>
      </c>
      <c r="I202" s="29">
        <v>31600</v>
      </c>
      <c r="J202" s="28" t="s">
        <v>141</v>
      </c>
      <c r="K202" s="30">
        <v>46204.708333333336</v>
      </c>
      <c r="L202" s="28">
        <v>17</v>
      </c>
      <c r="M202" s="28">
        <v>73</v>
      </c>
      <c r="N202" s="31">
        <v>19.8</v>
      </c>
      <c r="O202" s="31">
        <v>87.41</v>
      </c>
      <c r="P202" s="31">
        <v>145.6</v>
      </c>
      <c r="Q202" s="28">
        <v>0</v>
      </c>
      <c r="R202" s="28">
        <v>17</v>
      </c>
      <c r="S202" s="28">
        <v>29</v>
      </c>
      <c r="T202" s="28">
        <v>1</v>
      </c>
      <c r="U202" s="28">
        <v>7</v>
      </c>
      <c r="V202" s="28">
        <v>8</v>
      </c>
      <c r="W202" s="32"/>
      <c r="X202" s="32"/>
      <c r="Y202" s="28">
        <v>0</v>
      </c>
      <c r="Z202" s="35">
        <v>29</v>
      </c>
      <c r="AA202">
        <v>67.61</v>
      </c>
      <c r="AB202" s="18">
        <v>3.4146464646464647</v>
      </c>
      <c r="AC202" s="19">
        <v>4.4146464646464647</v>
      </c>
      <c r="AD202" s="19">
        <v>0.875</v>
      </c>
      <c r="AE202" s="19">
        <v>2.041666666666667</v>
      </c>
    </row>
    <row r="203" spans="1:31">
      <c r="A203">
        <v>207</v>
      </c>
      <c r="B203" t="s">
        <v>258</v>
      </c>
      <c r="C203" t="s">
        <v>259</v>
      </c>
      <c r="D203" t="s">
        <v>231</v>
      </c>
      <c r="E203" s="20">
        <v>46084</v>
      </c>
      <c r="F203" s="21" t="s">
        <v>260</v>
      </c>
      <c r="G203" s="25"/>
      <c r="H203" s="21" t="s">
        <v>118</v>
      </c>
      <c r="I203" s="22">
        <v>67000</v>
      </c>
      <c r="J203" s="21" t="s">
        <v>119</v>
      </c>
      <c r="K203" s="23">
        <v>46204.541666666664</v>
      </c>
      <c r="L203" s="21">
        <v>704</v>
      </c>
      <c r="M203" s="22">
        <v>3079</v>
      </c>
      <c r="N203" s="24">
        <v>421.81</v>
      </c>
      <c r="O203" s="24">
        <v>829.98</v>
      </c>
      <c r="P203" s="24">
        <v>1582.28</v>
      </c>
      <c r="Q203" s="21">
        <v>496</v>
      </c>
      <c r="R203" s="22">
        <v>26507</v>
      </c>
      <c r="S203" s="22">
        <v>69323</v>
      </c>
      <c r="T203" s="21">
        <v>2</v>
      </c>
      <c r="U203" s="21">
        <v>10</v>
      </c>
      <c r="V203" s="21">
        <v>18</v>
      </c>
      <c r="W203" s="23">
        <v>46275.5</v>
      </c>
      <c r="X203" s="25"/>
      <c r="Y203" s="21">
        <v>0</v>
      </c>
      <c r="Z203" s="26">
        <v>69401</v>
      </c>
      <c r="AA203">
        <v>408.17</v>
      </c>
      <c r="AB203" s="18">
        <v>0.96766316588037271</v>
      </c>
      <c r="AC203" s="19">
        <v>1.9676631658803727</v>
      </c>
      <c r="AD203" s="19">
        <v>0.77777777777777768</v>
      </c>
      <c r="AE203" s="19">
        <v>1.2962962962962963</v>
      </c>
    </row>
    <row r="204" spans="1:31">
      <c r="A204">
        <v>208</v>
      </c>
      <c r="B204" t="s">
        <v>261</v>
      </c>
      <c r="C204" t="s">
        <v>262</v>
      </c>
      <c r="D204" t="s">
        <v>231</v>
      </c>
      <c r="E204" s="27">
        <v>46084</v>
      </c>
      <c r="F204" s="28" t="s">
        <v>263</v>
      </c>
      <c r="G204" s="32"/>
      <c r="H204" s="28" t="s">
        <v>146</v>
      </c>
      <c r="I204" s="29">
        <v>30000</v>
      </c>
      <c r="J204" s="28" t="s">
        <v>147</v>
      </c>
      <c r="K204" s="30">
        <v>46205.791666666664</v>
      </c>
      <c r="L204" s="28">
        <v>338</v>
      </c>
      <c r="M204" s="29">
        <v>1523</v>
      </c>
      <c r="N204" s="31">
        <v>990.3</v>
      </c>
      <c r="O204" s="31">
        <v>1974.04</v>
      </c>
      <c r="P204" s="31">
        <v>3036.43</v>
      </c>
      <c r="Q204" s="28">
        <v>561</v>
      </c>
      <c r="R204" s="29">
        <v>29066</v>
      </c>
      <c r="S204" s="29">
        <v>76100</v>
      </c>
      <c r="T204" s="28">
        <v>1</v>
      </c>
      <c r="U204" s="28">
        <v>10</v>
      </c>
      <c r="V204" s="28">
        <v>19</v>
      </c>
      <c r="W204" s="30">
        <v>46275.5</v>
      </c>
      <c r="X204" s="32"/>
      <c r="Y204" s="28">
        <v>0</v>
      </c>
      <c r="Z204" s="33">
        <v>76193</v>
      </c>
      <c r="AA204">
        <v>983.74</v>
      </c>
      <c r="AB204" s="18">
        <v>0.99337574472382117</v>
      </c>
      <c r="AC204" s="19">
        <v>1.9933757447238212</v>
      </c>
      <c r="AD204" s="19">
        <v>0.36842105263157893</v>
      </c>
      <c r="AE204" s="19">
        <v>1.2280701754385965</v>
      </c>
    </row>
    <row r="205" spans="1:31">
      <c r="A205">
        <v>209</v>
      </c>
      <c r="B205" t="s">
        <v>264</v>
      </c>
      <c r="C205" t="s">
        <v>265</v>
      </c>
      <c r="D205" t="s">
        <v>231</v>
      </c>
      <c r="E205" s="20">
        <v>46084</v>
      </c>
      <c r="F205" s="21" t="s">
        <v>266</v>
      </c>
      <c r="G205" s="25"/>
      <c r="H205" s="21" t="s">
        <v>113</v>
      </c>
      <c r="I205" s="22">
        <v>70240</v>
      </c>
      <c r="J205" s="21" t="s">
        <v>114</v>
      </c>
      <c r="K205" s="23">
        <v>46205.5</v>
      </c>
      <c r="L205" s="21">
        <v>724</v>
      </c>
      <c r="M205" s="22">
        <v>3033</v>
      </c>
      <c r="N205" s="24">
        <v>662.17</v>
      </c>
      <c r="O205" s="24">
        <v>1200</v>
      </c>
      <c r="P205" s="24">
        <v>1940.24</v>
      </c>
      <c r="Q205" s="21">
        <v>141</v>
      </c>
      <c r="R205" s="22">
        <v>4617</v>
      </c>
      <c r="S205" s="22">
        <v>12348</v>
      </c>
      <c r="T205" s="21">
        <v>4</v>
      </c>
      <c r="U205" s="21">
        <v>10</v>
      </c>
      <c r="V205" s="21">
        <v>20</v>
      </c>
      <c r="W205" s="23">
        <v>46275.5</v>
      </c>
      <c r="X205" s="25"/>
      <c r="Y205" s="21">
        <v>1</v>
      </c>
      <c r="Z205" s="26">
        <v>12365</v>
      </c>
      <c r="AA205">
        <v>537.83000000000004</v>
      </c>
      <c r="AB205" s="18">
        <v>0.81222344715103378</v>
      </c>
      <c r="AC205" s="19">
        <v>1.8122234471510339</v>
      </c>
      <c r="AD205" s="19">
        <v>1.4</v>
      </c>
      <c r="AE205" s="19">
        <v>1.1666666666666667</v>
      </c>
    </row>
    <row r="206" spans="1:31">
      <c r="A206">
        <v>210</v>
      </c>
      <c r="B206" t="s">
        <v>267</v>
      </c>
      <c r="C206" t="s">
        <v>268</v>
      </c>
      <c r="D206" t="s">
        <v>231</v>
      </c>
      <c r="E206" s="27">
        <v>46084</v>
      </c>
      <c r="F206" s="28" t="s">
        <v>269</v>
      </c>
      <c r="G206" s="32"/>
      <c r="H206" s="28" t="s">
        <v>164</v>
      </c>
      <c r="I206" s="29">
        <v>54500</v>
      </c>
      <c r="J206" s="28" t="s">
        <v>165</v>
      </c>
      <c r="K206" s="30">
        <v>46205.833333333336</v>
      </c>
      <c r="L206" s="28">
        <v>557</v>
      </c>
      <c r="M206" s="29">
        <v>2546</v>
      </c>
      <c r="N206" s="31">
        <v>634.79</v>
      </c>
      <c r="O206" s="31">
        <v>1117.31</v>
      </c>
      <c r="P206" s="31">
        <v>1837.24</v>
      </c>
      <c r="Q206" s="28">
        <v>927</v>
      </c>
      <c r="R206" s="29">
        <v>40938</v>
      </c>
      <c r="S206" s="29">
        <v>111341</v>
      </c>
      <c r="T206" s="28">
        <v>1</v>
      </c>
      <c r="U206" s="28">
        <v>4</v>
      </c>
      <c r="V206" s="28">
        <v>7</v>
      </c>
      <c r="W206" s="30">
        <v>46275.375</v>
      </c>
      <c r="X206" s="32"/>
      <c r="Y206" s="28">
        <v>0</v>
      </c>
      <c r="Z206" s="33">
        <v>111573</v>
      </c>
      <c r="AA206">
        <v>482.52</v>
      </c>
      <c r="AB206" s="18">
        <v>0.7601253958001859</v>
      </c>
      <c r="AC206" s="19">
        <v>1.7601253958001859</v>
      </c>
      <c r="AD206" s="19">
        <v>1</v>
      </c>
      <c r="AE206" s="19">
        <v>1.3333333333333333</v>
      </c>
    </row>
    <row r="207" spans="1:31">
      <c r="A207">
        <v>211</v>
      </c>
      <c r="B207" t="s">
        <v>270</v>
      </c>
      <c r="C207" t="s">
        <v>271</v>
      </c>
      <c r="D207" t="s">
        <v>231</v>
      </c>
      <c r="E207" s="20">
        <v>46084</v>
      </c>
      <c r="F207" s="21" t="s">
        <v>272</v>
      </c>
      <c r="G207" s="25"/>
      <c r="H207" s="21" t="s">
        <v>85</v>
      </c>
      <c r="I207" s="22">
        <v>76100</v>
      </c>
      <c r="J207" s="21" t="s">
        <v>86</v>
      </c>
      <c r="K207" s="23">
        <v>46206.75</v>
      </c>
      <c r="L207" s="21">
        <v>704</v>
      </c>
      <c r="M207" s="22">
        <v>3559</v>
      </c>
      <c r="N207" s="24">
        <v>1364</v>
      </c>
      <c r="O207" s="24">
        <v>2391.92</v>
      </c>
      <c r="P207" s="24">
        <v>4500</v>
      </c>
      <c r="Q207" s="21">
        <v>937</v>
      </c>
      <c r="R207" s="22">
        <v>42134</v>
      </c>
      <c r="S207" s="22">
        <v>114773</v>
      </c>
      <c r="T207" s="21">
        <v>2</v>
      </c>
      <c r="U207" s="21">
        <v>11</v>
      </c>
      <c r="V207" s="21">
        <v>29</v>
      </c>
      <c r="W207" s="23">
        <v>46275.625</v>
      </c>
      <c r="X207" s="25"/>
      <c r="Y207" s="21">
        <v>0</v>
      </c>
      <c r="Z207" s="26">
        <v>115002</v>
      </c>
      <c r="AA207">
        <v>1027.92</v>
      </c>
      <c r="AB207" s="18">
        <v>0.75360703812316721</v>
      </c>
      <c r="AC207" s="19">
        <v>1.7536070381231672</v>
      </c>
      <c r="AD207" s="19">
        <v>0.48275862068965514</v>
      </c>
      <c r="AE207" s="19">
        <v>0.88505747126436773</v>
      </c>
    </row>
    <row r="208" spans="1:31">
      <c r="A208">
        <v>212</v>
      </c>
      <c r="B208" t="s">
        <v>273</v>
      </c>
      <c r="C208" t="s">
        <v>274</v>
      </c>
      <c r="D208" t="s">
        <v>231</v>
      </c>
      <c r="E208" s="27">
        <v>46084</v>
      </c>
      <c r="F208" s="28" t="s">
        <v>275</v>
      </c>
      <c r="G208" s="32"/>
      <c r="H208" s="28" t="s">
        <v>68</v>
      </c>
      <c r="I208" s="29">
        <v>76416</v>
      </c>
      <c r="J208" s="28" t="s">
        <v>69</v>
      </c>
      <c r="K208" s="30">
        <v>46206.854166666664</v>
      </c>
      <c r="L208" s="28">
        <v>805</v>
      </c>
      <c r="M208" s="29">
        <v>3450</v>
      </c>
      <c r="N208" s="31">
        <v>585</v>
      </c>
      <c r="O208" s="31">
        <v>973.7</v>
      </c>
      <c r="P208" s="31">
        <v>1993.79</v>
      </c>
      <c r="Q208" s="28">
        <v>588</v>
      </c>
      <c r="R208" s="29">
        <v>18232</v>
      </c>
      <c r="S208" s="29">
        <v>51980</v>
      </c>
      <c r="T208" s="28">
        <v>9</v>
      </c>
      <c r="U208" s="28">
        <v>14</v>
      </c>
      <c r="V208" s="28">
        <v>23</v>
      </c>
      <c r="W208" s="30">
        <v>46275.583333333336</v>
      </c>
      <c r="X208" s="32"/>
      <c r="Y208" s="28">
        <v>1</v>
      </c>
      <c r="Z208" s="33">
        <v>52143</v>
      </c>
      <c r="AA208">
        <v>388.70000000000005</v>
      </c>
      <c r="AB208" s="18">
        <v>0.6644444444444445</v>
      </c>
      <c r="AC208" s="19">
        <v>1.6644444444444446</v>
      </c>
      <c r="AD208" s="19">
        <v>2.7391304347826089</v>
      </c>
      <c r="AE208" s="19">
        <v>1.4202898550724639</v>
      </c>
    </row>
    <row r="209" spans="1:31">
      <c r="A209">
        <v>213</v>
      </c>
      <c r="B209" t="s">
        <v>276</v>
      </c>
      <c r="C209" t="s">
        <v>277</v>
      </c>
      <c r="D209" t="s">
        <v>231</v>
      </c>
      <c r="E209" s="20">
        <v>46084</v>
      </c>
      <c r="F209" s="21" t="s">
        <v>278</v>
      </c>
      <c r="G209" s="25"/>
      <c r="H209" s="21" t="s">
        <v>74</v>
      </c>
      <c r="I209" s="22">
        <v>80000</v>
      </c>
      <c r="J209" s="21" t="s">
        <v>75</v>
      </c>
      <c r="K209" s="23">
        <v>46206.541666666664</v>
      </c>
      <c r="L209" s="21">
        <v>687</v>
      </c>
      <c r="M209" s="22">
        <v>3017</v>
      </c>
      <c r="N209" s="24">
        <v>516.6</v>
      </c>
      <c r="O209" s="24">
        <v>884.45</v>
      </c>
      <c r="P209" s="24">
        <v>1396.5</v>
      </c>
      <c r="Q209" s="21">
        <v>945</v>
      </c>
      <c r="R209" s="22">
        <v>41577</v>
      </c>
      <c r="S209" s="22">
        <v>113431</v>
      </c>
      <c r="T209" s="21">
        <v>0</v>
      </c>
      <c r="U209" s="21">
        <v>2</v>
      </c>
      <c r="V209" s="21">
        <v>14</v>
      </c>
      <c r="W209" s="23">
        <v>46275.583333333336</v>
      </c>
      <c r="X209" s="25"/>
      <c r="Y209" s="21">
        <v>0</v>
      </c>
      <c r="Z209" s="26">
        <v>113659</v>
      </c>
      <c r="AA209">
        <v>367.85</v>
      </c>
      <c r="AB209" s="18">
        <v>0.71205962059620598</v>
      </c>
      <c r="AC209" s="19">
        <v>1.712059620596206</v>
      </c>
      <c r="AD209" s="19">
        <v>0</v>
      </c>
      <c r="AE209" s="19">
        <v>0.33333333333333331</v>
      </c>
    </row>
    <row r="210" spans="1:31">
      <c r="A210">
        <v>214</v>
      </c>
      <c r="B210" t="s">
        <v>279</v>
      </c>
      <c r="C210" t="s">
        <v>280</v>
      </c>
      <c r="D210" t="s">
        <v>281</v>
      </c>
      <c r="E210" s="27">
        <v>46084</v>
      </c>
      <c r="F210" s="28" t="s">
        <v>282</v>
      </c>
      <c r="G210" s="32"/>
      <c r="H210" s="28" t="s">
        <v>171</v>
      </c>
      <c r="I210" s="29">
        <v>69176</v>
      </c>
      <c r="J210" s="28" t="s">
        <v>172</v>
      </c>
      <c r="K210" s="30">
        <v>46207.708333333336</v>
      </c>
      <c r="L210" s="28">
        <v>679</v>
      </c>
      <c r="M210" s="29">
        <v>2915</v>
      </c>
      <c r="N210" s="31">
        <v>846.07</v>
      </c>
      <c r="O210" s="31">
        <v>1664.56</v>
      </c>
      <c r="P210" s="31">
        <v>2646.74</v>
      </c>
      <c r="Q210" s="28">
        <v>581</v>
      </c>
      <c r="R210" s="29">
        <v>19351</v>
      </c>
      <c r="S210" s="29">
        <v>54700</v>
      </c>
      <c r="T210" s="28">
        <v>4</v>
      </c>
      <c r="U210" s="28">
        <v>8</v>
      </c>
      <c r="V210" s="28">
        <v>18</v>
      </c>
      <c r="W210" s="30">
        <v>46275.625</v>
      </c>
      <c r="X210" s="32"/>
      <c r="Y210" s="28">
        <v>0</v>
      </c>
      <c r="Z210" s="33">
        <v>54868</v>
      </c>
      <c r="AA210">
        <v>818.4899999999999</v>
      </c>
      <c r="AB210" s="18">
        <v>0.967402224402236</v>
      </c>
      <c r="AC210" s="19">
        <v>1.967402224402236</v>
      </c>
      <c r="AD210" s="19">
        <v>1.5555555555555554</v>
      </c>
      <c r="AE210" s="19">
        <v>1.037037037037037</v>
      </c>
    </row>
    <row r="211" spans="1:31">
      <c r="A211">
        <v>215</v>
      </c>
      <c r="B211" t="s">
        <v>284</v>
      </c>
      <c r="C211" t="s">
        <v>285</v>
      </c>
      <c r="D211" t="s">
        <v>281</v>
      </c>
      <c r="E211" s="20">
        <v>46084</v>
      </c>
      <c r="F211" s="21" t="s">
        <v>286</v>
      </c>
      <c r="G211" s="25"/>
      <c r="H211" s="21" t="s">
        <v>62</v>
      </c>
      <c r="I211" s="22">
        <v>71500</v>
      </c>
      <c r="J211" s="21" t="s">
        <v>63</v>
      </c>
      <c r="K211" s="23">
        <v>46207.5</v>
      </c>
      <c r="L211" s="21">
        <v>809</v>
      </c>
      <c r="M211" s="22">
        <v>3529</v>
      </c>
      <c r="N211" s="24">
        <v>715.5</v>
      </c>
      <c r="O211" s="24">
        <v>1462.86</v>
      </c>
      <c r="P211" s="24">
        <v>2551.86</v>
      </c>
      <c r="Q211" s="21">
        <v>588</v>
      </c>
      <c r="R211" s="22">
        <v>19225</v>
      </c>
      <c r="S211" s="22">
        <v>54696</v>
      </c>
      <c r="T211" s="21">
        <v>3</v>
      </c>
      <c r="U211" s="21">
        <v>11</v>
      </c>
      <c r="V211" s="21">
        <v>21</v>
      </c>
      <c r="W211" s="23">
        <v>46275.583333333336</v>
      </c>
      <c r="X211" s="25"/>
      <c r="Y211" s="21">
        <v>0</v>
      </c>
      <c r="Z211" s="26">
        <v>54863</v>
      </c>
      <c r="AA211">
        <v>747.3599999999999</v>
      </c>
      <c r="AB211" s="18">
        <v>1.0445283018867924</v>
      </c>
      <c r="AC211" s="19">
        <v>2.0445283018867921</v>
      </c>
      <c r="AD211" s="19">
        <v>1</v>
      </c>
      <c r="AE211" s="19">
        <v>1.2222222222222221</v>
      </c>
    </row>
    <row r="212" spans="1:31">
      <c r="A212">
        <v>216</v>
      </c>
      <c r="B212" t="s">
        <v>287</v>
      </c>
      <c r="C212" t="s">
        <v>288</v>
      </c>
      <c r="D212" t="s">
        <v>281</v>
      </c>
      <c r="E212" s="27">
        <v>46084</v>
      </c>
      <c r="F212" s="28" t="s">
        <v>289</v>
      </c>
      <c r="G212" s="32"/>
      <c r="H212" s="28" t="s">
        <v>91</v>
      </c>
      <c r="I212" s="29">
        <v>82500</v>
      </c>
      <c r="J212" s="28" t="s">
        <v>92</v>
      </c>
      <c r="K212" s="30">
        <v>46208.666666666664</v>
      </c>
      <c r="L212" s="28">
        <v>741</v>
      </c>
      <c r="M212" s="29">
        <v>3136</v>
      </c>
      <c r="N212" s="31">
        <v>857.54</v>
      </c>
      <c r="O212" s="31">
        <v>1600.02</v>
      </c>
      <c r="P212" s="31">
        <v>2500.61</v>
      </c>
      <c r="Q212" s="28">
        <v>976</v>
      </c>
      <c r="R212" s="29">
        <v>42114</v>
      </c>
      <c r="S212" s="29">
        <v>114580</v>
      </c>
      <c r="T212" s="28">
        <v>4</v>
      </c>
      <c r="U212" s="28">
        <v>9</v>
      </c>
      <c r="V212" s="28">
        <v>20</v>
      </c>
      <c r="W212" s="30">
        <v>46275.625</v>
      </c>
      <c r="X212" s="32"/>
      <c r="Y212" s="28">
        <v>0</v>
      </c>
      <c r="Z212" s="33">
        <v>114812</v>
      </c>
      <c r="AA212">
        <v>742.48</v>
      </c>
      <c r="AB212" s="18">
        <v>0.8658255008512723</v>
      </c>
      <c r="AC212" s="19">
        <v>1.8658255008512723</v>
      </c>
      <c r="AD212" s="19">
        <v>1.4</v>
      </c>
      <c r="AE212" s="19">
        <v>1.05</v>
      </c>
    </row>
    <row r="213" spans="1:31">
      <c r="A213">
        <v>217</v>
      </c>
      <c r="B213" t="s">
        <v>290</v>
      </c>
      <c r="C213" t="s">
        <v>291</v>
      </c>
      <c r="D213" t="s">
        <v>281</v>
      </c>
      <c r="E213" s="20">
        <v>46084</v>
      </c>
      <c r="F213" s="21" t="s">
        <v>292</v>
      </c>
      <c r="G213" s="25"/>
      <c r="H213" s="21" t="s">
        <v>56</v>
      </c>
      <c r="I213" s="22">
        <v>98500</v>
      </c>
      <c r="J213" s="21" t="s">
        <v>57</v>
      </c>
      <c r="K213" s="23">
        <v>46208.791666666664</v>
      </c>
      <c r="L213" s="21">
        <v>314</v>
      </c>
      <c r="M213" s="22">
        <v>1500</v>
      </c>
      <c r="N213" s="24">
        <v>855.4</v>
      </c>
      <c r="O213" s="24">
        <v>1436.18</v>
      </c>
      <c r="P213" s="24">
        <v>2000</v>
      </c>
      <c r="Q213" s="21">
        <v>922</v>
      </c>
      <c r="R213" s="22">
        <v>40974</v>
      </c>
      <c r="S213" s="22">
        <v>111232</v>
      </c>
      <c r="T213" s="21">
        <v>8</v>
      </c>
      <c r="U213" s="21">
        <v>15</v>
      </c>
      <c r="V213" s="21">
        <v>20</v>
      </c>
      <c r="W213" s="23">
        <v>46275.541666666664</v>
      </c>
      <c r="X213" s="25"/>
      <c r="Y213" s="21">
        <v>0</v>
      </c>
      <c r="Z213" s="26">
        <v>111458</v>
      </c>
      <c r="AA213">
        <v>580.78000000000009</v>
      </c>
      <c r="AB213" s="18">
        <v>0.6789572129997663</v>
      </c>
      <c r="AC213" s="19">
        <v>1.6789572129997663</v>
      </c>
      <c r="AD213" s="19">
        <v>2.8</v>
      </c>
      <c r="AE213" s="19">
        <v>1.75</v>
      </c>
    </row>
    <row r="214" spans="1:31">
      <c r="A214">
        <v>218</v>
      </c>
      <c r="B214" t="s">
        <v>293</v>
      </c>
      <c r="C214" t="s">
        <v>294</v>
      </c>
      <c r="D214" t="s">
        <v>281</v>
      </c>
      <c r="E214" s="27">
        <v>46084</v>
      </c>
      <c r="F214" s="28" t="s">
        <v>295</v>
      </c>
      <c r="G214" s="32"/>
      <c r="H214" s="28" t="s">
        <v>74</v>
      </c>
      <c r="I214" s="29">
        <v>80000</v>
      </c>
      <c r="J214" s="28" t="s">
        <v>75</v>
      </c>
      <c r="K214" s="30">
        <v>46209.583333333336</v>
      </c>
      <c r="L214" s="28">
        <v>684</v>
      </c>
      <c r="M214" s="29">
        <v>2979</v>
      </c>
      <c r="N214" s="31">
        <v>729.87</v>
      </c>
      <c r="O214" s="31">
        <v>1573.88</v>
      </c>
      <c r="P214" s="31">
        <v>2427.7600000000002</v>
      </c>
      <c r="Q214" s="28">
        <v>570</v>
      </c>
      <c r="R214" s="29">
        <v>18762</v>
      </c>
      <c r="S214" s="29">
        <v>57444</v>
      </c>
      <c r="T214" s="28">
        <v>0</v>
      </c>
      <c r="U214" s="28">
        <v>7</v>
      </c>
      <c r="V214" s="28">
        <v>17</v>
      </c>
      <c r="W214" s="30">
        <v>46275.583333333336</v>
      </c>
      <c r="X214" s="32"/>
      <c r="Y214" s="28">
        <v>0</v>
      </c>
      <c r="Z214" s="33">
        <v>57674</v>
      </c>
      <c r="AA214">
        <v>844.0100000000001</v>
      </c>
      <c r="AB214" s="18">
        <v>1.1563840135914616</v>
      </c>
      <c r="AC214" s="19">
        <v>2.1563840135914618</v>
      </c>
      <c r="AD214" s="19">
        <v>0</v>
      </c>
      <c r="AE214" s="19">
        <v>0.96078431372549034</v>
      </c>
    </row>
    <row r="215" spans="1:31">
      <c r="A215">
        <v>219</v>
      </c>
      <c r="B215" t="s">
        <v>296</v>
      </c>
      <c r="C215" t="s">
        <v>297</v>
      </c>
      <c r="D215" t="s">
        <v>281</v>
      </c>
      <c r="E215" s="20">
        <v>46084</v>
      </c>
      <c r="F215" s="21" t="s">
        <v>298</v>
      </c>
      <c r="G215" s="25"/>
      <c r="H215" s="21" t="s">
        <v>118</v>
      </c>
      <c r="I215" s="22">
        <v>67000</v>
      </c>
      <c r="J215" s="21" t="s">
        <v>119</v>
      </c>
      <c r="K215" s="23">
        <v>46209.708333333336</v>
      </c>
      <c r="L215" s="21">
        <v>684</v>
      </c>
      <c r="M215" s="22">
        <v>3005</v>
      </c>
      <c r="N215" s="24">
        <v>828.23</v>
      </c>
      <c r="O215" s="24">
        <v>1485.25</v>
      </c>
      <c r="P215" s="24">
        <v>2409.7800000000002</v>
      </c>
      <c r="Q215" s="21">
        <v>927</v>
      </c>
      <c r="R215" s="22">
        <v>40929</v>
      </c>
      <c r="S215" s="22">
        <v>111440</v>
      </c>
      <c r="T215" s="21">
        <v>1</v>
      </c>
      <c r="U215" s="21">
        <v>6</v>
      </c>
      <c r="V215" s="21">
        <v>13</v>
      </c>
      <c r="W215" s="23">
        <v>46275.5</v>
      </c>
      <c r="X215" s="25"/>
      <c r="Y215" s="21">
        <v>1</v>
      </c>
      <c r="Z215" s="26">
        <v>111668</v>
      </c>
      <c r="AA215">
        <v>657.02</v>
      </c>
      <c r="AB215" s="18">
        <v>0.7932820593313451</v>
      </c>
      <c r="AC215" s="19">
        <v>1.7932820593313452</v>
      </c>
      <c r="AD215" s="19">
        <v>0.53846153846153844</v>
      </c>
      <c r="AE215" s="19">
        <v>1.0769230769230769</v>
      </c>
    </row>
    <row r="216" spans="1:31">
      <c r="A216">
        <v>220</v>
      </c>
      <c r="B216" t="s">
        <v>299</v>
      </c>
      <c r="C216" t="s">
        <v>300</v>
      </c>
      <c r="D216" t="s">
        <v>281</v>
      </c>
      <c r="E216" s="27">
        <v>46084</v>
      </c>
      <c r="F216" s="28" t="s">
        <v>301</v>
      </c>
      <c r="G216" s="32"/>
      <c r="H216" s="28" t="s">
        <v>79</v>
      </c>
      <c r="I216" s="29">
        <v>71000</v>
      </c>
      <c r="J216" s="28" t="s">
        <v>80</v>
      </c>
      <c r="K216" s="30">
        <v>46210.5</v>
      </c>
      <c r="L216" s="28">
        <v>787</v>
      </c>
      <c r="M216" s="29">
        <v>3426</v>
      </c>
      <c r="N216" s="31">
        <v>801.76</v>
      </c>
      <c r="O216" s="31">
        <v>1467.24</v>
      </c>
      <c r="P216" s="31">
        <v>2699.1</v>
      </c>
      <c r="Q216" s="28">
        <v>917</v>
      </c>
      <c r="R216" s="29">
        <v>40823</v>
      </c>
      <c r="S216" s="29">
        <v>111175</v>
      </c>
      <c r="T216" s="28">
        <v>4</v>
      </c>
      <c r="U216" s="28">
        <v>9</v>
      </c>
      <c r="V216" s="28">
        <v>15</v>
      </c>
      <c r="W216" s="30">
        <v>46275.625</v>
      </c>
      <c r="X216" s="32"/>
      <c r="Y216" s="28">
        <v>0</v>
      </c>
      <c r="Z216" s="33">
        <v>111400</v>
      </c>
      <c r="AA216">
        <v>665.48</v>
      </c>
      <c r="AB216" s="18">
        <v>0.83002394731590501</v>
      </c>
      <c r="AC216" s="19">
        <v>1.830023947315905</v>
      </c>
      <c r="AD216" s="19">
        <v>1.8666666666666667</v>
      </c>
      <c r="AE216" s="19">
        <v>1.4000000000000001</v>
      </c>
    </row>
    <row r="217" spans="1:31">
      <c r="A217">
        <v>221</v>
      </c>
      <c r="B217" t="s">
        <v>302</v>
      </c>
      <c r="C217" t="s">
        <v>303</v>
      </c>
      <c r="D217" t="s">
        <v>281</v>
      </c>
      <c r="E217" s="20">
        <v>46084</v>
      </c>
      <c r="F217" s="21" t="s">
        <v>304</v>
      </c>
      <c r="G217" s="25"/>
      <c r="H217" s="21" t="s">
        <v>164</v>
      </c>
      <c r="I217" s="22">
        <v>54500</v>
      </c>
      <c r="J217" s="21" t="s">
        <v>165</v>
      </c>
      <c r="K217" s="23">
        <v>46210.541666666664</v>
      </c>
      <c r="L217" s="21">
        <v>595</v>
      </c>
      <c r="M217" s="22">
        <v>2598</v>
      </c>
      <c r="N217" s="24">
        <v>915.75</v>
      </c>
      <c r="O217" s="24">
        <v>1710.67</v>
      </c>
      <c r="P217" s="24">
        <v>2647.74</v>
      </c>
      <c r="Q217" s="21">
        <v>965</v>
      </c>
      <c r="R217" s="22">
        <v>42148</v>
      </c>
      <c r="S217" s="22">
        <v>115457</v>
      </c>
      <c r="T217" s="21">
        <v>1</v>
      </c>
      <c r="U217" s="21">
        <v>6</v>
      </c>
      <c r="V217" s="21">
        <v>16</v>
      </c>
      <c r="W217" s="23">
        <v>46275.375</v>
      </c>
      <c r="X217" s="25"/>
      <c r="Y217" s="21">
        <v>0</v>
      </c>
      <c r="Z217" s="26">
        <v>115693</v>
      </c>
      <c r="AA217">
        <v>794.92000000000007</v>
      </c>
      <c r="AB217" s="18">
        <v>0.86805350805350812</v>
      </c>
      <c r="AC217" s="19">
        <v>1.8680535080535081</v>
      </c>
      <c r="AD217" s="19">
        <v>0.4375</v>
      </c>
      <c r="AE217" s="19">
        <v>0.875</v>
      </c>
    </row>
    <row r="218" spans="1:31">
      <c r="A218">
        <v>222</v>
      </c>
      <c r="B218" t="s">
        <v>305</v>
      </c>
      <c r="C218" t="s">
        <v>306</v>
      </c>
      <c r="D218" t="s">
        <v>66</v>
      </c>
      <c r="E218" s="27">
        <v>46084</v>
      </c>
      <c r="F218" s="28" t="s">
        <v>307</v>
      </c>
      <c r="G218" s="32"/>
      <c r="H218" s="28" t="s">
        <v>127</v>
      </c>
      <c r="I218" s="29">
        <v>68756</v>
      </c>
      <c r="J218" s="28" t="s">
        <v>128</v>
      </c>
      <c r="K218" s="30">
        <v>46212.666666666664</v>
      </c>
      <c r="L218" s="28">
        <v>611</v>
      </c>
      <c r="M218" s="29">
        <v>2751</v>
      </c>
      <c r="N218" s="31">
        <v>1182.05</v>
      </c>
      <c r="O218" s="31">
        <v>1973.25</v>
      </c>
      <c r="P218" s="31">
        <v>3181.5</v>
      </c>
      <c r="Q218" s="28">
        <v>506</v>
      </c>
      <c r="R218" s="29">
        <v>27108</v>
      </c>
      <c r="S218" s="29">
        <v>71542</v>
      </c>
      <c r="T218" s="28">
        <v>3</v>
      </c>
      <c r="U218" s="28">
        <v>8</v>
      </c>
      <c r="V218" s="28">
        <v>17</v>
      </c>
      <c r="W218" s="30">
        <v>46275.625</v>
      </c>
      <c r="X218" s="32"/>
      <c r="Y218" s="28">
        <v>0</v>
      </c>
      <c r="Z218" s="33">
        <v>71626</v>
      </c>
      <c r="AA218">
        <v>791.2</v>
      </c>
      <c r="AB218" s="18">
        <v>0.66934562835751454</v>
      </c>
      <c r="AC218" s="19">
        <v>1.6693456283575145</v>
      </c>
      <c r="AD218" s="19">
        <v>1.2352941176470589</v>
      </c>
      <c r="AE218" s="19">
        <v>1.0980392156862746</v>
      </c>
    </row>
    <row r="219" spans="1:31">
      <c r="A219">
        <v>223</v>
      </c>
      <c r="B219" t="s">
        <v>308</v>
      </c>
      <c r="C219" t="s">
        <v>309</v>
      </c>
      <c r="D219" t="s">
        <v>66</v>
      </c>
      <c r="E219" s="20">
        <v>46084</v>
      </c>
      <c r="F219" s="21" t="s">
        <v>310</v>
      </c>
      <c r="G219" s="25"/>
      <c r="H219" s="21" t="s">
        <v>113</v>
      </c>
      <c r="I219" s="22">
        <v>70240</v>
      </c>
      <c r="J219" s="21" t="s">
        <v>114</v>
      </c>
      <c r="K219" s="23">
        <v>46213.5</v>
      </c>
      <c r="L219" s="21">
        <v>760</v>
      </c>
      <c r="M219" s="22">
        <v>3273</v>
      </c>
      <c r="N219" s="24">
        <v>1280.49</v>
      </c>
      <c r="O219" s="24">
        <v>2243.9699999999998</v>
      </c>
      <c r="P219" s="24">
        <v>3399.19</v>
      </c>
      <c r="Q219" s="21">
        <v>996</v>
      </c>
      <c r="R219" s="22">
        <v>33578</v>
      </c>
      <c r="S219" s="22">
        <v>96840</v>
      </c>
      <c r="T219" s="21">
        <v>2</v>
      </c>
      <c r="U219" s="21">
        <v>6</v>
      </c>
      <c r="V219" s="21">
        <v>14</v>
      </c>
      <c r="W219" s="23">
        <v>46275.5</v>
      </c>
      <c r="X219" s="25"/>
      <c r="Y219" s="21">
        <v>2</v>
      </c>
      <c r="Z219" s="26">
        <v>97160</v>
      </c>
      <c r="AA219">
        <v>963.47999999999979</v>
      </c>
      <c r="AB219" s="18">
        <v>0.75243071011878249</v>
      </c>
      <c r="AC219" s="19">
        <v>1.7524307101187824</v>
      </c>
      <c r="AD219" s="19">
        <v>1</v>
      </c>
      <c r="AE219" s="19">
        <v>1</v>
      </c>
    </row>
    <row r="220" spans="1:31">
      <c r="A220">
        <v>224</v>
      </c>
      <c r="B220" t="s">
        <v>311</v>
      </c>
      <c r="C220" t="s">
        <v>312</v>
      </c>
      <c r="D220" t="s">
        <v>66</v>
      </c>
      <c r="E220" s="27">
        <v>46084</v>
      </c>
      <c r="F220" s="28" t="s">
        <v>313</v>
      </c>
      <c r="G220" s="32"/>
      <c r="H220" s="28" t="s">
        <v>85</v>
      </c>
      <c r="I220" s="29">
        <v>76100</v>
      </c>
      <c r="J220" s="28" t="s">
        <v>86</v>
      </c>
      <c r="K220" s="30">
        <v>46214.708333333336</v>
      </c>
      <c r="L220" s="28">
        <v>673</v>
      </c>
      <c r="M220" s="29">
        <v>2910</v>
      </c>
      <c r="N220" s="31">
        <v>1491.24</v>
      </c>
      <c r="O220" s="31">
        <v>2359.7399999999998</v>
      </c>
      <c r="P220" s="31">
        <v>3534.87</v>
      </c>
      <c r="Q220" s="28">
        <v>994</v>
      </c>
      <c r="R220" s="29">
        <v>33255</v>
      </c>
      <c r="S220" s="29">
        <v>96119</v>
      </c>
      <c r="T220" s="28">
        <v>2</v>
      </c>
      <c r="U220" s="28">
        <v>5</v>
      </c>
      <c r="V220" s="28">
        <v>14</v>
      </c>
      <c r="W220" s="30">
        <v>46275.625</v>
      </c>
      <c r="X220" s="32"/>
      <c r="Y220" s="28">
        <v>0</v>
      </c>
      <c r="Z220" s="33">
        <v>96437</v>
      </c>
      <c r="AA220">
        <v>868.49999999999977</v>
      </c>
      <c r="AB220" s="18">
        <v>0.5824012231431559</v>
      </c>
      <c r="AC220" s="19">
        <v>1.5824012231431559</v>
      </c>
      <c r="AD220" s="19">
        <v>1</v>
      </c>
      <c r="AE220" s="19">
        <v>0.83333333333333337</v>
      </c>
    </row>
    <row r="221" spans="1:31">
      <c r="A221">
        <v>225</v>
      </c>
      <c r="B221" t="s">
        <v>64</v>
      </c>
      <c r="C221" t="s">
        <v>65</v>
      </c>
      <c r="D221" t="s">
        <v>66</v>
      </c>
      <c r="E221" s="20">
        <v>46084</v>
      </c>
      <c r="F221" s="21" t="s">
        <v>67</v>
      </c>
      <c r="G221" s="25"/>
      <c r="H221" s="21" t="s">
        <v>68</v>
      </c>
      <c r="I221" s="22">
        <v>76416</v>
      </c>
      <c r="J221" s="21" t="s">
        <v>69</v>
      </c>
      <c r="K221" s="23">
        <v>46214.833333333336</v>
      </c>
      <c r="L221" s="21">
        <v>594</v>
      </c>
      <c r="M221" s="22">
        <v>2592</v>
      </c>
      <c r="N221" s="24">
        <v>1420.08</v>
      </c>
      <c r="O221" s="24">
        <v>2500</v>
      </c>
      <c r="P221" s="24">
        <v>3429.58</v>
      </c>
      <c r="Q221" s="22">
        <v>1351</v>
      </c>
      <c r="R221" s="22">
        <v>55780</v>
      </c>
      <c r="S221" s="22">
        <v>154407</v>
      </c>
      <c r="T221" s="21">
        <v>1</v>
      </c>
      <c r="U221" s="21">
        <v>3</v>
      </c>
      <c r="V221" s="21">
        <v>11</v>
      </c>
      <c r="W221" s="23">
        <v>46275.583333333336</v>
      </c>
      <c r="X221" s="25"/>
      <c r="Y221" s="21">
        <v>0</v>
      </c>
      <c r="Z221" s="26">
        <v>154791</v>
      </c>
      <c r="AA221">
        <v>1079.92</v>
      </c>
      <c r="AB221" s="18">
        <v>0.76046419920004515</v>
      </c>
      <c r="AC221" s="19">
        <v>1.7604641992000452</v>
      </c>
      <c r="AD221" s="19">
        <v>0.63636363636363635</v>
      </c>
      <c r="AE221" s="19">
        <v>0.63636363636363635</v>
      </c>
    </row>
    <row r="222" spans="1:31">
      <c r="A222">
        <v>226</v>
      </c>
      <c r="B222" t="s">
        <v>70</v>
      </c>
      <c r="C222" t="s">
        <v>71</v>
      </c>
      <c r="D222" t="s">
        <v>72</v>
      </c>
      <c r="E222" s="27">
        <v>46084</v>
      </c>
      <c r="F222" s="28" t="s">
        <v>73</v>
      </c>
      <c r="G222" s="32"/>
      <c r="H222" s="28" t="s">
        <v>74</v>
      </c>
      <c r="I222" s="29">
        <v>80000</v>
      </c>
      <c r="J222" s="28" t="s">
        <v>75</v>
      </c>
      <c r="K222" s="30">
        <v>46217.583333333336</v>
      </c>
      <c r="L222" s="28">
        <v>656</v>
      </c>
      <c r="M222" s="29">
        <v>2992</v>
      </c>
      <c r="N222" s="31">
        <v>1946.87</v>
      </c>
      <c r="O222" s="31">
        <v>3427.6</v>
      </c>
      <c r="P222" s="31">
        <v>5399.55</v>
      </c>
      <c r="Q222" s="28">
        <v>989</v>
      </c>
      <c r="R222" s="29">
        <v>33449</v>
      </c>
      <c r="S222" s="29">
        <v>96528</v>
      </c>
      <c r="T222" s="28">
        <v>1</v>
      </c>
      <c r="U222" s="28">
        <v>5</v>
      </c>
      <c r="V222" s="28">
        <v>13</v>
      </c>
      <c r="W222" s="30">
        <v>46275.583333333336</v>
      </c>
      <c r="X222" s="32"/>
      <c r="Y222" s="28">
        <v>0</v>
      </c>
      <c r="Z222" s="33">
        <v>96852</v>
      </c>
      <c r="AA222">
        <v>1480.73</v>
      </c>
      <c r="AB222" s="18">
        <v>0.76056952955256396</v>
      </c>
      <c r="AC222" s="19">
        <v>1.7605695295525638</v>
      </c>
      <c r="AD222" s="19">
        <v>0.53846153846153844</v>
      </c>
      <c r="AE222" s="19">
        <v>0.89743589743589747</v>
      </c>
    </row>
    <row r="223" spans="1:31">
      <c r="A223">
        <v>227</v>
      </c>
      <c r="B223" t="s">
        <v>76</v>
      </c>
      <c r="C223" t="s">
        <v>77</v>
      </c>
      <c r="D223" t="s">
        <v>72</v>
      </c>
      <c r="E223" s="20">
        <v>46084</v>
      </c>
      <c r="F223" s="21" t="s">
        <v>78</v>
      </c>
      <c r="G223" s="25"/>
      <c r="H223" s="21" t="s">
        <v>79</v>
      </c>
      <c r="I223" s="22">
        <v>71000</v>
      </c>
      <c r="J223" s="21" t="s">
        <v>80</v>
      </c>
      <c r="K223" s="23">
        <v>46218.625</v>
      </c>
      <c r="L223" s="21">
        <v>687</v>
      </c>
      <c r="M223" s="22">
        <v>3039</v>
      </c>
      <c r="N223" s="24">
        <v>1746</v>
      </c>
      <c r="O223" s="24">
        <v>3384.1</v>
      </c>
      <c r="P223" s="24">
        <v>5250</v>
      </c>
      <c r="Q223" s="22">
        <v>1014</v>
      </c>
      <c r="R223" s="22">
        <v>33170</v>
      </c>
      <c r="S223" s="22">
        <v>94900</v>
      </c>
      <c r="T223" s="21">
        <v>2</v>
      </c>
      <c r="U223" s="21">
        <v>8</v>
      </c>
      <c r="V223" s="21">
        <v>10</v>
      </c>
      <c r="W223" s="23">
        <v>46275.625</v>
      </c>
      <c r="X223" s="25"/>
      <c r="Y223" s="21">
        <v>0</v>
      </c>
      <c r="Z223" s="26">
        <v>95218</v>
      </c>
      <c r="AA223">
        <v>1638.1</v>
      </c>
      <c r="AB223" s="18">
        <v>0.93820160366552119</v>
      </c>
      <c r="AC223" s="19">
        <v>1.9382016036655212</v>
      </c>
      <c r="AD223" s="19">
        <v>1.4</v>
      </c>
      <c r="AE223" s="19">
        <v>1.8666666666666665</v>
      </c>
    </row>
    <row r="224" spans="1:31">
      <c r="A224">
        <v>228</v>
      </c>
      <c r="B224" t="s">
        <v>81</v>
      </c>
      <c r="C224" t="s">
        <v>82</v>
      </c>
      <c r="D224" t="s">
        <v>83</v>
      </c>
      <c r="E224" s="27">
        <v>46084</v>
      </c>
      <c r="F224" s="28" t="s">
        <v>84</v>
      </c>
      <c r="G224" s="32"/>
      <c r="H224" s="28" t="s">
        <v>85</v>
      </c>
      <c r="I224" s="29">
        <v>76100</v>
      </c>
      <c r="J224" s="28" t="s">
        <v>86</v>
      </c>
      <c r="K224" s="30">
        <v>46221.708333333336</v>
      </c>
      <c r="L224" s="28">
        <v>732</v>
      </c>
      <c r="M224" s="29">
        <v>3068</v>
      </c>
      <c r="N224" s="31">
        <v>899.1</v>
      </c>
      <c r="O224" s="31">
        <v>1399.75</v>
      </c>
      <c r="P224" s="31">
        <v>2556.9699999999998</v>
      </c>
      <c r="Q224" s="29">
        <v>1425</v>
      </c>
      <c r="R224" s="29">
        <v>47878</v>
      </c>
      <c r="S224" s="29">
        <v>135571</v>
      </c>
      <c r="T224" s="28">
        <v>3</v>
      </c>
      <c r="U224" s="28">
        <v>7</v>
      </c>
      <c r="V224" s="28">
        <v>18</v>
      </c>
      <c r="W224" s="30">
        <v>46275.625</v>
      </c>
      <c r="X224" s="32"/>
      <c r="Y224" s="28">
        <v>2</v>
      </c>
      <c r="Z224" s="33">
        <v>135932</v>
      </c>
      <c r="AA224">
        <v>500.65</v>
      </c>
      <c r="AB224" s="18">
        <v>0.55683461239016796</v>
      </c>
      <c r="AC224" s="19">
        <v>1.556834612390168</v>
      </c>
      <c r="AD224" s="19">
        <v>1.1666666666666665</v>
      </c>
      <c r="AE224" s="19">
        <v>0.90740740740740744</v>
      </c>
    </row>
    <row r="225" spans="1:31">
      <c r="A225">
        <v>229</v>
      </c>
      <c r="B225" t="s">
        <v>87</v>
      </c>
      <c r="C225" t="s">
        <v>88</v>
      </c>
      <c r="D225" t="s">
        <v>89</v>
      </c>
      <c r="E225" s="20">
        <v>46084</v>
      </c>
      <c r="F225" s="21" t="s">
        <v>90</v>
      </c>
      <c r="G225" s="25"/>
      <c r="H225" s="21" t="s">
        <v>91</v>
      </c>
      <c r="I225" s="22">
        <v>82500</v>
      </c>
      <c r="J225" s="21" t="s">
        <v>92</v>
      </c>
      <c r="K225" s="23">
        <v>46222.625</v>
      </c>
      <c r="L225" s="21">
        <v>461</v>
      </c>
      <c r="M225" s="22">
        <v>1895</v>
      </c>
      <c r="N225" s="24">
        <v>6925.5</v>
      </c>
      <c r="O225" s="24">
        <v>11786.2</v>
      </c>
      <c r="P225" s="24">
        <v>16599.080000000002</v>
      </c>
      <c r="Q225" s="22">
        <v>1081</v>
      </c>
      <c r="R225" s="22">
        <v>36216</v>
      </c>
      <c r="S225" s="22">
        <v>103445</v>
      </c>
      <c r="T225" s="21">
        <v>0</v>
      </c>
      <c r="U225" s="21">
        <v>0</v>
      </c>
      <c r="V225" s="21">
        <v>7</v>
      </c>
      <c r="W225" s="23">
        <v>46275.625</v>
      </c>
      <c r="X225" s="25"/>
      <c r="Y225" s="21">
        <v>0</v>
      </c>
      <c r="Z225" s="26">
        <v>103796</v>
      </c>
      <c r="AA225">
        <v>4860.7000000000007</v>
      </c>
      <c r="AB225" s="18">
        <v>0.7018554616995164</v>
      </c>
      <c r="AC225" s="19">
        <v>1.7018554616995163</v>
      </c>
      <c r="AD225" s="19">
        <v>0</v>
      </c>
      <c r="AE225" s="19">
        <v>0</v>
      </c>
    </row>
    <row r="226" spans="1:31">
      <c r="A226">
        <v>230</v>
      </c>
      <c r="B226" t="s">
        <v>51</v>
      </c>
      <c r="C226" t="s">
        <v>52</v>
      </c>
      <c r="D226" t="s">
        <v>53</v>
      </c>
      <c r="E226" s="27">
        <v>46088</v>
      </c>
      <c r="F226" s="28" t="s">
        <v>54</v>
      </c>
      <c r="G226" s="28" t="s">
        <v>314</v>
      </c>
      <c r="H226" s="28" t="s">
        <v>56</v>
      </c>
      <c r="I226" s="29">
        <v>98500</v>
      </c>
      <c r="J226" s="28" t="s">
        <v>57</v>
      </c>
      <c r="K226" s="30">
        <v>46184.583333333336</v>
      </c>
      <c r="L226" s="28">
        <v>507</v>
      </c>
      <c r="M226" s="29">
        <v>3209</v>
      </c>
      <c r="N226" s="31">
        <v>2473.27</v>
      </c>
      <c r="O226" s="31">
        <v>4413</v>
      </c>
      <c r="P226" s="31">
        <v>6480</v>
      </c>
      <c r="Q226" s="28">
        <v>420</v>
      </c>
      <c r="R226" s="29">
        <v>15943</v>
      </c>
      <c r="S226" s="29">
        <v>39887</v>
      </c>
      <c r="T226" s="28">
        <v>1</v>
      </c>
      <c r="U226" s="28">
        <v>3</v>
      </c>
      <c r="V226" s="28">
        <v>9</v>
      </c>
      <c r="W226" s="30">
        <v>46275.541666666664</v>
      </c>
      <c r="X226" s="32"/>
      <c r="Y226" s="28">
        <v>0</v>
      </c>
      <c r="Z226" s="33">
        <v>40323</v>
      </c>
      <c r="AA226">
        <v>1939.73</v>
      </c>
      <c r="AB226" s="18">
        <v>0.78427749497628652</v>
      </c>
      <c r="AC226" s="19">
        <v>1.7842774949762865</v>
      </c>
      <c r="AD226" s="19">
        <v>0.77777777777777768</v>
      </c>
      <c r="AE226" s="19">
        <v>0.77777777777777768</v>
      </c>
    </row>
    <row r="227" spans="1:31">
      <c r="A227">
        <v>231</v>
      </c>
      <c r="B227" t="s">
        <v>161</v>
      </c>
      <c r="C227" t="s">
        <v>124</v>
      </c>
      <c r="D227" t="s">
        <v>159</v>
      </c>
      <c r="E227" s="20">
        <v>46088</v>
      </c>
      <c r="F227" s="21" t="s">
        <v>173</v>
      </c>
      <c r="G227" s="21" t="s">
        <v>314</v>
      </c>
      <c r="H227" s="21" t="s">
        <v>146</v>
      </c>
      <c r="I227" s="22">
        <v>30000</v>
      </c>
      <c r="J227" s="21" t="s">
        <v>147</v>
      </c>
      <c r="K227" s="23">
        <v>46185.625</v>
      </c>
      <c r="L227" s="21">
        <v>438</v>
      </c>
      <c r="M227" s="22">
        <v>2104</v>
      </c>
      <c r="N227" s="24">
        <v>1295.79</v>
      </c>
      <c r="O227" s="24">
        <v>1972.98</v>
      </c>
      <c r="P227" s="24">
        <v>2890.95</v>
      </c>
      <c r="Q227" s="21">
        <v>562</v>
      </c>
      <c r="R227" s="22">
        <v>17608</v>
      </c>
      <c r="S227" s="22">
        <v>44249</v>
      </c>
      <c r="T227" s="21">
        <v>2</v>
      </c>
      <c r="U227" s="21">
        <v>8</v>
      </c>
      <c r="V227" s="21">
        <v>19</v>
      </c>
      <c r="W227" s="23">
        <v>46275.5</v>
      </c>
      <c r="X227" s="25"/>
      <c r="Y227" s="21">
        <v>0</v>
      </c>
      <c r="Z227" s="26">
        <v>44758</v>
      </c>
      <c r="AA227">
        <v>677.19</v>
      </c>
      <c r="AB227" s="18">
        <v>0.52260782997244926</v>
      </c>
      <c r="AC227" s="19">
        <v>1.5226078299724493</v>
      </c>
      <c r="AD227" s="19">
        <v>0.73684210526315785</v>
      </c>
      <c r="AE227" s="19">
        <v>0.98245614035087714</v>
      </c>
    </row>
    <row r="228" spans="1:31">
      <c r="A228">
        <v>232</v>
      </c>
      <c r="B228" t="s">
        <v>180</v>
      </c>
      <c r="C228" t="s">
        <v>177</v>
      </c>
      <c r="D228" t="s">
        <v>178</v>
      </c>
      <c r="E228" s="27">
        <v>46088</v>
      </c>
      <c r="F228" s="28" t="s">
        <v>192</v>
      </c>
      <c r="G228" s="28" t="s">
        <v>315</v>
      </c>
      <c r="H228" s="28" t="s">
        <v>113</v>
      </c>
      <c r="I228" s="29">
        <v>70240</v>
      </c>
      <c r="J228" s="28" t="s">
        <v>114</v>
      </c>
      <c r="K228" s="30">
        <v>46185.75</v>
      </c>
      <c r="L228" s="28">
        <v>784</v>
      </c>
      <c r="M228" s="29">
        <v>3282</v>
      </c>
      <c r="N228" s="31">
        <v>1152</v>
      </c>
      <c r="O228" s="31">
        <v>2025</v>
      </c>
      <c r="P228" s="31">
        <v>2968.54</v>
      </c>
      <c r="Q228" s="28">
        <v>696</v>
      </c>
      <c r="R228" s="29">
        <v>22204</v>
      </c>
      <c r="S228" s="29">
        <v>55359</v>
      </c>
      <c r="T228" s="28">
        <v>5</v>
      </c>
      <c r="U228" s="28">
        <v>14</v>
      </c>
      <c r="V228" s="28">
        <v>29</v>
      </c>
      <c r="W228" s="30">
        <v>46275.5</v>
      </c>
      <c r="X228" s="32"/>
      <c r="Y228" s="28">
        <v>1</v>
      </c>
      <c r="Z228" s="33">
        <v>56687</v>
      </c>
      <c r="AA228">
        <v>873</v>
      </c>
      <c r="AB228" s="18">
        <v>0.7578125</v>
      </c>
      <c r="AC228" s="19">
        <v>1.7578125</v>
      </c>
      <c r="AD228" s="19">
        <v>1.2068965517241379</v>
      </c>
      <c r="AE228" s="19">
        <v>1.1264367816091954</v>
      </c>
    </row>
    <row r="229" spans="1:31">
      <c r="A229">
        <v>233</v>
      </c>
      <c r="B229" t="s">
        <v>168</v>
      </c>
      <c r="C229" t="s">
        <v>174</v>
      </c>
      <c r="D229" t="s">
        <v>169</v>
      </c>
      <c r="E229" s="20">
        <v>46088</v>
      </c>
      <c r="F229" s="21" t="s">
        <v>203</v>
      </c>
      <c r="G229" s="21" t="s">
        <v>315</v>
      </c>
      <c r="H229" s="21" t="s">
        <v>127</v>
      </c>
      <c r="I229" s="22">
        <v>68756</v>
      </c>
      <c r="J229" s="21" t="s">
        <v>128</v>
      </c>
      <c r="K229" s="23">
        <v>46186.875</v>
      </c>
      <c r="L229" s="21">
        <v>747</v>
      </c>
      <c r="M229" s="22">
        <v>3171</v>
      </c>
      <c r="N229" s="24">
        <v>558.23</v>
      </c>
      <c r="O229" s="24">
        <v>824.86</v>
      </c>
      <c r="P229" s="24">
        <v>1198.28</v>
      </c>
      <c r="Q229" s="21">
        <v>526</v>
      </c>
      <c r="R229" s="22">
        <v>14641</v>
      </c>
      <c r="S229" s="22">
        <v>37317</v>
      </c>
      <c r="T229" s="21">
        <v>2</v>
      </c>
      <c r="U229" s="21">
        <v>7</v>
      </c>
      <c r="V229" s="21">
        <v>22</v>
      </c>
      <c r="W229" s="23">
        <v>46275.625</v>
      </c>
      <c r="X229" s="25"/>
      <c r="Y229" s="21">
        <v>0</v>
      </c>
      <c r="Z229" s="26">
        <v>37767</v>
      </c>
      <c r="AA229">
        <v>266.63</v>
      </c>
      <c r="AB229" s="18">
        <v>0.47763466671443666</v>
      </c>
      <c r="AC229" s="19">
        <v>1.4776346667144367</v>
      </c>
      <c r="AD229" s="19">
        <v>0.63636363636363635</v>
      </c>
      <c r="AE229" s="19">
        <v>0.74242424242424243</v>
      </c>
    </row>
    <row r="230" spans="1:31">
      <c r="A230">
        <v>234</v>
      </c>
      <c r="B230" t="s">
        <v>181</v>
      </c>
      <c r="C230" t="s">
        <v>124</v>
      </c>
      <c r="D230" t="s">
        <v>178</v>
      </c>
      <c r="E230" s="27">
        <v>46088</v>
      </c>
      <c r="F230" s="28" t="s">
        <v>214</v>
      </c>
      <c r="G230" s="28" t="s">
        <v>314</v>
      </c>
      <c r="H230" s="28" t="s">
        <v>164</v>
      </c>
      <c r="I230" s="29">
        <v>54500</v>
      </c>
      <c r="J230" s="28" t="s">
        <v>165</v>
      </c>
      <c r="K230" s="30">
        <v>46186.875</v>
      </c>
      <c r="L230" s="28">
        <v>510</v>
      </c>
      <c r="M230" s="29">
        <v>2374</v>
      </c>
      <c r="N230" s="31">
        <v>373.98</v>
      </c>
      <c r="O230" s="31">
        <v>569.98</v>
      </c>
      <c r="P230" s="31">
        <v>1117.8</v>
      </c>
      <c r="Q230" s="28">
        <v>571</v>
      </c>
      <c r="R230" s="29">
        <v>17399</v>
      </c>
      <c r="S230" s="29">
        <v>41108</v>
      </c>
      <c r="T230" s="28">
        <v>3</v>
      </c>
      <c r="U230" s="28">
        <v>5</v>
      </c>
      <c r="V230" s="28">
        <v>20</v>
      </c>
      <c r="W230" s="30">
        <v>46275.375</v>
      </c>
      <c r="X230" s="32"/>
      <c r="Y230" s="28">
        <v>0</v>
      </c>
      <c r="Z230" s="33">
        <v>42351</v>
      </c>
      <c r="AA230">
        <v>196</v>
      </c>
      <c r="AB230" s="18">
        <v>0.52409219744371349</v>
      </c>
      <c r="AC230" s="19">
        <v>1.5240921974437136</v>
      </c>
      <c r="AD230" s="19">
        <v>1.05</v>
      </c>
      <c r="AE230" s="19">
        <v>0.58333333333333337</v>
      </c>
    </row>
    <row r="231" spans="1:31">
      <c r="A231">
        <v>235</v>
      </c>
      <c r="B231" t="s">
        <v>167</v>
      </c>
      <c r="C231" t="s">
        <v>175</v>
      </c>
      <c r="D231" t="s">
        <v>169</v>
      </c>
      <c r="E231" s="20">
        <v>46088</v>
      </c>
      <c r="F231" s="21" t="s">
        <v>225</v>
      </c>
      <c r="G231" s="21" t="s">
        <v>315</v>
      </c>
      <c r="H231" s="21" t="s">
        <v>91</v>
      </c>
      <c r="I231" s="22">
        <v>82500</v>
      </c>
      <c r="J231" s="21" t="s">
        <v>92</v>
      </c>
      <c r="K231" s="23">
        <v>46186.75</v>
      </c>
      <c r="L231" s="21">
        <v>932</v>
      </c>
      <c r="M231" s="22">
        <v>4570</v>
      </c>
      <c r="N231" s="24">
        <v>872.44</v>
      </c>
      <c r="O231" s="24">
        <v>1556.23</v>
      </c>
      <c r="P231" s="24">
        <v>2314.14</v>
      </c>
      <c r="Q231" s="21">
        <v>757</v>
      </c>
      <c r="R231" s="22">
        <v>23753</v>
      </c>
      <c r="S231" s="22">
        <v>57255</v>
      </c>
      <c r="T231" s="21">
        <v>5</v>
      </c>
      <c r="U231" s="21">
        <v>25</v>
      </c>
      <c r="V231" s="21">
        <v>61</v>
      </c>
      <c r="W231" s="23">
        <v>46275.625</v>
      </c>
      <c r="X231" s="25"/>
      <c r="Y231" s="21">
        <v>0</v>
      </c>
      <c r="Z231" s="26">
        <v>57824</v>
      </c>
      <c r="AA231">
        <v>683.79</v>
      </c>
      <c r="AB231" s="18">
        <v>0.78376736509100908</v>
      </c>
      <c r="AC231" s="19">
        <v>1.7837673650910091</v>
      </c>
      <c r="AD231" s="19">
        <v>0.57377049180327877</v>
      </c>
      <c r="AE231" s="19">
        <v>0.95628415300546465</v>
      </c>
    </row>
    <row r="232" spans="1:31">
      <c r="A232">
        <v>236</v>
      </c>
      <c r="B232" t="s">
        <v>162</v>
      </c>
      <c r="C232" t="s">
        <v>158</v>
      </c>
      <c r="D232" t="s">
        <v>159</v>
      </c>
      <c r="E232" s="27">
        <v>46088</v>
      </c>
      <c r="F232" s="28" t="s">
        <v>251</v>
      </c>
      <c r="G232" s="28" t="s">
        <v>315</v>
      </c>
      <c r="H232" s="28" t="s">
        <v>140</v>
      </c>
      <c r="I232" s="29">
        <v>75000</v>
      </c>
      <c r="J232" s="28" t="s">
        <v>141</v>
      </c>
      <c r="K232" s="30">
        <v>46186.5</v>
      </c>
      <c r="L232" s="28">
        <v>756</v>
      </c>
      <c r="M232" s="29">
        <v>3273</v>
      </c>
      <c r="N232" s="31">
        <v>284.2</v>
      </c>
      <c r="O232" s="31">
        <v>527.25</v>
      </c>
      <c r="P232" s="31">
        <v>801.31</v>
      </c>
      <c r="Q232" s="28">
        <v>568</v>
      </c>
      <c r="R232" s="29">
        <v>16305</v>
      </c>
      <c r="S232" s="29">
        <v>41503</v>
      </c>
      <c r="T232" s="28">
        <v>12</v>
      </c>
      <c r="U232" s="28">
        <v>26</v>
      </c>
      <c r="V232" s="28">
        <v>47</v>
      </c>
      <c r="W232" s="30">
        <v>46275.5</v>
      </c>
      <c r="X232" s="32"/>
      <c r="Y232" s="28">
        <v>0</v>
      </c>
      <c r="Z232" s="33">
        <v>42744</v>
      </c>
      <c r="AA232">
        <v>243.05</v>
      </c>
      <c r="AB232" s="18">
        <v>0.85520760028149201</v>
      </c>
      <c r="AC232" s="19">
        <v>1.8552076002814919</v>
      </c>
      <c r="AD232" s="19">
        <v>1.7872340425531914</v>
      </c>
      <c r="AE232" s="19">
        <v>1.2907801418439715</v>
      </c>
    </row>
    <row r="233" spans="1:31">
      <c r="A233">
        <v>237</v>
      </c>
      <c r="B233" t="s">
        <v>183</v>
      </c>
      <c r="C233" t="s">
        <v>185</v>
      </c>
      <c r="D233" t="s">
        <v>60</v>
      </c>
      <c r="E233" s="20">
        <v>46088</v>
      </c>
      <c r="F233" s="21" t="s">
        <v>283</v>
      </c>
      <c r="G233" s="21" t="s">
        <v>315</v>
      </c>
      <c r="H233" s="21" t="s">
        <v>171</v>
      </c>
      <c r="I233" s="22">
        <v>69176</v>
      </c>
      <c r="J233" s="21" t="s">
        <v>172</v>
      </c>
      <c r="K233" s="23">
        <v>46187.791666666664</v>
      </c>
      <c r="L233" s="21">
        <v>682</v>
      </c>
      <c r="M233" s="22">
        <v>3018</v>
      </c>
      <c r="N233" s="24">
        <v>522</v>
      </c>
      <c r="O233" s="24">
        <v>747.42</v>
      </c>
      <c r="P233" s="24">
        <v>1042.18</v>
      </c>
      <c r="Q233" s="21">
        <v>590</v>
      </c>
      <c r="R233" s="22">
        <v>16541</v>
      </c>
      <c r="S233" s="22">
        <v>39931</v>
      </c>
      <c r="T233" s="21">
        <v>5</v>
      </c>
      <c r="U233" s="21">
        <v>18</v>
      </c>
      <c r="V233" s="21">
        <v>37</v>
      </c>
      <c r="W233" s="23">
        <v>46275.625</v>
      </c>
      <c r="X233" s="25"/>
      <c r="Y233" s="21">
        <v>0</v>
      </c>
      <c r="Z233" s="26">
        <v>40412</v>
      </c>
      <c r="AA233">
        <v>225.41999999999996</v>
      </c>
      <c r="AB233" s="18">
        <v>0.43183908045977004</v>
      </c>
      <c r="AC233" s="19">
        <v>1.43183908045977</v>
      </c>
      <c r="AD233" s="19">
        <v>0.94594594594594594</v>
      </c>
      <c r="AE233" s="19">
        <v>1.1351351351351351</v>
      </c>
    </row>
    <row r="234" spans="1:31">
      <c r="A234">
        <v>238</v>
      </c>
      <c r="B234" t="s">
        <v>58</v>
      </c>
      <c r="C234" t="s">
        <v>59</v>
      </c>
      <c r="D234" t="s">
        <v>60</v>
      </c>
      <c r="E234" s="27">
        <v>46088</v>
      </c>
      <c r="F234" s="28" t="s">
        <v>61</v>
      </c>
      <c r="G234" s="28" t="s">
        <v>315</v>
      </c>
      <c r="H234" s="28" t="s">
        <v>62</v>
      </c>
      <c r="I234" s="29">
        <v>71500</v>
      </c>
      <c r="J234" s="28" t="s">
        <v>63</v>
      </c>
      <c r="K234" s="30">
        <v>46187.5</v>
      </c>
      <c r="L234" s="28">
        <v>809</v>
      </c>
      <c r="M234" s="29">
        <v>3552</v>
      </c>
      <c r="N234" s="31">
        <v>357.14</v>
      </c>
      <c r="O234" s="31">
        <v>650</v>
      </c>
      <c r="P234" s="31">
        <v>966.14</v>
      </c>
      <c r="Q234" s="28">
        <v>575</v>
      </c>
      <c r="R234" s="29">
        <v>16085</v>
      </c>
      <c r="S234" s="29">
        <v>41269</v>
      </c>
      <c r="T234" s="28">
        <v>4</v>
      </c>
      <c r="U234" s="28">
        <v>13</v>
      </c>
      <c r="V234" s="28">
        <v>32</v>
      </c>
      <c r="W234" s="30">
        <v>46275.583333333336</v>
      </c>
      <c r="X234" s="32"/>
      <c r="Y234" s="28">
        <v>0</v>
      </c>
      <c r="Z234" s="33">
        <v>42521</v>
      </c>
      <c r="AA234">
        <v>292.86</v>
      </c>
      <c r="AB234" s="18">
        <v>0.82001456011648099</v>
      </c>
      <c r="AC234" s="19">
        <v>1.820014560116481</v>
      </c>
      <c r="AD234" s="19">
        <v>0.875</v>
      </c>
      <c r="AE234" s="19">
        <v>0.94791666666666663</v>
      </c>
    </row>
    <row r="235" spans="1:31">
      <c r="A235">
        <v>239</v>
      </c>
      <c r="B235" t="s">
        <v>93</v>
      </c>
      <c r="C235" t="s">
        <v>94</v>
      </c>
      <c r="D235" t="s">
        <v>95</v>
      </c>
      <c r="E235" s="20">
        <v>46088</v>
      </c>
      <c r="F235" s="21" t="s">
        <v>96</v>
      </c>
      <c r="G235" s="21" t="s">
        <v>315</v>
      </c>
      <c r="H235" s="21" t="s">
        <v>74</v>
      </c>
      <c r="I235" s="22">
        <v>80000</v>
      </c>
      <c r="J235" s="21" t="s">
        <v>75</v>
      </c>
      <c r="K235" s="23">
        <v>46187.625</v>
      </c>
      <c r="L235" s="21">
        <v>585</v>
      </c>
      <c r="M235" s="22">
        <v>2601</v>
      </c>
      <c r="N235" s="24">
        <v>556.03</v>
      </c>
      <c r="O235" s="24">
        <v>975</v>
      </c>
      <c r="P235" s="24">
        <v>1349.14</v>
      </c>
      <c r="Q235" s="21">
        <v>630</v>
      </c>
      <c r="R235" s="22">
        <v>19957</v>
      </c>
      <c r="S235" s="22">
        <v>43445</v>
      </c>
      <c r="T235" s="21">
        <v>8</v>
      </c>
      <c r="U235" s="21">
        <v>21</v>
      </c>
      <c r="V235" s="21">
        <v>57</v>
      </c>
      <c r="W235" s="23">
        <v>46275.583333333336</v>
      </c>
      <c r="X235" s="25"/>
      <c r="Y235" s="21">
        <v>0</v>
      </c>
      <c r="Z235" s="26">
        <v>43900</v>
      </c>
      <c r="AA235">
        <v>418.97</v>
      </c>
      <c r="AB235" s="18">
        <v>0.75350250885743586</v>
      </c>
      <c r="AC235" s="19">
        <v>1.7535025088574359</v>
      </c>
      <c r="AD235" s="19">
        <v>0.98245614035087725</v>
      </c>
      <c r="AE235" s="19">
        <v>0.85964912280701755</v>
      </c>
    </row>
    <row r="236" spans="1:31">
      <c r="A236">
        <v>240</v>
      </c>
      <c r="B236" t="s">
        <v>97</v>
      </c>
      <c r="C236" t="s">
        <v>98</v>
      </c>
      <c r="D236" t="s">
        <v>95</v>
      </c>
      <c r="E236" s="27">
        <v>46088</v>
      </c>
      <c r="F236" s="28" t="s">
        <v>99</v>
      </c>
      <c r="G236" s="28" t="s">
        <v>314</v>
      </c>
      <c r="H236" s="28" t="s">
        <v>100</v>
      </c>
      <c r="I236" s="29">
        <v>52237</v>
      </c>
      <c r="J236" s="28" t="s">
        <v>101</v>
      </c>
      <c r="K236" s="30">
        <v>46187.875</v>
      </c>
      <c r="L236" s="28">
        <v>412</v>
      </c>
      <c r="M236" s="29">
        <v>2140</v>
      </c>
      <c r="N236" s="31">
        <v>195.7</v>
      </c>
      <c r="O236" s="31">
        <v>352.48</v>
      </c>
      <c r="P236" s="31">
        <v>702.69</v>
      </c>
      <c r="Q236" s="28">
        <v>540</v>
      </c>
      <c r="R236" s="29">
        <v>14479</v>
      </c>
      <c r="S236" s="29">
        <v>35568</v>
      </c>
      <c r="T236" s="28">
        <v>1</v>
      </c>
      <c r="U236" s="28">
        <v>5</v>
      </c>
      <c r="V236" s="28">
        <v>13</v>
      </c>
      <c r="W236" s="30">
        <v>46275.541666666664</v>
      </c>
      <c r="X236" s="32"/>
      <c r="Y236" s="28">
        <v>0</v>
      </c>
      <c r="Z236" s="33">
        <v>36003</v>
      </c>
      <c r="AA236">
        <v>156.78000000000003</v>
      </c>
      <c r="AB236" s="18">
        <v>0.80112416964741973</v>
      </c>
      <c r="AC236" s="19">
        <v>1.8011241696474196</v>
      </c>
      <c r="AD236" s="19">
        <v>0.53846153846153844</v>
      </c>
      <c r="AE236" s="19">
        <v>0.89743589743589747</v>
      </c>
    </row>
    <row r="237" spans="1:31">
      <c r="A237">
        <v>241</v>
      </c>
      <c r="B237" t="s">
        <v>102</v>
      </c>
      <c r="C237" t="s">
        <v>103</v>
      </c>
      <c r="D237" t="s">
        <v>104</v>
      </c>
      <c r="E237" s="20">
        <v>46088</v>
      </c>
      <c r="F237" s="21" t="s">
        <v>105</v>
      </c>
      <c r="G237" s="21" t="s">
        <v>315</v>
      </c>
      <c r="H237" s="21" t="s">
        <v>85</v>
      </c>
      <c r="I237" s="22">
        <v>76100</v>
      </c>
      <c r="J237" s="21" t="s">
        <v>86</v>
      </c>
      <c r="K237" s="23">
        <v>46188.75</v>
      </c>
      <c r="L237" s="21">
        <v>890</v>
      </c>
      <c r="M237" s="22">
        <v>3859</v>
      </c>
      <c r="N237" s="24">
        <v>256.5</v>
      </c>
      <c r="O237" s="24">
        <v>495</v>
      </c>
      <c r="P237" s="24">
        <v>754.38</v>
      </c>
      <c r="Q237" s="21">
        <v>580</v>
      </c>
      <c r="R237" s="22">
        <v>14154</v>
      </c>
      <c r="S237" s="22">
        <v>33333</v>
      </c>
      <c r="T237" s="21">
        <v>4</v>
      </c>
      <c r="U237" s="21">
        <v>17</v>
      </c>
      <c r="V237" s="21">
        <v>44</v>
      </c>
      <c r="W237" s="23">
        <v>46275.625</v>
      </c>
      <c r="X237" s="25"/>
      <c r="Y237" s="21">
        <v>0</v>
      </c>
      <c r="Z237" s="26">
        <v>34422</v>
      </c>
      <c r="AA237">
        <v>238.5</v>
      </c>
      <c r="AB237" s="18">
        <v>0.92982456140350878</v>
      </c>
      <c r="AC237" s="19">
        <v>1.9298245614035088</v>
      </c>
      <c r="AD237" s="19">
        <v>0.63636363636363635</v>
      </c>
      <c r="AE237" s="19">
        <v>0.9015151515151516</v>
      </c>
    </row>
    <row r="238" spans="1:31">
      <c r="A238">
        <v>242</v>
      </c>
      <c r="B238" t="s">
        <v>106</v>
      </c>
      <c r="C238" t="s">
        <v>107</v>
      </c>
      <c r="D238" t="s">
        <v>104</v>
      </c>
      <c r="E238" s="27">
        <v>46088</v>
      </c>
      <c r="F238" s="28" t="s">
        <v>108</v>
      </c>
      <c r="G238" s="28" t="s">
        <v>315</v>
      </c>
      <c r="H238" s="28" t="s">
        <v>79</v>
      </c>
      <c r="I238" s="29">
        <v>71000</v>
      </c>
      <c r="J238" s="28" t="s">
        <v>80</v>
      </c>
      <c r="K238" s="30">
        <v>46188.5</v>
      </c>
      <c r="L238" s="28">
        <v>826</v>
      </c>
      <c r="M238" s="29">
        <v>3610</v>
      </c>
      <c r="N238" s="31">
        <v>317</v>
      </c>
      <c r="O238" s="31">
        <v>600</v>
      </c>
      <c r="P238" s="31">
        <v>920.55</v>
      </c>
      <c r="Q238" s="28">
        <v>628</v>
      </c>
      <c r="R238" s="29">
        <v>13494</v>
      </c>
      <c r="S238" s="29">
        <v>38103</v>
      </c>
      <c r="T238" s="28">
        <v>7</v>
      </c>
      <c r="U238" s="28">
        <v>14</v>
      </c>
      <c r="V238" s="28">
        <v>38</v>
      </c>
      <c r="W238" s="30">
        <v>46275.625</v>
      </c>
      <c r="X238" s="32"/>
      <c r="Y238" s="28">
        <v>0</v>
      </c>
      <c r="Z238" s="33">
        <v>39385</v>
      </c>
      <c r="AA238">
        <v>283</v>
      </c>
      <c r="AB238" s="18">
        <v>0.89274447949526814</v>
      </c>
      <c r="AC238" s="19">
        <v>1.8927444794952681</v>
      </c>
      <c r="AD238" s="19">
        <v>1.2894736842105263</v>
      </c>
      <c r="AE238" s="19">
        <v>0.85964912280701755</v>
      </c>
    </row>
    <row r="239" spans="1:31">
      <c r="A239">
        <v>243</v>
      </c>
      <c r="B239" t="s">
        <v>109</v>
      </c>
      <c r="C239" t="s">
        <v>110</v>
      </c>
      <c r="D239" t="s">
        <v>111</v>
      </c>
      <c r="E239" s="20">
        <v>46088</v>
      </c>
      <c r="F239" s="21" t="s">
        <v>112</v>
      </c>
      <c r="G239" s="21" t="s">
        <v>315</v>
      </c>
      <c r="H239" s="21" t="s">
        <v>113</v>
      </c>
      <c r="I239" s="22">
        <v>70240</v>
      </c>
      <c r="J239" s="21" t="s">
        <v>114</v>
      </c>
      <c r="K239" s="23">
        <v>46188.75</v>
      </c>
      <c r="L239" s="21">
        <v>989</v>
      </c>
      <c r="M239" s="22">
        <v>4152</v>
      </c>
      <c r="N239" s="24">
        <v>264.60000000000002</v>
      </c>
      <c r="O239" s="24">
        <v>531</v>
      </c>
      <c r="P239" s="24">
        <v>880</v>
      </c>
      <c r="Q239" s="21">
        <v>568</v>
      </c>
      <c r="R239" s="22">
        <v>17662</v>
      </c>
      <c r="S239" s="22">
        <v>41772</v>
      </c>
      <c r="T239" s="21">
        <v>3</v>
      </c>
      <c r="U239" s="21">
        <v>9</v>
      </c>
      <c r="V239" s="21">
        <v>22</v>
      </c>
      <c r="W239" s="23">
        <v>46275.5</v>
      </c>
      <c r="X239" s="25"/>
      <c r="Y239" s="21">
        <v>0</v>
      </c>
      <c r="Z239" s="26">
        <v>42250</v>
      </c>
      <c r="AA239">
        <v>266.39999999999998</v>
      </c>
      <c r="AB239" s="18">
        <v>1.0068027210884352</v>
      </c>
      <c r="AC239" s="19">
        <v>2.0068027210884352</v>
      </c>
      <c r="AD239" s="19">
        <v>0.95454545454545459</v>
      </c>
      <c r="AE239" s="19">
        <v>0.95454545454545459</v>
      </c>
    </row>
    <row r="240" spans="1:31">
      <c r="A240">
        <v>244</v>
      </c>
      <c r="B240" t="s">
        <v>115</v>
      </c>
      <c r="C240" t="s">
        <v>116</v>
      </c>
      <c r="D240" t="s">
        <v>111</v>
      </c>
      <c r="E240" s="27">
        <v>46088</v>
      </c>
      <c r="F240" s="28" t="s">
        <v>117</v>
      </c>
      <c r="G240" s="28" t="s">
        <v>315</v>
      </c>
      <c r="H240" s="28" t="s">
        <v>118</v>
      </c>
      <c r="I240" s="29">
        <v>67000</v>
      </c>
      <c r="J240" s="28" t="s">
        <v>119</v>
      </c>
      <c r="K240" s="30">
        <v>46188.5</v>
      </c>
      <c r="L240" s="28">
        <v>661</v>
      </c>
      <c r="M240" s="29">
        <v>2927</v>
      </c>
      <c r="N240" s="31">
        <v>400.5</v>
      </c>
      <c r="O240" s="31">
        <v>656.71</v>
      </c>
      <c r="P240" s="31">
        <v>965.7</v>
      </c>
      <c r="Q240" s="28">
        <v>588</v>
      </c>
      <c r="R240" s="29">
        <v>17043</v>
      </c>
      <c r="S240" s="29">
        <v>41188</v>
      </c>
      <c r="T240" s="28">
        <v>5</v>
      </c>
      <c r="U240" s="28">
        <v>13</v>
      </c>
      <c r="V240" s="28">
        <v>32</v>
      </c>
      <c r="W240" s="30">
        <v>46275.5</v>
      </c>
      <c r="X240" s="32"/>
      <c r="Y240" s="28">
        <v>0</v>
      </c>
      <c r="Z240" s="33">
        <v>41641</v>
      </c>
      <c r="AA240">
        <v>256.21000000000004</v>
      </c>
      <c r="AB240" s="18">
        <v>0.63972534332084907</v>
      </c>
      <c r="AC240" s="19">
        <v>1.639725343320849</v>
      </c>
      <c r="AD240" s="19">
        <v>1.09375</v>
      </c>
      <c r="AE240" s="19">
        <v>0.94791666666666663</v>
      </c>
    </row>
    <row r="241" spans="1:31">
      <c r="A241">
        <v>245</v>
      </c>
      <c r="B241" t="s">
        <v>120</v>
      </c>
      <c r="C241" t="s">
        <v>121</v>
      </c>
      <c r="D241" t="s">
        <v>122</v>
      </c>
      <c r="E241" s="20">
        <v>46088</v>
      </c>
      <c r="F241" s="21" t="s">
        <v>123</v>
      </c>
      <c r="G241" s="21" t="s">
        <v>315</v>
      </c>
      <c r="H241" s="21" t="s">
        <v>91</v>
      </c>
      <c r="I241" s="22">
        <v>82500</v>
      </c>
      <c r="J241" s="21" t="s">
        <v>92</v>
      </c>
      <c r="K241" s="23">
        <v>46189.625</v>
      </c>
      <c r="L241" s="21">
        <v>794</v>
      </c>
      <c r="M241" s="22">
        <v>3570</v>
      </c>
      <c r="N241" s="24">
        <v>522.88</v>
      </c>
      <c r="O241" s="24">
        <v>937.33</v>
      </c>
      <c r="P241" s="24">
        <v>1387.77</v>
      </c>
      <c r="Q241" s="21">
        <v>652</v>
      </c>
      <c r="R241" s="22">
        <v>15733</v>
      </c>
      <c r="S241" s="22">
        <v>42767</v>
      </c>
      <c r="T241" s="21">
        <v>7</v>
      </c>
      <c r="U241" s="21">
        <v>20</v>
      </c>
      <c r="V241" s="21">
        <v>59</v>
      </c>
      <c r="W241" s="23">
        <v>46275.625</v>
      </c>
      <c r="X241" s="25"/>
      <c r="Y241" s="21">
        <v>0</v>
      </c>
      <c r="Z241" s="26">
        <v>44096</v>
      </c>
      <c r="AA241">
        <v>414.45000000000005</v>
      </c>
      <c r="AB241" s="18">
        <v>0.7926292839657284</v>
      </c>
      <c r="AC241" s="19">
        <v>1.7926292839657283</v>
      </c>
      <c r="AD241" s="19">
        <v>0.83050847457627119</v>
      </c>
      <c r="AE241" s="19">
        <v>0.79096045197740117</v>
      </c>
    </row>
    <row r="242" spans="1:31">
      <c r="A242">
        <v>246</v>
      </c>
      <c r="B242" t="s">
        <v>124</v>
      </c>
      <c r="C242" t="s">
        <v>125</v>
      </c>
      <c r="D242" t="s">
        <v>122</v>
      </c>
      <c r="E242" s="27">
        <v>46088</v>
      </c>
      <c r="F242" s="28" t="s">
        <v>126</v>
      </c>
      <c r="G242" s="28" t="s">
        <v>315</v>
      </c>
      <c r="H242" s="28" t="s">
        <v>127</v>
      </c>
      <c r="I242" s="29">
        <v>68756</v>
      </c>
      <c r="J242" s="28" t="s">
        <v>128</v>
      </c>
      <c r="K242" s="30">
        <v>46189.75</v>
      </c>
      <c r="L242" s="28">
        <v>665</v>
      </c>
      <c r="M242" s="29">
        <v>3113</v>
      </c>
      <c r="N242" s="31">
        <v>446.67</v>
      </c>
      <c r="O242" s="31">
        <v>675</v>
      </c>
      <c r="P242" s="31">
        <v>1059.58</v>
      </c>
      <c r="Q242" s="28">
        <v>599</v>
      </c>
      <c r="R242" s="29">
        <v>13026</v>
      </c>
      <c r="S242" s="29">
        <v>35590</v>
      </c>
      <c r="T242" s="28">
        <v>3</v>
      </c>
      <c r="U242" s="28">
        <v>8</v>
      </c>
      <c r="V242" s="28">
        <v>21</v>
      </c>
      <c r="W242" s="30">
        <v>46275.625</v>
      </c>
      <c r="X242" s="32"/>
      <c r="Y242" s="28">
        <v>0</v>
      </c>
      <c r="Z242" s="33">
        <v>36044</v>
      </c>
      <c r="AA242">
        <v>228.32999999999998</v>
      </c>
      <c r="AB242" s="18">
        <v>0.51118275236751964</v>
      </c>
      <c r="AC242" s="19">
        <v>1.5111827523675196</v>
      </c>
      <c r="AD242" s="19">
        <v>1</v>
      </c>
      <c r="AE242" s="19">
        <v>0.88888888888888884</v>
      </c>
    </row>
    <row r="243" spans="1:31">
      <c r="A243">
        <v>247</v>
      </c>
      <c r="B243" t="s">
        <v>129</v>
      </c>
      <c r="C243" t="s">
        <v>130</v>
      </c>
      <c r="D243" t="s">
        <v>131</v>
      </c>
      <c r="E243" s="20">
        <v>46088</v>
      </c>
      <c r="F243" s="21" t="s">
        <v>132</v>
      </c>
      <c r="G243" s="21" t="s">
        <v>315</v>
      </c>
      <c r="H243" s="21" t="s">
        <v>68</v>
      </c>
      <c r="I243" s="22">
        <v>76416</v>
      </c>
      <c r="J243" s="21" t="s">
        <v>69</v>
      </c>
      <c r="K243" s="23">
        <v>46189.833333333336</v>
      </c>
      <c r="L243" s="21">
        <v>819</v>
      </c>
      <c r="M243" s="22">
        <v>3637</v>
      </c>
      <c r="N243" s="24">
        <v>695.04</v>
      </c>
      <c r="O243" s="24">
        <v>1120.52</v>
      </c>
      <c r="P243" s="24">
        <v>1873.66</v>
      </c>
      <c r="Q243" s="21">
        <v>616</v>
      </c>
      <c r="R243" s="22">
        <v>15001</v>
      </c>
      <c r="S243" s="22">
        <v>31931</v>
      </c>
      <c r="T243" s="21">
        <v>4</v>
      </c>
      <c r="U243" s="21">
        <v>9</v>
      </c>
      <c r="V243" s="21">
        <v>38</v>
      </c>
      <c r="W243" s="23">
        <v>46275.583333333336</v>
      </c>
      <c r="X243" s="25"/>
      <c r="Y243" s="21">
        <v>0</v>
      </c>
      <c r="Z243" s="26">
        <v>32215</v>
      </c>
      <c r="AA243">
        <v>425.48</v>
      </c>
      <c r="AB243" s="18">
        <v>0.61216620626151019</v>
      </c>
      <c r="AC243" s="19">
        <v>1.6121662062615101</v>
      </c>
      <c r="AD243" s="19">
        <v>0.73684210526315785</v>
      </c>
      <c r="AE243" s="19">
        <v>0.55263157894736836</v>
      </c>
    </row>
    <row r="244" spans="1:31">
      <c r="A244">
        <v>248</v>
      </c>
      <c r="B244" t="s">
        <v>137</v>
      </c>
      <c r="C244" t="s">
        <v>138</v>
      </c>
      <c r="D244" t="s">
        <v>131</v>
      </c>
      <c r="E244" s="27">
        <v>46088</v>
      </c>
      <c r="F244" s="28" t="s">
        <v>139</v>
      </c>
      <c r="G244" s="28" t="s">
        <v>315</v>
      </c>
      <c r="H244" s="28" t="s">
        <v>140</v>
      </c>
      <c r="I244" s="29">
        <v>75000</v>
      </c>
      <c r="J244" s="28" t="s">
        <v>141</v>
      </c>
      <c r="K244" s="30">
        <v>46189.875</v>
      </c>
      <c r="L244" s="28">
        <v>781</v>
      </c>
      <c r="M244" s="29">
        <v>3335</v>
      </c>
      <c r="N244" s="31">
        <v>218.96</v>
      </c>
      <c r="O244" s="31">
        <v>472.5</v>
      </c>
      <c r="P244" s="31">
        <v>727.5</v>
      </c>
      <c r="Q244" s="28">
        <v>561</v>
      </c>
      <c r="R244" s="29">
        <v>17180</v>
      </c>
      <c r="S244" s="29">
        <v>40509</v>
      </c>
      <c r="T244" s="28">
        <v>10</v>
      </c>
      <c r="U244" s="28">
        <v>16</v>
      </c>
      <c r="V244" s="28">
        <v>32</v>
      </c>
      <c r="W244" s="30">
        <v>46275.5</v>
      </c>
      <c r="X244" s="32"/>
      <c r="Y244" s="28">
        <v>0</v>
      </c>
      <c r="Z244" s="33">
        <v>40943</v>
      </c>
      <c r="AA244">
        <v>253.54</v>
      </c>
      <c r="AB244" s="18">
        <v>1.157928388746803</v>
      </c>
      <c r="AC244" s="19">
        <v>2.1579283887468028</v>
      </c>
      <c r="AD244" s="19">
        <v>2.1875</v>
      </c>
      <c r="AE244" s="19">
        <v>1.1666666666666667</v>
      </c>
    </row>
    <row r="245" spans="1:31">
      <c r="A245">
        <v>249</v>
      </c>
      <c r="B245" t="s">
        <v>142</v>
      </c>
      <c r="C245" t="s">
        <v>143</v>
      </c>
      <c r="D245" t="s">
        <v>144</v>
      </c>
      <c r="E245" s="20">
        <v>46088</v>
      </c>
      <c r="F245" s="21" t="s">
        <v>145</v>
      </c>
      <c r="G245" s="21" t="s">
        <v>314</v>
      </c>
      <c r="H245" s="21" t="s">
        <v>146</v>
      </c>
      <c r="I245" s="22">
        <v>30000</v>
      </c>
      <c r="J245" s="21" t="s">
        <v>147</v>
      </c>
      <c r="K245" s="23">
        <v>46190.791666666664</v>
      </c>
      <c r="L245" s="21">
        <v>453</v>
      </c>
      <c r="M245" s="22">
        <v>2230</v>
      </c>
      <c r="N245" s="24">
        <v>388.88</v>
      </c>
      <c r="O245" s="24">
        <v>610.72</v>
      </c>
      <c r="P245" s="24">
        <v>921.56</v>
      </c>
      <c r="Q245" s="21">
        <v>566</v>
      </c>
      <c r="R245" s="22">
        <v>13357</v>
      </c>
      <c r="S245" s="22">
        <v>29611</v>
      </c>
      <c r="T245" s="21">
        <v>6</v>
      </c>
      <c r="U245" s="21">
        <v>12</v>
      </c>
      <c r="V245" s="21">
        <v>26</v>
      </c>
      <c r="W245" s="23">
        <v>46275.5</v>
      </c>
      <c r="X245" s="25"/>
      <c r="Y245" s="21">
        <v>0</v>
      </c>
      <c r="Z245" s="26">
        <v>29838</v>
      </c>
      <c r="AA245">
        <v>221.84000000000003</v>
      </c>
      <c r="AB245" s="18">
        <v>0.57045875334293361</v>
      </c>
      <c r="AC245" s="19">
        <v>1.5704587533429337</v>
      </c>
      <c r="AD245" s="19">
        <v>1.6153846153846154</v>
      </c>
      <c r="AE245" s="19">
        <v>1.0769230769230769</v>
      </c>
    </row>
    <row r="246" spans="1:31">
      <c r="A246">
        <v>250</v>
      </c>
      <c r="B246" t="s">
        <v>151</v>
      </c>
      <c r="C246" t="s">
        <v>124</v>
      </c>
      <c r="D246" t="s">
        <v>152</v>
      </c>
      <c r="E246" s="27">
        <v>46088</v>
      </c>
      <c r="F246" s="28" t="s">
        <v>153</v>
      </c>
      <c r="G246" s="28" t="s">
        <v>315</v>
      </c>
      <c r="H246" s="28" t="s">
        <v>62</v>
      </c>
      <c r="I246" s="29">
        <v>71500</v>
      </c>
      <c r="J246" s="28" t="s">
        <v>63</v>
      </c>
      <c r="K246" s="30">
        <v>46190.5</v>
      </c>
      <c r="L246" s="28">
        <v>938</v>
      </c>
      <c r="M246" s="29">
        <v>4156</v>
      </c>
      <c r="N246" s="31">
        <v>621.09</v>
      </c>
      <c r="O246" s="31">
        <v>925</v>
      </c>
      <c r="P246" s="31">
        <v>1517.48</v>
      </c>
      <c r="Q246" s="28">
        <v>626</v>
      </c>
      <c r="R246" s="29">
        <v>14852</v>
      </c>
      <c r="S246" s="29">
        <v>35830</v>
      </c>
      <c r="T246" s="28">
        <v>5</v>
      </c>
      <c r="U246" s="28">
        <v>14</v>
      </c>
      <c r="V246" s="28">
        <v>41</v>
      </c>
      <c r="W246" s="30">
        <v>46275.583333333336</v>
      </c>
      <c r="X246" s="32"/>
      <c r="Y246" s="28">
        <v>0</v>
      </c>
      <c r="Z246" s="33">
        <v>36936</v>
      </c>
      <c r="AA246">
        <v>303.90999999999997</v>
      </c>
      <c r="AB246" s="18">
        <v>0.48931716820428595</v>
      </c>
      <c r="AC246" s="19">
        <v>1.4893171682042858</v>
      </c>
      <c r="AD246" s="19">
        <v>0.85365853658536595</v>
      </c>
      <c r="AE246" s="19">
        <v>0.79674796747967491</v>
      </c>
    </row>
    <row r="247" spans="1:31">
      <c r="A247">
        <v>251</v>
      </c>
      <c r="B247" t="s">
        <v>154</v>
      </c>
      <c r="C247" t="s">
        <v>155</v>
      </c>
      <c r="D247" t="s">
        <v>152</v>
      </c>
      <c r="E247" s="20">
        <v>46088</v>
      </c>
      <c r="F247" s="21" t="s">
        <v>156</v>
      </c>
      <c r="G247" s="21" t="s">
        <v>314</v>
      </c>
      <c r="H247" s="21" t="s">
        <v>56</v>
      </c>
      <c r="I247" s="22">
        <v>98500</v>
      </c>
      <c r="J247" s="21" t="s">
        <v>57</v>
      </c>
      <c r="K247" s="23">
        <v>46190.875</v>
      </c>
      <c r="L247" s="21">
        <v>448</v>
      </c>
      <c r="M247" s="22">
        <v>2359</v>
      </c>
      <c r="N247" s="24">
        <v>585.33000000000004</v>
      </c>
      <c r="O247" s="24">
        <v>855.3</v>
      </c>
      <c r="P247" s="24">
        <v>1129.94</v>
      </c>
      <c r="Q247" s="21">
        <v>573</v>
      </c>
      <c r="R247" s="22">
        <v>15807</v>
      </c>
      <c r="S247" s="22">
        <v>39481</v>
      </c>
      <c r="T247" s="21">
        <v>6</v>
      </c>
      <c r="U247" s="21">
        <v>21</v>
      </c>
      <c r="V247" s="21">
        <v>44</v>
      </c>
      <c r="W247" s="23">
        <v>46275.541666666664</v>
      </c>
      <c r="X247" s="25"/>
      <c r="Y247" s="21">
        <v>0</v>
      </c>
      <c r="Z247" s="26">
        <v>40753</v>
      </c>
      <c r="AA247">
        <v>269.96999999999991</v>
      </c>
      <c r="AB247" s="18">
        <v>0.46122700015375923</v>
      </c>
      <c r="AC247" s="19">
        <v>1.4612270001537593</v>
      </c>
      <c r="AD247" s="19">
        <v>0.95454545454545459</v>
      </c>
      <c r="AE247" s="19">
        <v>1.1136363636363638</v>
      </c>
    </row>
    <row r="248" spans="1:31">
      <c r="A248">
        <v>252</v>
      </c>
      <c r="B248" t="s">
        <v>161</v>
      </c>
      <c r="C248" t="s">
        <v>162</v>
      </c>
      <c r="D248" t="s">
        <v>159</v>
      </c>
      <c r="E248" s="27">
        <v>46088</v>
      </c>
      <c r="F248" s="28" t="s">
        <v>163</v>
      </c>
      <c r="G248" s="28" t="s">
        <v>314</v>
      </c>
      <c r="H248" s="28" t="s">
        <v>164</v>
      </c>
      <c r="I248" s="29">
        <v>54500</v>
      </c>
      <c r="J248" s="28" t="s">
        <v>165</v>
      </c>
      <c r="K248" s="30">
        <v>46191.625</v>
      </c>
      <c r="L248" s="28">
        <v>579</v>
      </c>
      <c r="M248" s="29">
        <v>2814</v>
      </c>
      <c r="N248" s="31">
        <v>447.93</v>
      </c>
      <c r="O248" s="31">
        <v>830.75</v>
      </c>
      <c r="P248" s="31">
        <v>1166.1300000000001</v>
      </c>
      <c r="Q248" s="28">
        <v>553</v>
      </c>
      <c r="R248" s="29">
        <v>16234</v>
      </c>
      <c r="S248" s="29">
        <v>39701</v>
      </c>
      <c r="T248" s="28">
        <v>2</v>
      </c>
      <c r="U248" s="28">
        <v>8</v>
      </c>
      <c r="V248" s="28">
        <v>27</v>
      </c>
      <c r="W248" s="30">
        <v>46275.375</v>
      </c>
      <c r="X248" s="32"/>
      <c r="Y248" s="28">
        <v>0</v>
      </c>
      <c r="Z248" s="33">
        <v>40943</v>
      </c>
      <c r="AA248">
        <v>382.82</v>
      </c>
      <c r="AB248" s="18">
        <v>0.85464246645681241</v>
      </c>
      <c r="AC248" s="19">
        <v>1.8546424664568124</v>
      </c>
      <c r="AD248" s="19">
        <v>0.51851851851851849</v>
      </c>
      <c r="AE248" s="19">
        <v>0.69135802469135799</v>
      </c>
    </row>
    <row r="249" spans="1:31">
      <c r="A249">
        <v>253</v>
      </c>
      <c r="B249" t="s">
        <v>51</v>
      </c>
      <c r="C249" t="s">
        <v>133</v>
      </c>
      <c r="D249" t="s">
        <v>53</v>
      </c>
      <c r="E249" s="20">
        <v>46088</v>
      </c>
      <c r="F249" s="21" t="s">
        <v>166</v>
      </c>
      <c r="G249" s="21" t="s">
        <v>314</v>
      </c>
      <c r="H249" s="21" t="s">
        <v>135</v>
      </c>
      <c r="I249" s="22">
        <v>49800</v>
      </c>
      <c r="J249" s="21" t="s">
        <v>136</v>
      </c>
      <c r="K249" s="23">
        <v>46191.833333333336</v>
      </c>
      <c r="L249" s="21">
        <v>418</v>
      </c>
      <c r="M249" s="22">
        <v>2916</v>
      </c>
      <c r="N249" s="24">
        <v>1481.22</v>
      </c>
      <c r="O249" s="24">
        <v>2557.9699999999998</v>
      </c>
      <c r="P249" s="24">
        <v>4033</v>
      </c>
      <c r="Q249" s="21">
        <v>585</v>
      </c>
      <c r="R249" s="22">
        <v>14626</v>
      </c>
      <c r="S249" s="22">
        <v>32738</v>
      </c>
      <c r="T249" s="21">
        <v>2</v>
      </c>
      <c r="U249" s="21">
        <v>7</v>
      </c>
      <c r="V249" s="21">
        <v>16</v>
      </c>
      <c r="W249" s="23">
        <v>46275.541666666664</v>
      </c>
      <c r="X249" s="25"/>
      <c r="Y249" s="21">
        <v>0</v>
      </c>
      <c r="Z249" s="26">
        <v>33040</v>
      </c>
      <c r="AA249">
        <v>1076.7499999999998</v>
      </c>
      <c r="AB249" s="18">
        <v>0.72693455394877182</v>
      </c>
      <c r="AC249" s="19">
        <v>1.7269345539487717</v>
      </c>
      <c r="AD249" s="19">
        <v>0.875</v>
      </c>
      <c r="AE249" s="19">
        <v>1.0208333333333335</v>
      </c>
    </row>
    <row r="250" spans="1:31">
      <c r="A250">
        <v>254</v>
      </c>
      <c r="B250" t="s">
        <v>167</v>
      </c>
      <c r="C250" t="s">
        <v>168</v>
      </c>
      <c r="D250" t="s">
        <v>169</v>
      </c>
      <c r="E250" s="27">
        <v>46088</v>
      </c>
      <c r="F250" s="28" t="s">
        <v>170</v>
      </c>
      <c r="G250" s="28" t="s">
        <v>315</v>
      </c>
      <c r="H250" s="28" t="s">
        <v>171</v>
      </c>
      <c r="I250" s="29">
        <v>69176</v>
      </c>
      <c r="J250" s="28" t="s">
        <v>172</v>
      </c>
      <c r="K250" s="30">
        <v>46192.875</v>
      </c>
      <c r="L250" s="28">
        <v>789</v>
      </c>
      <c r="M250" s="29">
        <v>3758</v>
      </c>
      <c r="N250" s="31">
        <v>648</v>
      </c>
      <c r="O250" s="31">
        <v>1040</v>
      </c>
      <c r="P250" s="31">
        <v>1471.47</v>
      </c>
      <c r="Q250" s="28">
        <v>590</v>
      </c>
      <c r="R250" s="29">
        <v>14546</v>
      </c>
      <c r="S250" s="29">
        <v>40925</v>
      </c>
      <c r="T250" s="28">
        <v>7</v>
      </c>
      <c r="U250" s="28">
        <v>21</v>
      </c>
      <c r="V250" s="28">
        <v>46</v>
      </c>
      <c r="W250" s="30">
        <v>46275.625</v>
      </c>
      <c r="X250" s="32"/>
      <c r="Y250" s="28">
        <v>0</v>
      </c>
      <c r="Z250" s="33">
        <v>42253</v>
      </c>
      <c r="AA250">
        <v>392</v>
      </c>
      <c r="AB250" s="18">
        <v>0.60493827160493829</v>
      </c>
      <c r="AC250" s="19">
        <v>1.6049382716049383</v>
      </c>
      <c r="AD250" s="19">
        <v>1.0652173913043479</v>
      </c>
      <c r="AE250" s="19">
        <v>1.0652173913043479</v>
      </c>
    </row>
    <row r="251" spans="1:31">
      <c r="A251">
        <v>255</v>
      </c>
      <c r="B251" t="s">
        <v>180</v>
      </c>
      <c r="C251" t="s">
        <v>181</v>
      </c>
      <c r="D251" t="s">
        <v>178</v>
      </c>
      <c r="E251" s="20">
        <v>46088</v>
      </c>
      <c r="F251" s="21" t="s">
        <v>182</v>
      </c>
      <c r="G251" s="21" t="s">
        <v>315</v>
      </c>
      <c r="H251" s="21" t="s">
        <v>118</v>
      </c>
      <c r="I251" s="22">
        <v>67000</v>
      </c>
      <c r="J251" s="21" t="s">
        <v>119</v>
      </c>
      <c r="K251" s="23">
        <v>46192.5</v>
      </c>
      <c r="L251" s="21">
        <v>667</v>
      </c>
      <c r="M251" s="22">
        <v>3441</v>
      </c>
      <c r="N251" s="24">
        <v>990</v>
      </c>
      <c r="O251" s="24">
        <v>1822.01</v>
      </c>
      <c r="P251" s="24">
        <v>3150</v>
      </c>
      <c r="Q251" s="21">
        <v>594</v>
      </c>
      <c r="R251" s="22">
        <v>13875</v>
      </c>
      <c r="S251" s="22">
        <v>31130</v>
      </c>
      <c r="T251" s="21">
        <v>3</v>
      </c>
      <c r="U251" s="21">
        <v>7</v>
      </c>
      <c r="V251" s="21">
        <v>16</v>
      </c>
      <c r="W251" s="23">
        <v>46275.5</v>
      </c>
      <c r="X251" s="25"/>
      <c r="Y251" s="21">
        <v>0</v>
      </c>
      <c r="Z251" s="26">
        <v>31425</v>
      </c>
      <c r="AA251">
        <v>832.01</v>
      </c>
      <c r="AB251" s="18">
        <v>0.84041414141414139</v>
      </c>
      <c r="AC251" s="19">
        <v>1.8404141414141415</v>
      </c>
      <c r="AD251" s="19">
        <v>1.3125</v>
      </c>
      <c r="AE251" s="19">
        <v>1.0208333333333335</v>
      </c>
    </row>
    <row r="252" spans="1:31">
      <c r="A252">
        <v>256</v>
      </c>
      <c r="B252" t="s">
        <v>58</v>
      </c>
      <c r="C252" t="s">
        <v>183</v>
      </c>
      <c r="D252" t="s">
        <v>60</v>
      </c>
      <c r="E252" s="27">
        <v>46088</v>
      </c>
      <c r="F252" s="28" t="s">
        <v>184</v>
      </c>
      <c r="G252" s="28" t="s">
        <v>314</v>
      </c>
      <c r="H252" s="28" t="s">
        <v>146</v>
      </c>
      <c r="I252" s="29">
        <v>30000</v>
      </c>
      <c r="J252" s="28" t="s">
        <v>147</v>
      </c>
      <c r="K252" s="30">
        <v>46193.666666666664</v>
      </c>
      <c r="L252" s="28">
        <v>443</v>
      </c>
      <c r="M252" s="29">
        <v>2411</v>
      </c>
      <c r="N252" s="31">
        <v>653.4</v>
      </c>
      <c r="O252" s="31">
        <v>930.51</v>
      </c>
      <c r="P252" s="31">
        <v>1270.8</v>
      </c>
      <c r="Q252" s="28">
        <v>622</v>
      </c>
      <c r="R252" s="29">
        <v>15409</v>
      </c>
      <c r="S252" s="29">
        <v>34656</v>
      </c>
      <c r="T252" s="28">
        <v>6</v>
      </c>
      <c r="U252" s="28">
        <v>17</v>
      </c>
      <c r="V252" s="28">
        <v>38</v>
      </c>
      <c r="W252" s="30">
        <v>46275.5</v>
      </c>
      <c r="X252" s="32"/>
      <c r="Y252" s="28">
        <v>0</v>
      </c>
      <c r="Z252" s="33">
        <v>34941</v>
      </c>
      <c r="AA252">
        <v>277.11</v>
      </c>
      <c r="AB252" s="18">
        <v>0.4241046831955923</v>
      </c>
      <c r="AC252" s="19">
        <v>1.4241046831955924</v>
      </c>
      <c r="AD252" s="19">
        <v>1.1052631578947367</v>
      </c>
      <c r="AE252" s="19">
        <v>1.0438596491228069</v>
      </c>
    </row>
    <row r="253" spans="1:31">
      <c r="A253">
        <v>257</v>
      </c>
      <c r="B253" t="s">
        <v>185</v>
      </c>
      <c r="C253" t="s">
        <v>59</v>
      </c>
      <c r="D253" t="s">
        <v>60</v>
      </c>
      <c r="E253" s="20">
        <v>46088</v>
      </c>
      <c r="F253" s="21" t="s">
        <v>186</v>
      </c>
      <c r="G253" s="21" t="s">
        <v>315</v>
      </c>
      <c r="H253" s="21" t="s">
        <v>68</v>
      </c>
      <c r="I253" s="22">
        <v>76416</v>
      </c>
      <c r="J253" s="21" t="s">
        <v>69</v>
      </c>
      <c r="K253" s="23">
        <v>46193.791666666664</v>
      </c>
      <c r="L253" s="21">
        <v>697</v>
      </c>
      <c r="M253" s="22">
        <v>3081</v>
      </c>
      <c r="N253" s="24">
        <v>286.36</v>
      </c>
      <c r="O253" s="24">
        <v>517</v>
      </c>
      <c r="P253" s="24">
        <v>750.28</v>
      </c>
      <c r="Q253" s="21">
        <v>524</v>
      </c>
      <c r="R253" s="22">
        <v>15680</v>
      </c>
      <c r="S253" s="22">
        <v>35907</v>
      </c>
      <c r="T253" s="21">
        <v>5</v>
      </c>
      <c r="U253" s="21">
        <v>10</v>
      </c>
      <c r="V253" s="21">
        <v>29</v>
      </c>
      <c r="W253" s="23">
        <v>46275.583333333336</v>
      </c>
      <c r="X253" s="25"/>
      <c r="Y253" s="21">
        <v>0</v>
      </c>
      <c r="Z253" s="26">
        <v>36258</v>
      </c>
      <c r="AA253">
        <v>230.64</v>
      </c>
      <c r="AB253" s="18">
        <v>0.80541975136192201</v>
      </c>
      <c r="AC253" s="19">
        <v>1.8054197513619219</v>
      </c>
      <c r="AD253" s="19">
        <v>1.2068965517241379</v>
      </c>
      <c r="AE253" s="19">
        <v>0.8045977011494253</v>
      </c>
    </row>
    <row r="254" spans="1:31">
      <c r="A254">
        <v>258</v>
      </c>
      <c r="B254" t="s">
        <v>93</v>
      </c>
      <c r="C254" t="s">
        <v>97</v>
      </c>
      <c r="D254" t="s">
        <v>95</v>
      </c>
      <c r="E254" s="27">
        <v>46088</v>
      </c>
      <c r="F254" s="28" t="s">
        <v>187</v>
      </c>
      <c r="G254" s="28" t="s">
        <v>315</v>
      </c>
      <c r="H254" s="28" t="s">
        <v>62</v>
      </c>
      <c r="I254" s="29">
        <v>71500</v>
      </c>
      <c r="J254" s="28" t="s">
        <v>63</v>
      </c>
      <c r="K254" s="30">
        <v>46193.5</v>
      </c>
      <c r="L254" s="28">
        <v>648</v>
      </c>
      <c r="M254" s="29">
        <v>3018</v>
      </c>
      <c r="N254" s="31">
        <v>377.48</v>
      </c>
      <c r="O254" s="31">
        <v>712.4</v>
      </c>
      <c r="P254" s="31">
        <v>1059.3499999999999</v>
      </c>
      <c r="Q254" s="28">
        <v>512</v>
      </c>
      <c r="R254" s="29">
        <v>14645</v>
      </c>
      <c r="S254" s="29">
        <v>34784</v>
      </c>
      <c r="T254" s="28">
        <v>2</v>
      </c>
      <c r="U254" s="28">
        <v>9</v>
      </c>
      <c r="V254" s="28">
        <v>28</v>
      </c>
      <c r="W254" s="30">
        <v>46275.583333333336</v>
      </c>
      <c r="X254" s="32"/>
      <c r="Y254" s="28">
        <v>0</v>
      </c>
      <c r="Z254" s="33">
        <v>35182</v>
      </c>
      <c r="AA254">
        <v>334.91999999999996</v>
      </c>
      <c r="AB254" s="18">
        <v>0.88725230475786776</v>
      </c>
      <c r="AC254" s="19">
        <v>1.8872523047578678</v>
      </c>
      <c r="AD254" s="19">
        <v>0.5</v>
      </c>
      <c r="AE254" s="19">
        <v>0.75</v>
      </c>
    </row>
    <row r="255" spans="1:31">
      <c r="A255">
        <v>259</v>
      </c>
      <c r="B255" t="s">
        <v>98</v>
      </c>
      <c r="C255" t="s">
        <v>94</v>
      </c>
      <c r="D255" t="s">
        <v>95</v>
      </c>
      <c r="E255" s="20">
        <v>46088</v>
      </c>
      <c r="F255" s="21" t="s">
        <v>188</v>
      </c>
      <c r="G255" s="21" t="s">
        <v>314</v>
      </c>
      <c r="H255" s="21" t="s">
        <v>100</v>
      </c>
      <c r="I255" s="22">
        <v>52237</v>
      </c>
      <c r="J255" s="21" t="s">
        <v>101</v>
      </c>
      <c r="K255" s="23">
        <v>46193.958333333336</v>
      </c>
      <c r="L255" s="21">
        <v>362</v>
      </c>
      <c r="M255" s="22">
        <v>1781</v>
      </c>
      <c r="N255" s="24">
        <v>228.16</v>
      </c>
      <c r="O255" s="24">
        <v>375</v>
      </c>
      <c r="P255" s="24">
        <v>599.86</v>
      </c>
      <c r="Q255" s="21">
        <v>565</v>
      </c>
      <c r="R255" s="22">
        <v>16445</v>
      </c>
      <c r="S255" s="22">
        <v>39052</v>
      </c>
      <c r="T255" s="21">
        <v>6</v>
      </c>
      <c r="U255" s="21">
        <v>21</v>
      </c>
      <c r="V255" s="21">
        <v>43</v>
      </c>
      <c r="W255" s="23">
        <v>46275.541666666664</v>
      </c>
      <c r="X255" s="25"/>
      <c r="Y255" s="21">
        <v>0</v>
      </c>
      <c r="Z255" s="26">
        <v>39533</v>
      </c>
      <c r="AA255">
        <v>146.84</v>
      </c>
      <c r="AB255" s="18">
        <v>0.64358345021037866</v>
      </c>
      <c r="AC255" s="19">
        <v>1.6435834502103788</v>
      </c>
      <c r="AD255" s="19">
        <v>0.97674418604651159</v>
      </c>
      <c r="AE255" s="19">
        <v>1.1395348837209303</v>
      </c>
    </row>
    <row r="256" spans="1:31">
      <c r="A256">
        <v>260</v>
      </c>
      <c r="B256" t="s">
        <v>103</v>
      </c>
      <c r="C256" t="s">
        <v>107</v>
      </c>
      <c r="D256" t="s">
        <v>104</v>
      </c>
      <c r="E256" s="27">
        <v>46088</v>
      </c>
      <c r="F256" s="28" t="s">
        <v>189</v>
      </c>
      <c r="G256" s="28" t="s">
        <v>315</v>
      </c>
      <c r="H256" s="28" t="s">
        <v>85</v>
      </c>
      <c r="I256" s="29">
        <v>76100</v>
      </c>
      <c r="J256" s="28" t="s">
        <v>86</v>
      </c>
      <c r="K256" s="30">
        <v>46194.75</v>
      </c>
      <c r="L256" s="28">
        <v>876</v>
      </c>
      <c r="M256" s="29">
        <v>3696</v>
      </c>
      <c r="N256" s="31">
        <v>303.52</v>
      </c>
      <c r="O256" s="31">
        <v>429.55</v>
      </c>
      <c r="P256" s="31">
        <v>675</v>
      </c>
      <c r="Q256" s="28">
        <v>562</v>
      </c>
      <c r="R256" s="29">
        <v>17297</v>
      </c>
      <c r="S256" s="29">
        <v>42737</v>
      </c>
      <c r="T256" s="28">
        <v>3</v>
      </c>
      <c r="U256" s="28">
        <v>10</v>
      </c>
      <c r="V256" s="28">
        <v>21</v>
      </c>
      <c r="W256" s="30">
        <v>46275.625</v>
      </c>
      <c r="X256" s="32"/>
      <c r="Y256" s="28">
        <v>0</v>
      </c>
      <c r="Z256" s="33">
        <v>44026</v>
      </c>
      <c r="AA256">
        <v>126.03000000000003</v>
      </c>
      <c r="AB256" s="18">
        <v>0.41522799156563006</v>
      </c>
      <c r="AC256" s="19">
        <v>1.4152279915656301</v>
      </c>
      <c r="AD256" s="19">
        <v>1</v>
      </c>
      <c r="AE256" s="19">
        <v>1.1111111111111112</v>
      </c>
    </row>
    <row r="257" spans="1:31">
      <c r="A257">
        <v>261</v>
      </c>
      <c r="B257" t="s">
        <v>106</v>
      </c>
      <c r="C257" t="s">
        <v>102</v>
      </c>
      <c r="D257" t="s">
        <v>104</v>
      </c>
      <c r="E257" s="20">
        <v>46088</v>
      </c>
      <c r="F257" s="21" t="s">
        <v>190</v>
      </c>
      <c r="G257" s="21" t="s">
        <v>315</v>
      </c>
      <c r="H257" s="21" t="s">
        <v>79</v>
      </c>
      <c r="I257" s="22">
        <v>71000</v>
      </c>
      <c r="J257" s="21" t="s">
        <v>80</v>
      </c>
      <c r="K257" s="23">
        <v>46194.5</v>
      </c>
      <c r="L257" s="21">
        <v>737</v>
      </c>
      <c r="M257" s="22">
        <v>3555</v>
      </c>
      <c r="N257" s="24">
        <v>384.26</v>
      </c>
      <c r="O257" s="24">
        <v>704.29</v>
      </c>
      <c r="P257" s="24">
        <v>1160</v>
      </c>
      <c r="Q257" s="21">
        <v>579</v>
      </c>
      <c r="R257" s="22">
        <v>12931</v>
      </c>
      <c r="S257" s="22">
        <v>28824</v>
      </c>
      <c r="T257" s="21">
        <v>6</v>
      </c>
      <c r="U257" s="21">
        <v>20</v>
      </c>
      <c r="V257" s="21">
        <v>60</v>
      </c>
      <c r="W257" s="23">
        <v>46275.625</v>
      </c>
      <c r="X257" s="25"/>
      <c r="Y257" s="21">
        <v>0</v>
      </c>
      <c r="Z257" s="26">
        <v>29875</v>
      </c>
      <c r="AA257">
        <v>320.02999999999997</v>
      </c>
      <c r="AB257" s="18">
        <v>0.83284755113725073</v>
      </c>
      <c r="AC257" s="19">
        <v>1.8328475511372508</v>
      </c>
      <c r="AD257" s="19">
        <v>0.70000000000000007</v>
      </c>
      <c r="AE257" s="19">
        <v>0.77777777777777779</v>
      </c>
    </row>
    <row r="258" spans="1:31">
      <c r="A258">
        <v>262</v>
      </c>
      <c r="B258" t="s">
        <v>115</v>
      </c>
      <c r="C258" t="s">
        <v>109</v>
      </c>
      <c r="D258" t="s">
        <v>111</v>
      </c>
      <c r="E258" s="27">
        <v>46088</v>
      </c>
      <c r="F258" s="28" t="s">
        <v>191</v>
      </c>
      <c r="G258" s="28" t="s">
        <v>315</v>
      </c>
      <c r="H258" s="28" t="s">
        <v>113</v>
      </c>
      <c r="I258" s="29">
        <v>70240</v>
      </c>
      <c r="J258" s="28" t="s">
        <v>114</v>
      </c>
      <c r="K258" s="30">
        <v>46194.5</v>
      </c>
      <c r="L258" s="29">
        <v>1070</v>
      </c>
      <c r="M258" s="29">
        <v>4377</v>
      </c>
      <c r="N258" s="31">
        <v>261.2</v>
      </c>
      <c r="O258" s="31">
        <v>594.91999999999996</v>
      </c>
      <c r="P258" s="31">
        <v>990.21</v>
      </c>
      <c r="Q258" s="28">
        <v>530</v>
      </c>
      <c r="R258" s="29">
        <v>15468</v>
      </c>
      <c r="S258" s="29">
        <v>40101</v>
      </c>
      <c r="T258" s="28">
        <v>4</v>
      </c>
      <c r="U258" s="28">
        <v>12</v>
      </c>
      <c r="V258" s="28">
        <v>31</v>
      </c>
      <c r="W258" s="30">
        <v>46275.5</v>
      </c>
      <c r="X258" s="32"/>
      <c r="Y258" s="28">
        <v>0</v>
      </c>
      <c r="Z258" s="33">
        <v>41361</v>
      </c>
      <c r="AA258">
        <v>333.71999999999997</v>
      </c>
      <c r="AB258" s="18">
        <v>1.2776416539050535</v>
      </c>
      <c r="AC258" s="19">
        <v>2.2776416539050537</v>
      </c>
      <c r="AD258" s="19">
        <v>0.90322580645161288</v>
      </c>
      <c r="AE258" s="19">
        <v>0.90322580645161288</v>
      </c>
    </row>
    <row r="259" spans="1:31">
      <c r="A259">
        <v>263</v>
      </c>
      <c r="B259" t="s">
        <v>110</v>
      </c>
      <c r="C259" t="s">
        <v>116</v>
      </c>
      <c r="D259" t="s">
        <v>111</v>
      </c>
      <c r="E259" s="20">
        <v>46088</v>
      </c>
      <c r="F259" s="21" t="s">
        <v>193</v>
      </c>
      <c r="G259" s="21" t="s">
        <v>314</v>
      </c>
      <c r="H259" s="21" t="s">
        <v>164</v>
      </c>
      <c r="I259" s="22">
        <v>54500</v>
      </c>
      <c r="J259" s="21" t="s">
        <v>165</v>
      </c>
      <c r="K259" s="23">
        <v>46194.75</v>
      </c>
      <c r="L259" s="21">
        <v>479</v>
      </c>
      <c r="M259" s="22">
        <v>2399</v>
      </c>
      <c r="N259" s="24">
        <v>285</v>
      </c>
      <c r="O259" s="24">
        <v>448</v>
      </c>
      <c r="P259" s="24">
        <v>899.57</v>
      </c>
      <c r="Q259" s="21">
        <v>551</v>
      </c>
      <c r="R259" s="22">
        <v>17614</v>
      </c>
      <c r="S259" s="22">
        <v>41181</v>
      </c>
      <c r="T259" s="21">
        <v>0</v>
      </c>
      <c r="U259" s="21">
        <v>2</v>
      </c>
      <c r="V259" s="21">
        <v>11</v>
      </c>
      <c r="W259" s="23">
        <v>46275.375</v>
      </c>
      <c r="X259" s="25"/>
      <c r="Y259" s="21">
        <v>0</v>
      </c>
      <c r="Z259" s="26">
        <v>41648</v>
      </c>
      <c r="AA259">
        <v>163</v>
      </c>
      <c r="AB259" s="18">
        <v>0.57192982456140351</v>
      </c>
      <c r="AC259" s="19">
        <v>1.5719298245614035</v>
      </c>
      <c r="AD259" s="19">
        <v>0</v>
      </c>
      <c r="AE259" s="19">
        <v>0.42424242424242425</v>
      </c>
    </row>
    <row r="260" spans="1:31">
      <c r="A260">
        <v>264</v>
      </c>
      <c r="B260" t="s">
        <v>125</v>
      </c>
      <c r="C260" t="s">
        <v>121</v>
      </c>
      <c r="D260" t="s">
        <v>122</v>
      </c>
      <c r="E260" s="27">
        <v>46088</v>
      </c>
      <c r="F260" s="28" t="s">
        <v>194</v>
      </c>
      <c r="G260" s="28" t="s">
        <v>315</v>
      </c>
      <c r="H260" s="28" t="s">
        <v>91</v>
      </c>
      <c r="I260" s="29">
        <v>82500</v>
      </c>
      <c r="J260" s="28" t="s">
        <v>92</v>
      </c>
      <c r="K260" s="30">
        <v>46195.833333333336</v>
      </c>
      <c r="L260" s="28">
        <v>734</v>
      </c>
      <c r="M260" s="29">
        <v>3292</v>
      </c>
      <c r="N260" s="31">
        <v>396.59</v>
      </c>
      <c r="O260" s="31">
        <v>674.84</v>
      </c>
      <c r="P260" s="31">
        <v>1034.56</v>
      </c>
      <c r="Q260" s="28">
        <v>599</v>
      </c>
      <c r="R260" s="29">
        <v>16734</v>
      </c>
      <c r="S260" s="29">
        <v>41133</v>
      </c>
      <c r="T260" s="28">
        <v>2</v>
      </c>
      <c r="U260" s="28">
        <v>10</v>
      </c>
      <c r="V260" s="28">
        <v>32</v>
      </c>
      <c r="W260" s="30">
        <v>46275.625</v>
      </c>
      <c r="X260" s="32"/>
      <c r="Y260" s="28">
        <v>0</v>
      </c>
      <c r="Z260" s="33">
        <v>41617</v>
      </c>
      <c r="AA260">
        <v>278.25000000000006</v>
      </c>
      <c r="AB260" s="18">
        <v>0.70160619279356529</v>
      </c>
      <c r="AC260" s="19">
        <v>1.7016061927935653</v>
      </c>
      <c r="AD260" s="19">
        <v>0.4375</v>
      </c>
      <c r="AE260" s="19">
        <v>0.72916666666666674</v>
      </c>
    </row>
    <row r="261" spans="1:31">
      <c r="A261">
        <v>265</v>
      </c>
      <c r="B261" t="s">
        <v>120</v>
      </c>
      <c r="C261" t="s">
        <v>124</v>
      </c>
      <c r="D261" t="s">
        <v>122</v>
      </c>
      <c r="E261" s="20">
        <v>46088</v>
      </c>
      <c r="F261" s="21" t="s">
        <v>195</v>
      </c>
      <c r="G261" s="21" t="s">
        <v>315</v>
      </c>
      <c r="H261" s="21" t="s">
        <v>171</v>
      </c>
      <c r="I261" s="22">
        <v>69176</v>
      </c>
      <c r="J261" s="21" t="s">
        <v>172</v>
      </c>
      <c r="K261" s="23">
        <v>46195.708333333336</v>
      </c>
      <c r="L261" s="21">
        <v>762</v>
      </c>
      <c r="M261" s="22">
        <v>3281</v>
      </c>
      <c r="N261" s="24">
        <v>491.74</v>
      </c>
      <c r="O261" s="24">
        <v>700</v>
      </c>
      <c r="P261" s="24">
        <v>1000</v>
      </c>
      <c r="Q261" s="21">
        <v>577</v>
      </c>
      <c r="R261" s="22">
        <v>14723</v>
      </c>
      <c r="S261" s="22">
        <v>34310</v>
      </c>
      <c r="T261" s="21">
        <v>9</v>
      </c>
      <c r="U261" s="21">
        <v>27</v>
      </c>
      <c r="V261" s="21">
        <v>55</v>
      </c>
      <c r="W261" s="23">
        <v>46275.625</v>
      </c>
      <c r="X261" s="25"/>
      <c r="Y261" s="21">
        <v>0</v>
      </c>
      <c r="Z261" s="26">
        <v>35444</v>
      </c>
      <c r="AA261">
        <v>208.26</v>
      </c>
      <c r="AB261" s="18">
        <v>0.42351649245536255</v>
      </c>
      <c r="AC261" s="19">
        <v>1.4235164924553625</v>
      </c>
      <c r="AD261" s="19">
        <v>1.1454545454545455</v>
      </c>
      <c r="AE261" s="19">
        <v>1.1454545454545455</v>
      </c>
    </row>
    <row r="262" spans="1:31">
      <c r="A262">
        <v>266</v>
      </c>
      <c r="B262" t="s">
        <v>129</v>
      </c>
      <c r="C262" t="s">
        <v>137</v>
      </c>
      <c r="D262" t="s">
        <v>131</v>
      </c>
      <c r="E262" s="27">
        <v>46088</v>
      </c>
      <c r="F262" s="28" t="s">
        <v>196</v>
      </c>
      <c r="G262" s="28" t="s">
        <v>315</v>
      </c>
      <c r="H262" s="28" t="s">
        <v>74</v>
      </c>
      <c r="I262" s="29">
        <v>80000</v>
      </c>
      <c r="J262" s="28" t="s">
        <v>75</v>
      </c>
      <c r="K262" s="30">
        <v>46195.5</v>
      </c>
      <c r="L262" s="28">
        <v>697</v>
      </c>
      <c r="M262" s="29">
        <v>3791</v>
      </c>
      <c r="N262" s="31">
        <v>1050</v>
      </c>
      <c r="O262" s="31">
        <v>1765.8</v>
      </c>
      <c r="P262" s="31">
        <v>3344.75</v>
      </c>
      <c r="Q262" s="28">
        <v>587</v>
      </c>
      <c r="R262" s="29">
        <v>18066</v>
      </c>
      <c r="S262" s="29">
        <v>43892</v>
      </c>
      <c r="T262" s="28">
        <v>1</v>
      </c>
      <c r="U262" s="28">
        <v>7</v>
      </c>
      <c r="V262" s="28">
        <v>24</v>
      </c>
      <c r="W262" s="30">
        <v>46275.583333333336</v>
      </c>
      <c r="X262" s="32"/>
      <c r="Y262" s="28">
        <v>0</v>
      </c>
      <c r="Z262" s="33">
        <v>44411</v>
      </c>
      <c r="AA262">
        <v>715.8</v>
      </c>
      <c r="AB262" s="18">
        <v>0.68171428571428572</v>
      </c>
      <c r="AC262" s="19">
        <v>1.6817142857142857</v>
      </c>
      <c r="AD262" s="19">
        <v>0.29166666666666669</v>
      </c>
      <c r="AE262" s="19">
        <v>0.68055555555555569</v>
      </c>
    </row>
    <row r="263" spans="1:31">
      <c r="A263">
        <v>267</v>
      </c>
      <c r="B263" t="s">
        <v>138</v>
      </c>
      <c r="C263" t="s">
        <v>130</v>
      </c>
      <c r="D263" t="s">
        <v>131</v>
      </c>
      <c r="E263" s="20">
        <v>46088</v>
      </c>
      <c r="F263" s="21" t="s">
        <v>197</v>
      </c>
      <c r="G263" s="21" t="s">
        <v>315</v>
      </c>
      <c r="H263" s="21" t="s">
        <v>140</v>
      </c>
      <c r="I263" s="22">
        <v>75000</v>
      </c>
      <c r="J263" s="21" t="s">
        <v>141</v>
      </c>
      <c r="K263" s="23">
        <v>46195.833333333336</v>
      </c>
      <c r="L263" s="21">
        <v>787</v>
      </c>
      <c r="M263" s="22">
        <v>3359</v>
      </c>
      <c r="N263" s="24">
        <v>180</v>
      </c>
      <c r="O263" s="24">
        <v>418.07</v>
      </c>
      <c r="P263" s="24">
        <v>685</v>
      </c>
      <c r="Q263" s="21">
        <v>544</v>
      </c>
      <c r="R263" s="22">
        <v>13324</v>
      </c>
      <c r="S263" s="22">
        <v>35437</v>
      </c>
      <c r="T263" s="21">
        <v>2</v>
      </c>
      <c r="U263" s="21">
        <v>9</v>
      </c>
      <c r="V263" s="21">
        <v>23</v>
      </c>
      <c r="W263" s="23">
        <v>46275.5</v>
      </c>
      <c r="X263" s="25"/>
      <c r="Y263" s="21">
        <v>0</v>
      </c>
      <c r="Z263" s="26">
        <v>35890</v>
      </c>
      <c r="AA263">
        <v>238.07</v>
      </c>
      <c r="AB263" s="18">
        <v>1.3226111111111112</v>
      </c>
      <c r="AC263" s="19">
        <v>2.3226111111111112</v>
      </c>
      <c r="AD263" s="19">
        <v>0.60869565217391308</v>
      </c>
      <c r="AE263" s="19">
        <v>0.91304347826086962</v>
      </c>
    </row>
    <row r="264" spans="1:31">
      <c r="A264">
        <v>268</v>
      </c>
      <c r="B264" t="s">
        <v>143</v>
      </c>
      <c r="C264" t="s">
        <v>149</v>
      </c>
      <c r="D264" t="s">
        <v>144</v>
      </c>
      <c r="E264" s="27">
        <v>46088</v>
      </c>
      <c r="F264" s="28" t="s">
        <v>199</v>
      </c>
      <c r="G264" s="28" t="s">
        <v>314</v>
      </c>
      <c r="H264" s="28" t="s">
        <v>146</v>
      </c>
      <c r="I264" s="29">
        <v>30000</v>
      </c>
      <c r="J264" s="28" t="s">
        <v>147</v>
      </c>
      <c r="K264" s="30">
        <v>46196.791666666664</v>
      </c>
      <c r="L264" s="28">
        <v>507</v>
      </c>
      <c r="M264" s="29">
        <v>2278</v>
      </c>
      <c r="N264" s="31">
        <v>416.89</v>
      </c>
      <c r="O264" s="31">
        <v>686</v>
      </c>
      <c r="P264" s="31">
        <v>1035.9100000000001</v>
      </c>
      <c r="Q264" s="28">
        <v>604</v>
      </c>
      <c r="R264" s="29">
        <v>18145</v>
      </c>
      <c r="S264" s="29">
        <v>43426</v>
      </c>
      <c r="T264" s="28">
        <v>6</v>
      </c>
      <c r="U264" s="28">
        <v>18</v>
      </c>
      <c r="V264" s="28">
        <v>52</v>
      </c>
      <c r="W264" s="30">
        <v>46275.5</v>
      </c>
      <c r="X264" s="32"/>
      <c r="Y264" s="28">
        <v>0</v>
      </c>
      <c r="Z264" s="33">
        <v>43910</v>
      </c>
      <c r="AA264">
        <v>269.11</v>
      </c>
      <c r="AB264" s="18">
        <v>0.64551800235074008</v>
      </c>
      <c r="AC264" s="19">
        <v>1.6455180023507401</v>
      </c>
      <c r="AD264" s="19">
        <v>0.80769230769230771</v>
      </c>
      <c r="AE264" s="19">
        <v>0.80769230769230771</v>
      </c>
    </row>
    <row r="265" spans="1:31">
      <c r="A265">
        <v>269</v>
      </c>
      <c r="B265" t="s">
        <v>151</v>
      </c>
      <c r="C265" t="s">
        <v>154</v>
      </c>
      <c r="D265" t="s">
        <v>152</v>
      </c>
      <c r="E265" s="20">
        <v>46088</v>
      </c>
      <c r="F265" s="21" t="s">
        <v>200</v>
      </c>
      <c r="G265" s="21" t="s">
        <v>315</v>
      </c>
      <c r="H265" s="21" t="s">
        <v>62</v>
      </c>
      <c r="I265" s="22">
        <v>71500</v>
      </c>
      <c r="J265" s="21" t="s">
        <v>63</v>
      </c>
      <c r="K265" s="23">
        <v>46196.5</v>
      </c>
      <c r="L265" s="21">
        <v>925</v>
      </c>
      <c r="M265" s="22">
        <v>4156</v>
      </c>
      <c r="N265" s="24">
        <v>417.64</v>
      </c>
      <c r="O265" s="24">
        <v>855</v>
      </c>
      <c r="P265" s="24">
        <v>1300.0999999999999</v>
      </c>
      <c r="Q265" s="21">
        <v>588</v>
      </c>
      <c r="R265" s="22">
        <v>14422</v>
      </c>
      <c r="S265" s="22">
        <v>32327</v>
      </c>
      <c r="T265" s="21">
        <v>3</v>
      </c>
      <c r="U265" s="21">
        <v>15</v>
      </c>
      <c r="V265" s="21">
        <v>42</v>
      </c>
      <c r="W265" s="23">
        <v>46275.583333333336</v>
      </c>
      <c r="X265" s="25"/>
      <c r="Y265" s="21">
        <v>0</v>
      </c>
      <c r="Z265" s="26">
        <v>32599</v>
      </c>
      <c r="AA265">
        <v>437.36</v>
      </c>
      <c r="AB265" s="18">
        <v>1.0472176994540754</v>
      </c>
      <c r="AC265" s="19">
        <v>2.0472176994540754</v>
      </c>
      <c r="AD265" s="19">
        <v>0.5</v>
      </c>
      <c r="AE265" s="19">
        <v>0.83333333333333337</v>
      </c>
    </row>
    <row r="266" spans="1:31">
      <c r="A266">
        <v>270</v>
      </c>
      <c r="B266" t="s">
        <v>155</v>
      </c>
      <c r="C266" t="s">
        <v>124</v>
      </c>
      <c r="D266" t="s">
        <v>152</v>
      </c>
      <c r="E266" s="27">
        <v>46088</v>
      </c>
      <c r="F266" s="28" t="s">
        <v>201</v>
      </c>
      <c r="G266" s="28" t="s">
        <v>314</v>
      </c>
      <c r="H266" s="28" t="s">
        <v>135</v>
      </c>
      <c r="I266" s="29">
        <v>49800</v>
      </c>
      <c r="J266" s="28" t="s">
        <v>136</v>
      </c>
      <c r="K266" s="30">
        <v>46196.875</v>
      </c>
      <c r="L266" s="28">
        <v>373</v>
      </c>
      <c r="M266" s="29">
        <v>1986</v>
      </c>
      <c r="N266" s="31">
        <v>624.71</v>
      </c>
      <c r="O266" s="31">
        <v>943</v>
      </c>
      <c r="P266" s="31">
        <v>1383.73</v>
      </c>
      <c r="Q266" s="28">
        <v>572</v>
      </c>
      <c r="R266" s="29">
        <v>17632</v>
      </c>
      <c r="S266" s="29">
        <v>40829</v>
      </c>
      <c r="T266" s="28">
        <v>3</v>
      </c>
      <c r="U266" s="28">
        <v>10</v>
      </c>
      <c r="V266" s="28">
        <v>19</v>
      </c>
      <c r="W266" s="30">
        <v>46275.541666666664</v>
      </c>
      <c r="X266" s="32"/>
      <c r="Y266" s="28">
        <v>0</v>
      </c>
      <c r="Z266" s="33">
        <v>41251</v>
      </c>
      <c r="AA266">
        <v>318.28999999999996</v>
      </c>
      <c r="AB266" s="18">
        <v>0.50950040818939979</v>
      </c>
      <c r="AC266" s="19">
        <v>1.5095004081893999</v>
      </c>
      <c r="AD266" s="19">
        <v>1.1052631578947367</v>
      </c>
      <c r="AE266" s="19">
        <v>1.2280701754385965</v>
      </c>
    </row>
    <row r="267" spans="1:31">
      <c r="A267">
        <v>271</v>
      </c>
      <c r="B267" t="s">
        <v>158</v>
      </c>
      <c r="C267" t="s">
        <v>161</v>
      </c>
      <c r="D267" t="s">
        <v>159</v>
      </c>
      <c r="E267" s="20">
        <v>46088</v>
      </c>
      <c r="F267" s="21" t="s">
        <v>205</v>
      </c>
      <c r="G267" s="21" t="s">
        <v>314</v>
      </c>
      <c r="H267" s="21" t="s">
        <v>164</v>
      </c>
      <c r="I267" s="22">
        <v>54500</v>
      </c>
      <c r="J267" s="21" t="s">
        <v>165</v>
      </c>
      <c r="K267" s="23">
        <v>46197.5</v>
      </c>
      <c r="L267" s="21">
        <v>687</v>
      </c>
      <c r="M267" s="22">
        <v>3174</v>
      </c>
      <c r="N267" s="24">
        <v>564.29999999999995</v>
      </c>
      <c r="O267" s="24">
        <v>855</v>
      </c>
      <c r="P267" s="24">
        <v>1258.54</v>
      </c>
      <c r="Q267" s="21">
        <v>577</v>
      </c>
      <c r="R267" s="22">
        <v>15139</v>
      </c>
      <c r="S267" s="22">
        <v>34494</v>
      </c>
      <c r="T267" s="21">
        <v>2</v>
      </c>
      <c r="U267" s="21">
        <v>7</v>
      </c>
      <c r="V267" s="21">
        <v>23</v>
      </c>
      <c r="W267" s="23">
        <v>46275.375</v>
      </c>
      <c r="X267" s="25"/>
      <c r="Y267" s="21">
        <v>0</v>
      </c>
      <c r="Z267" s="26">
        <v>35563</v>
      </c>
      <c r="AA267">
        <v>290.70000000000005</v>
      </c>
      <c r="AB267" s="18">
        <v>0.51515151515151525</v>
      </c>
      <c r="AC267" s="19">
        <v>1.5151515151515154</v>
      </c>
      <c r="AD267" s="19">
        <v>0.60869565217391308</v>
      </c>
      <c r="AE267" s="19">
        <v>0.71014492753623193</v>
      </c>
    </row>
    <row r="268" spans="1:31">
      <c r="A268">
        <v>272</v>
      </c>
      <c r="B268" t="s">
        <v>59</v>
      </c>
      <c r="C268" t="s">
        <v>183</v>
      </c>
      <c r="D268" t="s">
        <v>60</v>
      </c>
      <c r="E268" s="27">
        <v>46088</v>
      </c>
      <c r="F268" s="28" t="s">
        <v>209</v>
      </c>
      <c r="G268" s="28" t="s">
        <v>315</v>
      </c>
      <c r="H268" s="28" t="s">
        <v>171</v>
      </c>
      <c r="I268" s="29">
        <v>69176</v>
      </c>
      <c r="J268" s="28" t="s">
        <v>172</v>
      </c>
      <c r="K268" s="30">
        <v>46198.666666666664</v>
      </c>
      <c r="L268" s="28">
        <v>674</v>
      </c>
      <c r="M268" s="29">
        <v>3032</v>
      </c>
      <c r="N268" s="31">
        <v>219.7</v>
      </c>
      <c r="O268" s="31">
        <v>408.38</v>
      </c>
      <c r="P268" s="31">
        <v>849.82</v>
      </c>
      <c r="Q268" s="28">
        <v>594</v>
      </c>
      <c r="R268" s="29">
        <v>13299</v>
      </c>
      <c r="S268" s="29">
        <v>31207</v>
      </c>
      <c r="T268" s="28">
        <v>1</v>
      </c>
      <c r="U268" s="28">
        <v>5</v>
      </c>
      <c r="V268" s="28">
        <v>24</v>
      </c>
      <c r="W268" s="30">
        <v>46275.625</v>
      </c>
      <c r="X268" s="32"/>
      <c r="Y268" s="28">
        <v>0</v>
      </c>
      <c r="Z268" s="33">
        <v>32257</v>
      </c>
      <c r="AA268">
        <v>188.68</v>
      </c>
      <c r="AB268" s="18">
        <v>0.85880746472462455</v>
      </c>
      <c r="AC268" s="19">
        <v>1.8588074647246247</v>
      </c>
      <c r="AD268" s="19">
        <v>0.29166666666666669</v>
      </c>
      <c r="AE268" s="19">
        <v>0.48611111111111116</v>
      </c>
    </row>
    <row r="269" spans="1:31">
      <c r="A269">
        <v>273</v>
      </c>
      <c r="B269" t="s">
        <v>185</v>
      </c>
      <c r="C269" t="s">
        <v>58</v>
      </c>
      <c r="D269" t="s">
        <v>60</v>
      </c>
      <c r="E269" s="20">
        <v>46088</v>
      </c>
      <c r="F269" s="21" t="s">
        <v>210</v>
      </c>
      <c r="G269" s="21" t="s">
        <v>315</v>
      </c>
      <c r="H269" s="21" t="s">
        <v>91</v>
      </c>
      <c r="I269" s="22">
        <v>82500</v>
      </c>
      <c r="J269" s="21" t="s">
        <v>92</v>
      </c>
      <c r="K269" s="23">
        <v>46198.666666666664</v>
      </c>
      <c r="L269" s="21">
        <v>949</v>
      </c>
      <c r="M269" s="22">
        <v>4691</v>
      </c>
      <c r="N269" s="24">
        <v>800.4</v>
      </c>
      <c r="O269" s="24">
        <v>1350</v>
      </c>
      <c r="P269" s="24">
        <v>2430</v>
      </c>
      <c r="Q269" s="21">
        <v>610</v>
      </c>
      <c r="R269" s="22">
        <v>14603</v>
      </c>
      <c r="S269" s="22">
        <v>42269</v>
      </c>
      <c r="T269" s="21">
        <v>9</v>
      </c>
      <c r="U269" s="21">
        <v>16</v>
      </c>
      <c r="V269" s="21">
        <v>42</v>
      </c>
      <c r="W269" s="23">
        <v>46275.625</v>
      </c>
      <c r="X269" s="25"/>
      <c r="Y269" s="21">
        <v>0</v>
      </c>
      <c r="Z269" s="26">
        <v>43598</v>
      </c>
      <c r="AA269">
        <v>549.6</v>
      </c>
      <c r="AB269" s="18">
        <v>0.68665667166416799</v>
      </c>
      <c r="AC269" s="19">
        <v>1.686656671664168</v>
      </c>
      <c r="AD269" s="19">
        <v>1.5</v>
      </c>
      <c r="AE269" s="19">
        <v>0.88888888888888884</v>
      </c>
    </row>
    <row r="270" spans="1:31">
      <c r="A270">
        <v>274</v>
      </c>
      <c r="B270" t="s">
        <v>124</v>
      </c>
      <c r="C270" t="s">
        <v>180</v>
      </c>
      <c r="D270" t="s">
        <v>178</v>
      </c>
      <c r="E270" s="27">
        <v>46088</v>
      </c>
      <c r="F270" s="28" t="s">
        <v>213</v>
      </c>
      <c r="G270" s="28" t="s">
        <v>315</v>
      </c>
      <c r="H270" s="28" t="s">
        <v>113</v>
      </c>
      <c r="I270" s="29">
        <v>70240</v>
      </c>
      <c r="J270" s="28" t="s">
        <v>114</v>
      </c>
      <c r="K270" s="30">
        <v>46198.791666666664</v>
      </c>
      <c r="L270" s="28">
        <v>645</v>
      </c>
      <c r="M270" s="29">
        <v>3035</v>
      </c>
      <c r="N270" s="31">
        <v>875</v>
      </c>
      <c r="O270" s="31">
        <v>1700</v>
      </c>
      <c r="P270" s="31">
        <v>2783</v>
      </c>
      <c r="Q270" s="28">
        <v>600</v>
      </c>
      <c r="R270" s="29">
        <v>17247</v>
      </c>
      <c r="S270" s="29">
        <v>40636</v>
      </c>
      <c r="T270" s="28">
        <v>4</v>
      </c>
      <c r="U270" s="28">
        <v>9</v>
      </c>
      <c r="V270" s="28">
        <v>20</v>
      </c>
      <c r="W270" s="30">
        <v>46275.5</v>
      </c>
      <c r="X270" s="32"/>
      <c r="Y270" s="28">
        <v>0</v>
      </c>
      <c r="Z270" s="33">
        <v>41089</v>
      </c>
      <c r="AA270">
        <v>825</v>
      </c>
      <c r="AB270" s="18">
        <v>0.94285714285714284</v>
      </c>
      <c r="AC270" s="19">
        <v>1.9428571428571428</v>
      </c>
      <c r="AD270" s="19">
        <v>1.4</v>
      </c>
      <c r="AE270" s="19">
        <v>1.05</v>
      </c>
    </row>
    <row r="271" spans="1:31">
      <c r="A271">
        <v>275</v>
      </c>
      <c r="B271" t="s">
        <v>177</v>
      </c>
      <c r="C271" t="s">
        <v>181</v>
      </c>
      <c r="D271" t="s">
        <v>178</v>
      </c>
      <c r="E271" s="20">
        <v>46088</v>
      </c>
      <c r="F271" s="21" t="s">
        <v>215</v>
      </c>
      <c r="G271" s="21" t="s">
        <v>315</v>
      </c>
      <c r="H271" s="21" t="s">
        <v>140</v>
      </c>
      <c r="I271" s="22">
        <v>75000</v>
      </c>
      <c r="J271" s="21" t="s">
        <v>141</v>
      </c>
      <c r="K271" s="23">
        <v>46198.791666666664</v>
      </c>
      <c r="L271" s="21">
        <v>672</v>
      </c>
      <c r="M271" s="22">
        <v>3057</v>
      </c>
      <c r="N271" s="24">
        <v>335</v>
      </c>
      <c r="O271" s="24">
        <v>616.05999999999995</v>
      </c>
      <c r="P271" s="24">
        <v>1174.5</v>
      </c>
      <c r="Q271" s="21">
        <v>541</v>
      </c>
      <c r="R271" s="22">
        <v>15673</v>
      </c>
      <c r="S271" s="22">
        <v>37045</v>
      </c>
      <c r="T271" s="21">
        <v>3</v>
      </c>
      <c r="U271" s="21">
        <v>7</v>
      </c>
      <c r="V271" s="21">
        <v>29</v>
      </c>
      <c r="W271" s="23">
        <v>46275.5</v>
      </c>
      <c r="X271" s="25"/>
      <c r="Y271" s="21">
        <v>0</v>
      </c>
      <c r="Z271" s="26">
        <v>38182</v>
      </c>
      <c r="AA271">
        <v>281.05999999999995</v>
      </c>
      <c r="AB271" s="18">
        <v>0.83898507462686556</v>
      </c>
      <c r="AC271" s="19">
        <v>1.8389850746268654</v>
      </c>
      <c r="AD271" s="19">
        <v>0.72413793103448265</v>
      </c>
      <c r="AE271" s="19">
        <v>0.56321839080459768</v>
      </c>
    </row>
    <row r="272" spans="1:31">
      <c r="A272">
        <v>276</v>
      </c>
      <c r="B272" t="s">
        <v>125</v>
      </c>
      <c r="C272" t="s">
        <v>120</v>
      </c>
      <c r="D272" t="s">
        <v>122</v>
      </c>
      <c r="E272" s="27">
        <v>46088</v>
      </c>
      <c r="F272" s="28" t="s">
        <v>216</v>
      </c>
      <c r="G272" s="28" t="s">
        <v>315</v>
      </c>
      <c r="H272" s="28" t="s">
        <v>127</v>
      </c>
      <c r="I272" s="29">
        <v>68756</v>
      </c>
      <c r="J272" s="28" t="s">
        <v>128</v>
      </c>
      <c r="K272" s="30">
        <v>46199.625</v>
      </c>
      <c r="L272" s="28">
        <v>857</v>
      </c>
      <c r="M272" s="29">
        <v>4320</v>
      </c>
      <c r="N272" s="31">
        <v>755.32</v>
      </c>
      <c r="O272" s="31">
        <v>1215.8599999999999</v>
      </c>
      <c r="P272" s="31">
        <v>2250</v>
      </c>
      <c r="Q272" s="28">
        <v>578</v>
      </c>
      <c r="R272" s="29">
        <v>13857</v>
      </c>
      <c r="S272" s="29">
        <v>32651</v>
      </c>
      <c r="T272" s="28">
        <v>6</v>
      </c>
      <c r="U272" s="28">
        <v>17</v>
      </c>
      <c r="V272" s="28">
        <v>34</v>
      </c>
      <c r="W272" s="30">
        <v>46275.625</v>
      </c>
      <c r="X272" s="32"/>
      <c r="Y272" s="28">
        <v>0</v>
      </c>
      <c r="Z272" s="33">
        <v>33698</v>
      </c>
      <c r="AA272">
        <v>460.53999999999985</v>
      </c>
      <c r="AB272" s="18">
        <v>0.60972832706667346</v>
      </c>
      <c r="AC272" s="19">
        <v>1.6097283270666736</v>
      </c>
      <c r="AD272" s="19">
        <v>1.2352941176470589</v>
      </c>
      <c r="AE272" s="19">
        <v>1.1666666666666667</v>
      </c>
    </row>
    <row r="273" spans="1:31">
      <c r="A273">
        <v>277</v>
      </c>
      <c r="B273" t="s">
        <v>116</v>
      </c>
      <c r="C273" t="s">
        <v>109</v>
      </c>
      <c r="D273" t="s">
        <v>111</v>
      </c>
      <c r="E273" s="20">
        <v>46088</v>
      </c>
      <c r="F273" s="21" t="s">
        <v>218</v>
      </c>
      <c r="G273" s="21" t="s">
        <v>315</v>
      </c>
      <c r="H273" s="21" t="s">
        <v>118</v>
      </c>
      <c r="I273" s="22">
        <v>67000</v>
      </c>
      <c r="J273" s="21" t="s">
        <v>119</v>
      </c>
      <c r="K273" s="23">
        <v>46199.833333333336</v>
      </c>
      <c r="L273" s="21">
        <v>743</v>
      </c>
      <c r="M273" s="22">
        <v>3457</v>
      </c>
      <c r="N273" s="24">
        <v>247</v>
      </c>
      <c r="O273" s="24">
        <v>458.93</v>
      </c>
      <c r="P273" s="24">
        <v>914.4</v>
      </c>
      <c r="Q273" s="21">
        <v>567</v>
      </c>
      <c r="R273" s="22">
        <v>13057</v>
      </c>
      <c r="S273" s="22">
        <v>35286</v>
      </c>
      <c r="T273" s="21">
        <v>1</v>
      </c>
      <c r="U273" s="21">
        <v>6</v>
      </c>
      <c r="V273" s="21">
        <v>17</v>
      </c>
      <c r="W273" s="23">
        <v>46275.5</v>
      </c>
      <c r="X273" s="25"/>
      <c r="Y273" s="21">
        <v>0</v>
      </c>
      <c r="Z273" s="26">
        <v>35710</v>
      </c>
      <c r="AA273">
        <v>211.93</v>
      </c>
      <c r="AB273" s="18">
        <v>0.85801619433198384</v>
      </c>
      <c r="AC273" s="19">
        <v>1.8580161943319837</v>
      </c>
      <c r="AD273" s="19">
        <v>0.41176470588235298</v>
      </c>
      <c r="AE273" s="19">
        <v>0.82352941176470595</v>
      </c>
    </row>
    <row r="274" spans="1:31">
      <c r="A274">
        <v>278</v>
      </c>
      <c r="B274" t="s">
        <v>107</v>
      </c>
      <c r="C274" t="s">
        <v>102</v>
      </c>
      <c r="D274" t="s">
        <v>104</v>
      </c>
      <c r="E274" s="27">
        <v>46088</v>
      </c>
      <c r="F274" s="28" t="s">
        <v>220</v>
      </c>
      <c r="G274" s="28" t="s">
        <v>315</v>
      </c>
      <c r="H274" s="28" t="s">
        <v>62</v>
      </c>
      <c r="I274" s="29">
        <v>71500</v>
      </c>
      <c r="J274" s="28" t="s">
        <v>63</v>
      </c>
      <c r="K274" s="30">
        <v>46199.791666666664</v>
      </c>
      <c r="L274" s="28">
        <v>873</v>
      </c>
      <c r="M274" s="29">
        <v>4031</v>
      </c>
      <c r="N274" s="31">
        <v>158.22999999999999</v>
      </c>
      <c r="O274" s="31">
        <v>351</v>
      </c>
      <c r="P274" s="31">
        <v>945</v>
      </c>
      <c r="Q274" s="28">
        <v>553</v>
      </c>
      <c r="R274" s="29">
        <v>16643</v>
      </c>
      <c r="S274" s="29">
        <v>38895</v>
      </c>
      <c r="T274" s="28">
        <v>3</v>
      </c>
      <c r="U274" s="28">
        <v>7</v>
      </c>
      <c r="V274" s="28">
        <v>21</v>
      </c>
      <c r="W274" s="30">
        <v>46275.583333333336</v>
      </c>
      <c r="X274" s="32"/>
      <c r="Y274" s="28">
        <v>0</v>
      </c>
      <c r="Z274" s="33">
        <v>39306</v>
      </c>
      <c r="AA274">
        <v>192.77</v>
      </c>
      <c r="AB274" s="18">
        <v>1.218289831258295</v>
      </c>
      <c r="AC274" s="19">
        <v>2.218289831258295</v>
      </c>
      <c r="AD274" s="19">
        <v>1</v>
      </c>
      <c r="AE274" s="19">
        <v>0.77777777777777779</v>
      </c>
    </row>
    <row r="275" spans="1:31">
      <c r="A275">
        <v>279</v>
      </c>
      <c r="B275" t="s">
        <v>149</v>
      </c>
      <c r="C275" t="s">
        <v>142</v>
      </c>
      <c r="D275" t="s">
        <v>144</v>
      </c>
      <c r="E275" s="20">
        <v>46088</v>
      </c>
      <c r="F275" s="21" t="s">
        <v>223</v>
      </c>
      <c r="G275" s="21" t="s">
        <v>315</v>
      </c>
      <c r="H275" s="21" t="s">
        <v>171</v>
      </c>
      <c r="I275" s="22">
        <v>69176</v>
      </c>
      <c r="J275" s="21" t="s">
        <v>172</v>
      </c>
      <c r="K275" s="23">
        <v>46200.708333333336</v>
      </c>
      <c r="L275" s="21">
        <v>737</v>
      </c>
      <c r="M275" s="22">
        <v>3393</v>
      </c>
      <c r="N275" s="24">
        <v>426.88</v>
      </c>
      <c r="O275" s="24">
        <v>711.39</v>
      </c>
      <c r="P275" s="24">
        <v>1200</v>
      </c>
      <c r="Q275" s="21">
        <v>578</v>
      </c>
      <c r="R275" s="22">
        <v>16375</v>
      </c>
      <c r="S275" s="22">
        <v>40816</v>
      </c>
      <c r="T275" s="21">
        <v>7</v>
      </c>
      <c r="U275" s="21">
        <v>19</v>
      </c>
      <c r="V275" s="21">
        <v>40</v>
      </c>
      <c r="W275" s="23">
        <v>46275.625</v>
      </c>
      <c r="X275" s="25"/>
      <c r="Y275" s="21">
        <v>0</v>
      </c>
      <c r="Z275" s="26">
        <v>42026</v>
      </c>
      <c r="AA275">
        <v>284.51</v>
      </c>
      <c r="AB275" s="18">
        <v>0.66648706896551724</v>
      </c>
      <c r="AC275" s="19">
        <v>1.6664870689655171</v>
      </c>
      <c r="AD275" s="19">
        <v>1.2249999999999999</v>
      </c>
      <c r="AE275" s="19">
        <v>1.1083333333333332</v>
      </c>
    </row>
    <row r="276" spans="1:31">
      <c r="A276">
        <v>280</v>
      </c>
      <c r="B276" t="s">
        <v>130</v>
      </c>
      <c r="C276" t="s">
        <v>137</v>
      </c>
      <c r="D276" t="s">
        <v>131</v>
      </c>
      <c r="E276" s="27">
        <v>46088</v>
      </c>
      <c r="F276" s="28" t="s">
        <v>224</v>
      </c>
      <c r="G276" s="28" t="s">
        <v>315</v>
      </c>
      <c r="H276" s="28" t="s">
        <v>68</v>
      </c>
      <c r="I276" s="29">
        <v>76416</v>
      </c>
      <c r="J276" s="28" t="s">
        <v>69</v>
      </c>
      <c r="K276" s="30">
        <v>46200.875</v>
      </c>
      <c r="L276" s="28">
        <v>611</v>
      </c>
      <c r="M276" s="29">
        <v>2992</v>
      </c>
      <c r="N276" s="31">
        <v>277.77999999999997</v>
      </c>
      <c r="O276" s="31">
        <v>538.52</v>
      </c>
      <c r="P276" s="31">
        <v>1535.44</v>
      </c>
      <c r="Q276" s="28">
        <v>521</v>
      </c>
      <c r="R276" s="29">
        <v>14420</v>
      </c>
      <c r="S276" s="29">
        <v>35802</v>
      </c>
      <c r="T276" s="28">
        <v>1</v>
      </c>
      <c r="U276" s="28">
        <v>4</v>
      </c>
      <c r="V276" s="28">
        <v>13</v>
      </c>
      <c r="W276" s="30">
        <v>46275.583333333336</v>
      </c>
      <c r="X276" s="32"/>
      <c r="Y276" s="28">
        <v>0</v>
      </c>
      <c r="Z276" s="33">
        <v>36931</v>
      </c>
      <c r="AA276">
        <v>260.74</v>
      </c>
      <c r="AB276" s="18">
        <v>0.93865649074807411</v>
      </c>
      <c r="AC276" s="19">
        <v>1.9386564907480741</v>
      </c>
      <c r="AD276" s="19">
        <v>0.53846153846153844</v>
      </c>
      <c r="AE276" s="19">
        <v>0.71794871794871784</v>
      </c>
    </row>
    <row r="277" spans="1:31">
      <c r="A277">
        <v>281</v>
      </c>
      <c r="B277" t="s">
        <v>138</v>
      </c>
      <c r="C277" t="s">
        <v>129</v>
      </c>
      <c r="D277" t="s">
        <v>131</v>
      </c>
      <c r="E277" s="20">
        <v>46088</v>
      </c>
      <c r="F277" s="21" t="s">
        <v>226</v>
      </c>
      <c r="G277" s="21" t="s">
        <v>315</v>
      </c>
      <c r="H277" s="21" t="s">
        <v>74</v>
      </c>
      <c r="I277" s="22">
        <v>80000</v>
      </c>
      <c r="J277" s="21" t="s">
        <v>75</v>
      </c>
      <c r="K277" s="23">
        <v>46200.875</v>
      </c>
      <c r="L277" s="21">
        <v>697</v>
      </c>
      <c r="M277" s="22">
        <v>3153</v>
      </c>
      <c r="N277" s="24">
        <v>675</v>
      </c>
      <c r="O277" s="24">
        <v>1200</v>
      </c>
      <c r="P277" s="24">
        <v>1995</v>
      </c>
      <c r="Q277" s="21">
        <v>575</v>
      </c>
      <c r="R277" s="22">
        <v>16322</v>
      </c>
      <c r="S277" s="22">
        <v>39546</v>
      </c>
      <c r="T277" s="21">
        <v>3</v>
      </c>
      <c r="U277" s="21">
        <v>11</v>
      </c>
      <c r="V277" s="21">
        <v>31</v>
      </c>
      <c r="W277" s="23">
        <v>46275.583333333336</v>
      </c>
      <c r="X277" s="25"/>
      <c r="Y277" s="21">
        <v>0</v>
      </c>
      <c r="Z277" s="26">
        <v>39943</v>
      </c>
      <c r="AA277">
        <v>525</v>
      </c>
      <c r="AB277" s="18">
        <v>0.77777777777777779</v>
      </c>
      <c r="AC277" s="19">
        <v>1.7777777777777777</v>
      </c>
      <c r="AD277" s="19">
        <v>0.67741935483870963</v>
      </c>
      <c r="AE277" s="19">
        <v>0.82795698924731176</v>
      </c>
    </row>
    <row r="278" spans="1:31">
      <c r="A278">
        <v>282</v>
      </c>
      <c r="B278" t="s">
        <v>155</v>
      </c>
      <c r="C278" t="s">
        <v>151</v>
      </c>
      <c r="D278" t="s">
        <v>152</v>
      </c>
      <c r="E278" s="27">
        <v>46088</v>
      </c>
      <c r="F278" s="28" t="s">
        <v>227</v>
      </c>
      <c r="G278" s="28" t="s">
        <v>315</v>
      </c>
      <c r="H278" s="28" t="s">
        <v>85</v>
      </c>
      <c r="I278" s="29">
        <v>76100</v>
      </c>
      <c r="J278" s="28" t="s">
        <v>86</v>
      </c>
      <c r="K278" s="30">
        <v>46200.8125</v>
      </c>
      <c r="L278" s="29">
        <v>1005</v>
      </c>
      <c r="M278" s="29">
        <v>5793</v>
      </c>
      <c r="N278" s="31">
        <v>1629.41</v>
      </c>
      <c r="O278" s="31">
        <v>3117.86</v>
      </c>
      <c r="P278" s="31">
        <v>6300</v>
      </c>
      <c r="Q278" s="28">
        <v>664</v>
      </c>
      <c r="R278" s="29">
        <v>19973</v>
      </c>
      <c r="S278" s="29">
        <v>48068</v>
      </c>
      <c r="T278" s="28">
        <v>5</v>
      </c>
      <c r="U278" s="28">
        <v>25</v>
      </c>
      <c r="V278" s="28">
        <v>57</v>
      </c>
      <c r="W278" s="30">
        <v>46275.625</v>
      </c>
      <c r="X278" s="32"/>
      <c r="Y278" s="28">
        <v>0</v>
      </c>
      <c r="Z278" s="33">
        <v>48598</v>
      </c>
      <c r="AA278">
        <v>1488.45</v>
      </c>
      <c r="AB278" s="18">
        <v>0.91349015901461261</v>
      </c>
      <c r="AC278" s="19">
        <v>1.9134901590146127</v>
      </c>
      <c r="AD278" s="19">
        <v>0.61403508771929827</v>
      </c>
      <c r="AE278" s="19">
        <v>1.0233918128654973</v>
      </c>
    </row>
    <row r="279" spans="1:31">
      <c r="A279">
        <v>283</v>
      </c>
      <c r="B279" t="s">
        <v>124</v>
      </c>
      <c r="C279" t="s">
        <v>154</v>
      </c>
      <c r="D279" t="s">
        <v>152</v>
      </c>
      <c r="E279" s="20">
        <v>46088</v>
      </c>
      <c r="F279" s="21" t="s">
        <v>228</v>
      </c>
      <c r="G279" s="21" t="s">
        <v>315</v>
      </c>
      <c r="H279" s="21" t="s">
        <v>79</v>
      </c>
      <c r="I279" s="22">
        <v>71000</v>
      </c>
      <c r="J279" s="21" t="s">
        <v>80</v>
      </c>
      <c r="K279" s="23">
        <v>46200.8125</v>
      </c>
      <c r="L279" s="21">
        <v>731</v>
      </c>
      <c r="M279" s="22">
        <v>3350</v>
      </c>
      <c r="N279" s="24">
        <v>184.62</v>
      </c>
      <c r="O279" s="24">
        <v>439.72</v>
      </c>
      <c r="P279" s="24">
        <v>943.15</v>
      </c>
      <c r="Q279" s="21">
        <v>556</v>
      </c>
      <c r="R279" s="22">
        <v>14323</v>
      </c>
      <c r="S279" s="22">
        <v>33597</v>
      </c>
      <c r="T279" s="21">
        <v>1</v>
      </c>
      <c r="U279" s="21">
        <v>6</v>
      </c>
      <c r="V279" s="21">
        <v>17</v>
      </c>
      <c r="W279" s="23">
        <v>46275.625</v>
      </c>
      <c r="X279" s="25"/>
      <c r="Y279" s="21">
        <v>0</v>
      </c>
      <c r="Z279" s="26">
        <v>33909</v>
      </c>
      <c r="AA279">
        <v>255.10000000000002</v>
      </c>
      <c r="AB279" s="18">
        <v>1.3817571227385983</v>
      </c>
      <c r="AC279" s="19">
        <v>2.3817571227385983</v>
      </c>
      <c r="AD279" s="19">
        <v>0.41176470588235298</v>
      </c>
      <c r="AE279" s="19">
        <v>0.82352941176470595</v>
      </c>
    </row>
    <row r="280" spans="1:31">
      <c r="A280">
        <v>284</v>
      </c>
      <c r="B280" t="s">
        <v>239</v>
      </c>
      <c r="C280" t="s">
        <v>240</v>
      </c>
      <c r="D280" t="s">
        <v>231</v>
      </c>
      <c r="E280" s="27">
        <v>46088</v>
      </c>
      <c r="F280" s="28" t="s">
        <v>241</v>
      </c>
      <c r="G280" s="28" t="s">
        <v>315</v>
      </c>
      <c r="H280" s="28" t="s">
        <v>62</v>
      </c>
      <c r="I280" s="29">
        <v>71500</v>
      </c>
      <c r="J280" s="28" t="s">
        <v>63</v>
      </c>
      <c r="K280" s="30">
        <v>46202.5</v>
      </c>
      <c r="L280" s="28">
        <v>788</v>
      </c>
      <c r="M280" s="29">
        <v>3675</v>
      </c>
      <c r="N280" s="31">
        <v>629.82000000000005</v>
      </c>
      <c r="O280" s="31">
        <v>995.96</v>
      </c>
      <c r="P280" s="31">
        <v>1746.68</v>
      </c>
      <c r="Q280" s="28">
        <v>482</v>
      </c>
      <c r="R280" s="29">
        <v>12389</v>
      </c>
      <c r="S280" s="29">
        <v>33540</v>
      </c>
      <c r="T280" s="28">
        <v>0</v>
      </c>
      <c r="U280" s="28">
        <v>3</v>
      </c>
      <c r="V280" s="28">
        <v>9</v>
      </c>
      <c r="W280" s="30">
        <v>46275.583333333336</v>
      </c>
      <c r="X280" s="32"/>
      <c r="Y280" s="28">
        <v>0</v>
      </c>
      <c r="Z280" s="33">
        <v>34570</v>
      </c>
      <c r="AA280">
        <v>366.14</v>
      </c>
      <c r="AB280" s="18">
        <v>0.58134070051760811</v>
      </c>
      <c r="AC280" s="19">
        <v>1.5813407005176081</v>
      </c>
      <c r="AD280" s="19">
        <v>0</v>
      </c>
      <c r="AE280" s="19">
        <v>0.77777777777777768</v>
      </c>
    </row>
    <row r="281" spans="1:31">
      <c r="A281">
        <v>285</v>
      </c>
      <c r="B281" t="s">
        <v>267</v>
      </c>
      <c r="C281" t="s">
        <v>268</v>
      </c>
      <c r="D281" t="s">
        <v>231</v>
      </c>
      <c r="E281" s="20">
        <v>46088</v>
      </c>
      <c r="F281" s="21" t="s">
        <v>269</v>
      </c>
      <c r="G281" s="21" t="s">
        <v>314</v>
      </c>
      <c r="H281" s="21" t="s">
        <v>164</v>
      </c>
      <c r="I281" s="22">
        <v>54500</v>
      </c>
      <c r="J281" s="21" t="s">
        <v>165</v>
      </c>
      <c r="K281" s="23">
        <v>46205.833333333336</v>
      </c>
      <c r="L281" s="21">
        <v>590</v>
      </c>
      <c r="M281" s="22">
        <v>2946</v>
      </c>
      <c r="N281" s="24">
        <v>648.52</v>
      </c>
      <c r="O281" s="24">
        <v>1054.3499999999999</v>
      </c>
      <c r="P281" s="24">
        <v>1779.42</v>
      </c>
      <c r="Q281" s="21">
        <v>600</v>
      </c>
      <c r="R281" s="22">
        <v>23858</v>
      </c>
      <c r="S281" s="22">
        <v>63795</v>
      </c>
      <c r="T281" s="21">
        <v>1</v>
      </c>
      <c r="U281" s="21">
        <v>2</v>
      </c>
      <c r="V281" s="21">
        <v>10</v>
      </c>
      <c r="W281" s="23">
        <v>46275.375</v>
      </c>
      <c r="X281" s="25"/>
      <c r="Y281" s="21">
        <v>0</v>
      </c>
      <c r="Z281" s="26">
        <v>65012</v>
      </c>
      <c r="AA281">
        <v>405.82999999999993</v>
      </c>
      <c r="AB281" s="18">
        <v>0.62577869610806136</v>
      </c>
      <c r="AC281" s="19">
        <v>1.6257786961080614</v>
      </c>
      <c r="AD281" s="19">
        <v>0.7</v>
      </c>
      <c r="AE281" s="19">
        <v>0.46666666666666662</v>
      </c>
    </row>
    <row r="282" spans="1:31">
      <c r="A282">
        <v>286</v>
      </c>
      <c r="B282" t="s">
        <v>270</v>
      </c>
      <c r="C282" t="s">
        <v>271</v>
      </c>
      <c r="D282" t="s">
        <v>231</v>
      </c>
      <c r="E282" s="27">
        <v>46088</v>
      </c>
      <c r="F282" s="28" t="s">
        <v>272</v>
      </c>
      <c r="G282" s="28" t="s">
        <v>315</v>
      </c>
      <c r="H282" s="28" t="s">
        <v>85</v>
      </c>
      <c r="I282" s="29">
        <v>76100</v>
      </c>
      <c r="J282" s="28" t="s">
        <v>86</v>
      </c>
      <c r="K282" s="30">
        <v>46206.75</v>
      </c>
      <c r="L282" s="28">
        <v>751</v>
      </c>
      <c r="M282" s="29">
        <v>4025</v>
      </c>
      <c r="N282" s="31">
        <v>1394.49</v>
      </c>
      <c r="O282" s="31">
        <v>2327.16</v>
      </c>
      <c r="P282" s="31">
        <v>4024.02</v>
      </c>
      <c r="Q282" s="28">
        <v>632</v>
      </c>
      <c r="R282" s="29">
        <v>24984</v>
      </c>
      <c r="S282" s="29">
        <v>67889</v>
      </c>
      <c r="T282" s="28">
        <v>1</v>
      </c>
      <c r="U282" s="28">
        <v>2</v>
      </c>
      <c r="V282" s="28">
        <v>15</v>
      </c>
      <c r="W282" s="30">
        <v>46275.625</v>
      </c>
      <c r="X282" s="32"/>
      <c r="Y282" s="28">
        <v>0</v>
      </c>
      <c r="Z282" s="33">
        <v>69171</v>
      </c>
      <c r="AA282">
        <v>932.66999999999985</v>
      </c>
      <c r="AB282" s="18">
        <v>0.66882516188714147</v>
      </c>
      <c r="AC282" s="19">
        <v>1.6688251618871415</v>
      </c>
      <c r="AD282" s="19">
        <v>0.46666666666666667</v>
      </c>
      <c r="AE282" s="19">
        <v>0.31111111111111112</v>
      </c>
    </row>
    <row r="283" spans="1:31">
      <c r="A283">
        <v>287</v>
      </c>
      <c r="B283" t="s">
        <v>273</v>
      </c>
      <c r="C283" t="s">
        <v>274</v>
      </c>
      <c r="D283" t="s">
        <v>231</v>
      </c>
      <c r="E283" s="20">
        <v>46088</v>
      </c>
      <c r="F283" s="21" t="s">
        <v>275</v>
      </c>
      <c r="G283" s="21" t="s">
        <v>314</v>
      </c>
      <c r="H283" s="21" t="s">
        <v>68</v>
      </c>
      <c r="I283" s="22">
        <v>76416</v>
      </c>
      <c r="J283" s="21" t="s">
        <v>69</v>
      </c>
      <c r="K283" s="23">
        <v>46206.854166666664</v>
      </c>
      <c r="L283" s="21">
        <v>845</v>
      </c>
      <c r="M283" s="22">
        <v>3877</v>
      </c>
      <c r="N283" s="24">
        <v>585</v>
      </c>
      <c r="O283" s="24">
        <v>911.4</v>
      </c>
      <c r="P283" s="24">
        <v>1819.15</v>
      </c>
      <c r="Q283" s="21">
        <v>613</v>
      </c>
      <c r="R283" s="22">
        <v>24047</v>
      </c>
      <c r="S283" s="22">
        <v>62114</v>
      </c>
      <c r="T283" s="21">
        <v>4</v>
      </c>
      <c r="U283" s="21">
        <v>9</v>
      </c>
      <c r="V283" s="21">
        <v>27</v>
      </c>
      <c r="W283" s="23">
        <v>46275.583333333336</v>
      </c>
      <c r="X283" s="25"/>
      <c r="Y283" s="21">
        <v>0</v>
      </c>
      <c r="Z283" s="26">
        <v>62678</v>
      </c>
      <c r="AA283">
        <v>326.39999999999998</v>
      </c>
      <c r="AB283" s="18">
        <v>0.55794871794871792</v>
      </c>
      <c r="AC283" s="19">
        <v>1.5579487179487179</v>
      </c>
      <c r="AD283" s="19">
        <v>1.037037037037037</v>
      </c>
      <c r="AE283" s="19">
        <v>0.77777777777777779</v>
      </c>
    </row>
    <row r="284" spans="1:31">
      <c r="A284">
        <v>288</v>
      </c>
      <c r="B284" t="s">
        <v>276</v>
      </c>
      <c r="C284" t="s">
        <v>277</v>
      </c>
      <c r="D284" t="s">
        <v>231</v>
      </c>
      <c r="E284" s="27">
        <v>46088</v>
      </c>
      <c r="F284" s="28" t="s">
        <v>278</v>
      </c>
      <c r="G284" s="28" t="s">
        <v>315</v>
      </c>
      <c r="H284" s="28" t="s">
        <v>74</v>
      </c>
      <c r="I284" s="29">
        <v>80000</v>
      </c>
      <c r="J284" s="28" t="s">
        <v>75</v>
      </c>
      <c r="K284" s="30">
        <v>46206.541666666664</v>
      </c>
      <c r="L284" s="28">
        <v>724</v>
      </c>
      <c r="M284" s="29">
        <v>3385</v>
      </c>
      <c r="N284" s="31">
        <v>516.6</v>
      </c>
      <c r="O284" s="31">
        <v>865</v>
      </c>
      <c r="P284" s="31">
        <v>1418.58</v>
      </c>
      <c r="Q284" s="28">
        <v>620</v>
      </c>
      <c r="R284" s="29">
        <v>24321</v>
      </c>
      <c r="S284" s="29">
        <v>66660</v>
      </c>
      <c r="T284" s="28">
        <v>4</v>
      </c>
      <c r="U284" s="28">
        <v>7</v>
      </c>
      <c r="V284" s="28">
        <v>13</v>
      </c>
      <c r="W284" s="30">
        <v>46275.583333333336</v>
      </c>
      <c r="X284" s="32"/>
      <c r="Y284" s="28">
        <v>0</v>
      </c>
      <c r="Z284" s="33">
        <v>67935</v>
      </c>
      <c r="AA284">
        <v>348.4</v>
      </c>
      <c r="AB284" s="18">
        <v>0.6744096012388695</v>
      </c>
      <c r="AC284" s="19">
        <v>1.6744096012388694</v>
      </c>
      <c r="AD284" s="19">
        <v>2.1538461538461537</v>
      </c>
      <c r="AE284" s="19">
        <v>1.2564102564102564</v>
      </c>
    </row>
    <row r="285" spans="1:31">
      <c r="A285">
        <v>289</v>
      </c>
      <c r="B285" t="s">
        <v>279</v>
      </c>
      <c r="C285" t="s">
        <v>280</v>
      </c>
      <c r="D285" t="s">
        <v>281</v>
      </c>
      <c r="E285" s="20">
        <v>46088</v>
      </c>
      <c r="F285" s="21" t="s">
        <v>282</v>
      </c>
      <c r="G285" s="21" t="s">
        <v>315</v>
      </c>
      <c r="H285" s="21" t="s">
        <v>171</v>
      </c>
      <c r="I285" s="22">
        <v>69176</v>
      </c>
      <c r="J285" s="21" t="s">
        <v>172</v>
      </c>
      <c r="K285" s="23">
        <v>46207.708333333336</v>
      </c>
      <c r="L285" s="21">
        <v>723</v>
      </c>
      <c r="M285" s="22">
        <v>3344</v>
      </c>
      <c r="N285" s="24">
        <v>846.53</v>
      </c>
      <c r="O285" s="24">
        <v>1605.28</v>
      </c>
      <c r="P285" s="24">
        <v>2541.6</v>
      </c>
      <c r="Q285" s="21">
        <v>635</v>
      </c>
      <c r="R285" s="22">
        <v>24624</v>
      </c>
      <c r="S285" s="22">
        <v>65830</v>
      </c>
      <c r="T285" s="21">
        <v>3</v>
      </c>
      <c r="U285" s="21">
        <v>5</v>
      </c>
      <c r="V285" s="21">
        <v>18</v>
      </c>
      <c r="W285" s="23">
        <v>46275.625</v>
      </c>
      <c r="X285" s="25"/>
      <c r="Y285" s="21">
        <v>0</v>
      </c>
      <c r="Z285" s="26">
        <v>66463</v>
      </c>
      <c r="AA285">
        <v>758.75</v>
      </c>
      <c r="AB285" s="18">
        <v>0.89630609665339689</v>
      </c>
      <c r="AC285" s="19">
        <v>1.8963060966533969</v>
      </c>
      <c r="AD285" s="19">
        <v>1.1666666666666665</v>
      </c>
      <c r="AE285" s="19">
        <v>0.64814814814814814</v>
      </c>
    </row>
    <row r="286" spans="1:31">
      <c r="A286">
        <v>290</v>
      </c>
      <c r="B286" t="s">
        <v>284</v>
      </c>
      <c r="C286" t="s">
        <v>285</v>
      </c>
      <c r="D286" t="s">
        <v>281</v>
      </c>
      <c r="E286" s="27">
        <v>46088</v>
      </c>
      <c r="F286" s="28" t="s">
        <v>286</v>
      </c>
      <c r="G286" s="28" t="s">
        <v>315</v>
      </c>
      <c r="H286" s="28" t="s">
        <v>62</v>
      </c>
      <c r="I286" s="29">
        <v>71500</v>
      </c>
      <c r="J286" s="28" t="s">
        <v>63</v>
      </c>
      <c r="K286" s="30">
        <v>46207.5</v>
      </c>
      <c r="L286" s="28">
        <v>857</v>
      </c>
      <c r="M286" s="29">
        <v>3961</v>
      </c>
      <c r="N286" s="31">
        <v>651.6</v>
      </c>
      <c r="O286" s="31">
        <v>1371.82</v>
      </c>
      <c r="P286" s="31">
        <v>2425.5300000000002</v>
      </c>
      <c r="Q286" s="28">
        <v>637</v>
      </c>
      <c r="R286" s="29">
        <v>24529</v>
      </c>
      <c r="S286" s="29">
        <v>65577</v>
      </c>
      <c r="T286" s="28">
        <v>3</v>
      </c>
      <c r="U286" s="28">
        <v>4</v>
      </c>
      <c r="V286" s="28">
        <v>16</v>
      </c>
      <c r="W286" s="30">
        <v>46275.583333333336</v>
      </c>
      <c r="X286" s="32"/>
      <c r="Y286" s="28">
        <v>0</v>
      </c>
      <c r="Z286" s="33">
        <v>66215</v>
      </c>
      <c r="AA286">
        <v>720.21999999999991</v>
      </c>
      <c r="AB286" s="18">
        <v>1.1053100061387353</v>
      </c>
      <c r="AC286" s="19">
        <v>2.1053100061387351</v>
      </c>
      <c r="AD286" s="19">
        <v>1.3125</v>
      </c>
      <c r="AE286" s="19">
        <v>0.58333333333333337</v>
      </c>
    </row>
    <row r="287" spans="1:31">
      <c r="A287">
        <v>291</v>
      </c>
      <c r="B287" t="s">
        <v>287</v>
      </c>
      <c r="C287" t="s">
        <v>288</v>
      </c>
      <c r="D287" t="s">
        <v>281</v>
      </c>
      <c r="E287" s="20">
        <v>46088</v>
      </c>
      <c r="F287" s="21" t="s">
        <v>289</v>
      </c>
      <c r="G287" s="21" t="s">
        <v>315</v>
      </c>
      <c r="H287" s="21" t="s">
        <v>91</v>
      </c>
      <c r="I287" s="22">
        <v>82500</v>
      </c>
      <c r="J287" s="21" t="s">
        <v>92</v>
      </c>
      <c r="K287" s="23">
        <v>46208.666666666664</v>
      </c>
      <c r="L287" s="21">
        <v>763</v>
      </c>
      <c r="M287" s="22">
        <v>3499</v>
      </c>
      <c r="N287" s="24">
        <v>996.79</v>
      </c>
      <c r="O287" s="24">
        <v>1557.92</v>
      </c>
      <c r="P287" s="24">
        <v>2420.94</v>
      </c>
      <c r="Q287" s="21">
        <v>643</v>
      </c>
      <c r="R287" s="22">
        <v>24905</v>
      </c>
      <c r="S287" s="22">
        <v>67762</v>
      </c>
      <c r="T287" s="21">
        <v>3</v>
      </c>
      <c r="U287" s="21">
        <v>8</v>
      </c>
      <c r="V287" s="21">
        <v>18</v>
      </c>
      <c r="W287" s="23">
        <v>46275.625</v>
      </c>
      <c r="X287" s="25"/>
      <c r="Y287" s="21">
        <v>0</v>
      </c>
      <c r="Z287" s="26">
        <v>69068</v>
      </c>
      <c r="AA287">
        <v>561.13000000000011</v>
      </c>
      <c r="AB287" s="18">
        <v>0.5629370278594289</v>
      </c>
      <c r="AC287" s="19">
        <v>1.562937027859429</v>
      </c>
      <c r="AD287" s="19">
        <v>1.1666666666666665</v>
      </c>
      <c r="AE287" s="19">
        <v>1.037037037037037</v>
      </c>
    </row>
    <row r="288" spans="1:31">
      <c r="A288">
        <v>292</v>
      </c>
      <c r="B288" t="s">
        <v>290</v>
      </c>
      <c r="C288" t="s">
        <v>291</v>
      </c>
      <c r="D288" t="s">
        <v>281</v>
      </c>
      <c r="E288" s="27">
        <v>46088</v>
      </c>
      <c r="F288" s="28" t="s">
        <v>292</v>
      </c>
      <c r="G288" s="28" t="s">
        <v>314</v>
      </c>
      <c r="H288" s="28" t="s">
        <v>56</v>
      </c>
      <c r="I288" s="29">
        <v>98500</v>
      </c>
      <c r="J288" s="28" t="s">
        <v>57</v>
      </c>
      <c r="K288" s="30">
        <v>46208.791666666664</v>
      </c>
      <c r="L288" s="28">
        <v>322</v>
      </c>
      <c r="M288" s="29">
        <v>1819</v>
      </c>
      <c r="N288" s="31">
        <v>862.92</v>
      </c>
      <c r="O288" s="31">
        <v>1400</v>
      </c>
      <c r="P288" s="31">
        <v>2000</v>
      </c>
      <c r="Q288" s="28">
        <v>601</v>
      </c>
      <c r="R288" s="29">
        <v>24035</v>
      </c>
      <c r="S288" s="29">
        <v>63932</v>
      </c>
      <c r="T288" s="28">
        <v>3</v>
      </c>
      <c r="U288" s="28">
        <v>13</v>
      </c>
      <c r="V288" s="28">
        <v>28</v>
      </c>
      <c r="W288" s="30">
        <v>46275.541666666664</v>
      </c>
      <c r="X288" s="32"/>
      <c r="Y288" s="28">
        <v>0</v>
      </c>
      <c r="Z288" s="33">
        <v>65170</v>
      </c>
      <c r="AA288">
        <v>537.08000000000004</v>
      </c>
      <c r="AB288" s="18">
        <v>0.62239836833078388</v>
      </c>
      <c r="AC288" s="19">
        <v>1.6223983683307839</v>
      </c>
      <c r="AD288" s="19">
        <v>0.75</v>
      </c>
      <c r="AE288" s="19">
        <v>1.0833333333333333</v>
      </c>
    </row>
    <row r="289" spans="1:31">
      <c r="A289">
        <v>293</v>
      </c>
      <c r="B289" t="s">
        <v>293</v>
      </c>
      <c r="C289" t="s">
        <v>294</v>
      </c>
      <c r="D289" t="s">
        <v>281</v>
      </c>
      <c r="E289" s="20">
        <v>46088</v>
      </c>
      <c r="F289" s="21" t="s">
        <v>295</v>
      </c>
      <c r="G289" s="21" t="s">
        <v>315</v>
      </c>
      <c r="H289" s="21" t="s">
        <v>74</v>
      </c>
      <c r="I289" s="22">
        <v>80000</v>
      </c>
      <c r="J289" s="21" t="s">
        <v>75</v>
      </c>
      <c r="K289" s="23">
        <v>46209.583333333336</v>
      </c>
      <c r="L289" s="21">
        <v>725</v>
      </c>
      <c r="M289" s="22">
        <v>3389</v>
      </c>
      <c r="N289" s="24">
        <v>805.1</v>
      </c>
      <c r="O289" s="24">
        <v>1508.87</v>
      </c>
      <c r="P289" s="24">
        <v>2327.69</v>
      </c>
      <c r="Q289" s="21">
        <v>615</v>
      </c>
      <c r="R289" s="22">
        <v>24546</v>
      </c>
      <c r="S289" s="22">
        <v>65358</v>
      </c>
      <c r="T289" s="21">
        <v>0</v>
      </c>
      <c r="U289" s="21">
        <v>3</v>
      </c>
      <c r="V289" s="21">
        <v>11</v>
      </c>
      <c r="W289" s="23">
        <v>46275.583333333336</v>
      </c>
      <c r="X289" s="25"/>
      <c r="Y289" s="21">
        <v>0</v>
      </c>
      <c r="Z289" s="26">
        <v>65997</v>
      </c>
      <c r="AA289">
        <v>703.76999999999987</v>
      </c>
      <c r="AB289" s="18">
        <v>0.87413985840268271</v>
      </c>
      <c r="AC289" s="19">
        <v>1.8741398584026827</v>
      </c>
      <c r="AD289" s="19">
        <v>0</v>
      </c>
      <c r="AE289" s="19">
        <v>0.63636363636363635</v>
      </c>
    </row>
    <row r="290" spans="1:31">
      <c r="A290">
        <v>294</v>
      </c>
      <c r="B290" t="s">
        <v>296</v>
      </c>
      <c r="C290" t="s">
        <v>297</v>
      </c>
      <c r="D290" t="s">
        <v>281</v>
      </c>
      <c r="E290" s="27">
        <v>46088</v>
      </c>
      <c r="F290" s="28" t="s">
        <v>298</v>
      </c>
      <c r="G290" s="28" t="s">
        <v>315</v>
      </c>
      <c r="H290" s="28" t="s">
        <v>118</v>
      </c>
      <c r="I290" s="29">
        <v>67000</v>
      </c>
      <c r="J290" s="28" t="s">
        <v>119</v>
      </c>
      <c r="K290" s="30">
        <v>46209.708333333336</v>
      </c>
      <c r="L290" s="28">
        <v>721</v>
      </c>
      <c r="M290" s="29">
        <v>3412</v>
      </c>
      <c r="N290" s="31">
        <v>800</v>
      </c>
      <c r="O290" s="31">
        <v>1486.8</v>
      </c>
      <c r="P290" s="31">
        <v>2475</v>
      </c>
      <c r="Q290" s="28">
        <v>623</v>
      </c>
      <c r="R290" s="29">
        <v>24979</v>
      </c>
      <c r="S290" s="29">
        <v>65095</v>
      </c>
      <c r="T290" s="28">
        <v>1</v>
      </c>
      <c r="U290" s="28">
        <v>9</v>
      </c>
      <c r="V290" s="28">
        <v>15</v>
      </c>
      <c r="W290" s="30">
        <v>46275.5</v>
      </c>
      <c r="X290" s="32"/>
      <c r="Y290" s="28">
        <v>0</v>
      </c>
      <c r="Z290" s="33">
        <v>66333</v>
      </c>
      <c r="AA290">
        <v>686.8</v>
      </c>
      <c r="AB290" s="18">
        <v>0.85849999999999993</v>
      </c>
      <c r="AC290" s="19">
        <v>1.8585</v>
      </c>
      <c r="AD290" s="19">
        <v>0.46666666666666667</v>
      </c>
      <c r="AE290" s="19">
        <v>1.4000000000000001</v>
      </c>
    </row>
    <row r="291" spans="1:31">
      <c r="A291">
        <v>295</v>
      </c>
      <c r="B291" t="s">
        <v>299</v>
      </c>
      <c r="C291" t="s">
        <v>300</v>
      </c>
      <c r="D291" t="s">
        <v>281</v>
      </c>
      <c r="E291" s="20">
        <v>46088</v>
      </c>
      <c r="F291" s="21" t="s">
        <v>301</v>
      </c>
      <c r="G291" s="21" t="s">
        <v>315</v>
      </c>
      <c r="H291" s="21" t="s">
        <v>79</v>
      </c>
      <c r="I291" s="22">
        <v>71000</v>
      </c>
      <c r="J291" s="21" t="s">
        <v>80</v>
      </c>
      <c r="K291" s="23">
        <v>46210.5</v>
      </c>
      <c r="L291" s="21">
        <v>814</v>
      </c>
      <c r="M291" s="22">
        <v>3812</v>
      </c>
      <c r="N291" s="24">
        <v>770.8</v>
      </c>
      <c r="O291" s="24">
        <v>1435.3</v>
      </c>
      <c r="P291" s="24">
        <v>2602.3200000000002</v>
      </c>
      <c r="Q291" s="21">
        <v>605</v>
      </c>
      <c r="R291" s="22">
        <v>24084</v>
      </c>
      <c r="S291" s="22">
        <v>63837</v>
      </c>
      <c r="T291" s="21">
        <v>3</v>
      </c>
      <c r="U291" s="21">
        <v>9</v>
      </c>
      <c r="V291" s="21">
        <v>18</v>
      </c>
      <c r="W291" s="23">
        <v>46275.625</v>
      </c>
      <c r="X291" s="25"/>
      <c r="Y291" s="21">
        <v>0</v>
      </c>
      <c r="Z291" s="26">
        <v>65069</v>
      </c>
      <c r="AA291">
        <v>664.5</v>
      </c>
      <c r="AB291" s="18">
        <v>0.86209133367929425</v>
      </c>
      <c r="AC291" s="19">
        <v>1.8620913336792944</v>
      </c>
      <c r="AD291" s="19">
        <v>1.1666666666666665</v>
      </c>
      <c r="AE291" s="19">
        <v>1.1666666666666665</v>
      </c>
    </row>
    <row r="292" spans="1:31">
      <c r="A292">
        <v>296</v>
      </c>
      <c r="B292" t="s">
        <v>302</v>
      </c>
      <c r="C292" t="s">
        <v>303</v>
      </c>
      <c r="D292" t="s">
        <v>281</v>
      </c>
      <c r="E292" s="27">
        <v>46088</v>
      </c>
      <c r="F292" s="28" t="s">
        <v>304</v>
      </c>
      <c r="G292" s="28" t="s">
        <v>314</v>
      </c>
      <c r="H292" s="28" t="s">
        <v>164</v>
      </c>
      <c r="I292" s="29">
        <v>54500</v>
      </c>
      <c r="J292" s="28" t="s">
        <v>165</v>
      </c>
      <c r="K292" s="30">
        <v>46210.541666666664</v>
      </c>
      <c r="L292" s="28">
        <v>622</v>
      </c>
      <c r="M292" s="29">
        <v>2960</v>
      </c>
      <c r="N292" s="31">
        <v>866.8</v>
      </c>
      <c r="O292" s="31">
        <v>1656.58</v>
      </c>
      <c r="P292" s="31">
        <v>2515.96</v>
      </c>
      <c r="Q292" s="28">
        <v>640</v>
      </c>
      <c r="R292" s="29">
        <v>25245</v>
      </c>
      <c r="S292" s="29">
        <v>68673</v>
      </c>
      <c r="T292" s="28">
        <v>1</v>
      </c>
      <c r="U292" s="28">
        <v>5</v>
      </c>
      <c r="V292" s="28">
        <v>11</v>
      </c>
      <c r="W292" s="30">
        <v>46275.375</v>
      </c>
      <c r="X292" s="32"/>
      <c r="Y292" s="28">
        <v>0</v>
      </c>
      <c r="Z292" s="33">
        <v>69973</v>
      </c>
      <c r="AA292">
        <v>789.78</v>
      </c>
      <c r="AB292" s="18">
        <v>0.91114443931702815</v>
      </c>
      <c r="AC292" s="19">
        <v>1.9111444393170283</v>
      </c>
      <c r="AD292" s="19">
        <v>0.63636363636363635</v>
      </c>
      <c r="AE292" s="19">
        <v>1.0606060606060608</v>
      </c>
    </row>
    <row r="293" spans="1:31">
      <c r="A293">
        <v>297</v>
      </c>
      <c r="B293" t="s">
        <v>308</v>
      </c>
      <c r="C293" t="s">
        <v>309</v>
      </c>
      <c r="D293" t="s">
        <v>66</v>
      </c>
      <c r="E293" s="20">
        <v>46088</v>
      </c>
      <c r="F293" s="21" t="s">
        <v>310</v>
      </c>
      <c r="G293" s="21" t="s">
        <v>315</v>
      </c>
      <c r="H293" s="21" t="s">
        <v>113</v>
      </c>
      <c r="I293" s="22">
        <v>70240</v>
      </c>
      <c r="J293" s="21" t="s">
        <v>114</v>
      </c>
      <c r="K293" s="23">
        <v>46213.5</v>
      </c>
      <c r="L293" s="21">
        <v>788</v>
      </c>
      <c r="M293" s="22">
        <v>3632</v>
      </c>
      <c r="N293" s="24">
        <v>1280.49</v>
      </c>
      <c r="O293" s="24">
        <v>2243.2800000000002</v>
      </c>
      <c r="P293" s="24">
        <v>3405.26</v>
      </c>
      <c r="Q293" s="22">
        <v>1047</v>
      </c>
      <c r="R293" s="22">
        <v>41736</v>
      </c>
      <c r="S293" s="22">
        <v>111421</v>
      </c>
      <c r="T293" s="21">
        <v>1</v>
      </c>
      <c r="U293" s="21">
        <v>8</v>
      </c>
      <c r="V293" s="21">
        <v>15</v>
      </c>
      <c r="W293" s="23">
        <v>46275.5</v>
      </c>
      <c r="X293" s="25"/>
      <c r="Y293" s="21">
        <v>0</v>
      </c>
      <c r="Z293" s="26">
        <v>112502</v>
      </c>
      <c r="AA293">
        <v>962.79000000000019</v>
      </c>
      <c r="AB293" s="18">
        <v>0.75189185389967916</v>
      </c>
      <c r="AC293" s="19">
        <v>1.7518918538996793</v>
      </c>
      <c r="AD293" s="19">
        <v>0.46666666666666667</v>
      </c>
      <c r="AE293" s="19">
        <v>1.2444444444444445</v>
      </c>
    </row>
    <row r="294" spans="1:31">
      <c r="A294">
        <v>298</v>
      </c>
      <c r="B294" t="s">
        <v>311</v>
      </c>
      <c r="C294" t="s">
        <v>312</v>
      </c>
      <c r="D294" t="s">
        <v>66</v>
      </c>
      <c r="E294" s="27">
        <v>46088</v>
      </c>
      <c r="F294" s="28" t="s">
        <v>313</v>
      </c>
      <c r="G294" s="28" t="s">
        <v>315</v>
      </c>
      <c r="H294" s="28" t="s">
        <v>85</v>
      </c>
      <c r="I294" s="29">
        <v>76100</v>
      </c>
      <c r="J294" s="28" t="s">
        <v>86</v>
      </c>
      <c r="K294" s="30">
        <v>46214.708333333336</v>
      </c>
      <c r="L294" s="28">
        <v>720</v>
      </c>
      <c r="M294" s="29">
        <v>3353</v>
      </c>
      <c r="N294" s="31">
        <v>1500</v>
      </c>
      <c r="O294" s="31">
        <v>2326.65</v>
      </c>
      <c r="P294" s="31">
        <v>3451.5</v>
      </c>
      <c r="Q294" s="29">
        <v>1051</v>
      </c>
      <c r="R294" s="29">
        <v>41785</v>
      </c>
      <c r="S294" s="29">
        <v>110582</v>
      </c>
      <c r="T294" s="28">
        <v>4</v>
      </c>
      <c r="U294" s="28">
        <v>7</v>
      </c>
      <c r="V294" s="28">
        <v>15</v>
      </c>
      <c r="W294" s="30">
        <v>46275.625</v>
      </c>
      <c r="X294" s="32"/>
      <c r="Y294" s="28">
        <v>0</v>
      </c>
      <c r="Z294" s="33">
        <v>111624</v>
      </c>
      <c r="AA294">
        <v>826.65000000000009</v>
      </c>
      <c r="AB294" s="18">
        <v>0.55110000000000003</v>
      </c>
      <c r="AC294" s="19">
        <v>1.5511000000000001</v>
      </c>
      <c r="AD294" s="19">
        <v>1.8666666666666667</v>
      </c>
      <c r="AE294" s="19">
        <v>1.088888888888889</v>
      </c>
    </row>
    <row r="295" spans="1:31">
      <c r="A295">
        <v>299</v>
      </c>
      <c r="B295" t="s">
        <v>64</v>
      </c>
      <c r="C295" t="s">
        <v>65</v>
      </c>
      <c r="D295" t="s">
        <v>66</v>
      </c>
      <c r="E295" s="20">
        <v>46088</v>
      </c>
      <c r="F295" s="21" t="s">
        <v>67</v>
      </c>
      <c r="G295" s="21" t="s">
        <v>315</v>
      </c>
      <c r="H295" s="21" t="s">
        <v>68</v>
      </c>
      <c r="I295" s="22">
        <v>76416</v>
      </c>
      <c r="J295" s="21" t="s">
        <v>69</v>
      </c>
      <c r="K295" s="23">
        <v>46214.833333333336</v>
      </c>
      <c r="L295" s="21">
        <v>631</v>
      </c>
      <c r="M295" s="22">
        <v>2993</v>
      </c>
      <c r="N295" s="24">
        <v>1311.75</v>
      </c>
      <c r="O295" s="24">
        <v>2430.5</v>
      </c>
      <c r="P295" s="24">
        <v>3364.83</v>
      </c>
      <c r="Q295" s="22">
        <v>1031</v>
      </c>
      <c r="R295" s="22">
        <v>41197</v>
      </c>
      <c r="S295" s="22">
        <v>109528</v>
      </c>
      <c r="T295" s="21">
        <v>0</v>
      </c>
      <c r="U295" s="21">
        <v>1</v>
      </c>
      <c r="V295" s="21">
        <v>5</v>
      </c>
      <c r="W295" s="23">
        <v>46275.583333333336</v>
      </c>
      <c r="X295" s="25"/>
      <c r="Y295" s="21">
        <v>0</v>
      </c>
      <c r="Z295" s="26">
        <v>111195</v>
      </c>
      <c r="AA295">
        <v>1118.75</v>
      </c>
      <c r="AB295" s="18">
        <v>0.85286830569849437</v>
      </c>
      <c r="AC295" s="19">
        <v>1.8528683056984945</v>
      </c>
      <c r="AD295" s="19">
        <v>0</v>
      </c>
      <c r="AE295" s="19">
        <v>0.46666666666666662</v>
      </c>
    </row>
    <row r="296" spans="1:31">
      <c r="A296">
        <v>300</v>
      </c>
      <c r="B296" t="s">
        <v>70</v>
      </c>
      <c r="C296" t="s">
        <v>71</v>
      </c>
      <c r="D296" t="s">
        <v>72</v>
      </c>
      <c r="E296" s="27">
        <v>46088</v>
      </c>
      <c r="F296" s="28" t="s">
        <v>73</v>
      </c>
      <c r="G296" s="28" t="s">
        <v>315</v>
      </c>
      <c r="H296" s="28" t="s">
        <v>74</v>
      </c>
      <c r="I296" s="29">
        <v>80000</v>
      </c>
      <c r="J296" s="28" t="s">
        <v>75</v>
      </c>
      <c r="K296" s="30">
        <v>46217.583333333336</v>
      </c>
      <c r="L296" s="28">
        <v>690</v>
      </c>
      <c r="M296" s="29">
        <v>3394</v>
      </c>
      <c r="N296" s="31">
        <v>1935.14</v>
      </c>
      <c r="O296" s="31">
        <v>3332.47</v>
      </c>
      <c r="P296" s="31">
        <v>5306.55</v>
      </c>
      <c r="Q296" s="29">
        <v>1046</v>
      </c>
      <c r="R296" s="29">
        <v>41681</v>
      </c>
      <c r="S296" s="29">
        <v>112026</v>
      </c>
      <c r="T296" s="28">
        <v>1</v>
      </c>
      <c r="U296" s="28">
        <v>2</v>
      </c>
      <c r="V296" s="28">
        <v>7</v>
      </c>
      <c r="W296" s="30">
        <v>46275.583333333336</v>
      </c>
      <c r="X296" s="32"/>
      <c r="Y296" s="28">
        <v>0</v>
      </c>
      <c r="Z296" s="33">
        <v>113175</v>
      </c>
      <c r="AA296">
        <v>1397.3299999999997</v>
      </c>
      <c r="AB296" s="18">
        <v>0.72208212325723187</v>
      </c>
      <c r="AC296" s="19">
        <v>1.7220821232572319</v>
      </c>
      <c r="AD296" s="19">
        <v>1</v>
      </c>
      <c r="AE296" s="19">
        <v>0.66666666666666663</v>
      </c>
    </row>
    <row r="297" spans="1:31">
      <c r="A297">
        <v>301</v>
      </c>
      <c r="B297" t="s">
        <v>76</v>
      </c>
      <c r="C297" t="s">
        <v>77</v>
      </c>
      <c r="D297" t="s">
        <v>72</v>
      </c>
      <c r="E297" s="20">
        <v>46088</v>
      </c>
      <c r="F297" s="21" t="s">
        <v>78</v>
      </c>
      <c r="G297" s="21" t="s">
        <v>315</v>
      </c>
      <c r="H297" s="21" t="s">
        <v>79</v>
      </c>
      <c r="I297" s="22">
        <v>71000</v>
      </c>
      <c r="J297" s="21" t="s">
        <v>80</v>
      </c>
      <c r="K297" s="23">
        <v>46218.625</v>
      </c>
      <c r="L297" s="21">
        <v>733</v>
      </c>
      <c r="M297" s="22">
        <v>3467</v>
      </c>
      <c r="N297" s="24">
        <v>1746</v>
      </c>
      <c r="O297" s="24">
        <v>3255</v>
      </c>
      <c r="P297" s="24">
        <v>5140</v>
      </c>
      <c r="Q297" s="22">
        <v>1055</v>
      </c>
      <c r="R297" s="22">
        <v>41264</v>
      </c>
      <c r="S297" s="22">
        <v>108454</v>
      </c>
      <c r="T297" s="21">
        <v>0</v>
      </c>
      <c r="U297" s="21">
        <v>7</v>
      </c>
      <c r="V297" s="21">
        <v>16</v>
      </c>
      <c r="W297" s="23">
        <v>46275.625</v>
      </c>
      <c r="X297" s="25"/>
      <c r="Y297" s="21">
        <v>0</v>
      </c>
      <c r="Z297" s="26">
        <v>109486</v>
      </c>
      <c r="AA297">
        <v>1509</v>
      </c>
      <c r="AB297" s="18">
        <v>0.86426116838487976</v>
      </c>
      <c r="AC297" s="19">
        <v>1.8642611683848798</v>
      </c>
      <c r="AD297" s="19">
        <v>0</v>
      </c>
      <c r="AE297" s="19">
        <v>1.0208333333333335</v>
      </c>
    </row>
    <row r="298" spans="1:31">
      <c r="A298">
        <v>302</v>
      </c>
      <c r="B298" t="s">
        <v>81</v>
      </c>
      <c r="C298" t="s">
        <v>82</v>
      </c>
      <c r="D298" t="s">
        <v>83</v>
      </c>
      <c r="E298" s="27">
        <v>46088</v>
      </c>
      <c r="F298" s="28" t="s">
        <v>84</v>
      </c>
      <c r="G298" s="28" t="s">
        <v>315</v>
      </c>
      <c r="H298" s="28" t="s">
        <v>85</v>
      </c>
      <c r="I298" s="29">
        <v>76100</v>
      </c>
      <c r="J298" s="28" t="s">
        <v>86</v>
      </c>
      <c r="K298" s="30">
        <v>46221.708333333336</v>
      </c>
      <c r="L298" s="28">
        <v>767</v>
      </c>
      <c r="M298" s="29">
        <v>3453</v>
      </c>
      <c r="N298" s="31">
        <v>899.1</v>
      </c>
      <c r="O298" s="31">
        <v>1362.35</v>
      </c>
      <c r="P298" s="31">
        <v>2417.25</v>
      </c>
      <c r="Q298" s="29">
        <v>1106</v>
      </c>
      <c r="R298" s="29">
        <v>51947</v>
      </c>
      <c r="S298" s="29">
        <v>136814</v>
      </c>
      <c r="T298" s="28">
        <v>1</v>
      </c>
      <c r="U298" s="28">
        <v>4</v>
      </c>
      <c r="V298" s="28">
        <v>12</v>
      </c>
      <c r="W298" s="30">
        <v>46275.625</v>
      </c>
      <c r="X298" s="32"/>
      <c r="Y298" s="28">
        <v>0</v>
      </c>
      <c r="Z298" s="33">
        <v>137901</v>
      </c>
      <c r="AA298">
        <v>463.24999999999989</v>
      </c>
      <c r="AB298" s="18">
        <v>0.51523745968190404</v>
      </c>
      <c r="AC298" s="19">
        <v>1.515237459681904</v>
      </c>
      <c r="AD298" s="19">
        <v>0.58333333333333337</v>
      </c>
      <c r="AE298" s="19">
        <v>0.77777777777777779</v>
      </c>
    </row>
    <row r="299" spans="1:31">
      <c r="A299">
        <v>303</v>
      </c>
      <c r="B299" t="s">
        <v>87</v>
      </c>
      <c r="C299" t="s">
        <v>88</v>
      </c>
      <c r="D299" t="s">
        <v>89</v>
      </c>
      <c r="E299" s="20">
        <v>46088</v>
      </c>
      <c r="F299" s="21" t="s">
        <v>90</v>
      </c>
      <c r="G299" s="21" t="s">
        <v>315</v>
      </c>
      <c r="H299" s="21" t="s">
        <v>91</v>
      </c>
      <c r="I299" s="22">
        <v>82500</v>
      </c>
      <c r="J299" s="21" t="s">
        <v>92</v>
      </c>
      <c r="K299" s="23">
        <v>46222.625</v>
      </c>
      <c r="L299" s="21">
        <v>513</v>
      </c>
      <c r="M299" s="22">
        <v>2354</v>
      </c>
      <c r="N299" s="24">
        <v>7330.4</v>
      </c>
      <c r="O299" s="24">
        <v>11970</v>
      </c>
      <c r="P299" s="24">
        <v>16315</v>
      </c>
      <c r="Q299" s="22">
        <v>1116</v>
      </c>
      <c r="R299" s="22">
        <v>43762</v>
      </c>
      <c r="S299" s="22">
        <v>116791</v>
      </c>
      <c r="T299" s="21">
        <v>1</v>
      </c>
      <c r="U299" s="21">
        <v>5</v>
      </c>
      <c r="V299" s="21">
        <v>5</v>
      </c>
      <c r="W299" s="23">
        <v>46275.625</v>
      </c>
      <c r="X299" s="25"/>
      <c r="Y299" s="21">
        <v>0</v>
      </c>
      <c r="Z299" s="26">
        <v>117928</v>
      </c>
      <c r="AA299">
        <v>4639.6000000000004</v>
      </c>
      <c r="AB299" s="18">
        <v>0.63292589763178009</v>
      </c>
      <c r="AC299" s="19">
        <v>1.63292589763178</v>
      </c>
      <c r="AD299" s="19">
        <v>1.4</v>
      </c>
      <c r="AE299" s="19">
        <v>2.3333333333333335</v>
      </c>
    </row>
    <row r="300" spans="1:31">
      <c r="A300">
        <v>304</v>
      </c>
      <c r="B300" t="s">
        <v>51</v>
      </c>
      <c r="C300" t="s">
        <v>52</v>
      </c>
      <c r="D300" t="s">
        <v>53</v>
      </c>
      <c r="E300" s="27">
        <v>46091</v>
      </c>
      <c r="F300" s="28" t="s">
        <v>54</v>
      </c>
      <c r="G300" s="32"/>
      <c r="H300" s="28" t="s">
        <v>56</v>
      </c>
      <c r="I300" s="29">
        <v>98500</v>
      </c>
      <c r="J300" s="28" t="s">
        <v>57</v>
      </c>
      <c r="K300" s="30">
        <v>46184.583333333336</v>
      </c>
      <c r="L300" s="28">
        <v>514</v>
      </c>
      <c r="M300" s="29">
        <v>3235</v>
      </c>
      <c r="N300" s="31">
        <v>2435.4</v>
      </c>
      <c r="O300" s="31">
        <v>4265.5</v>
      </c>
      <c r="P300" s="31">
        <v>6480</v>
      </c>
      <c r="Q300" s="28">
        <v>460</v>
      </c>
      <c r="R300" s="29">
        <v>17683</v>
      </c>
      <c r="S300" s="29">
        <v>45255</v>
      </c>
      <c r="T300" s="28">
        <v>3</v>
      </c>
      <c r="U300" s="28">
        <v>7</v>
      </c>
      <c r="V300" s="28">
        <v>11</v>
      </c>
      <c r="W300" s="30">
        <v>46275.541666666664</v>
      </c>
      <c r="X300" s="32"/>
      <c r="Y300" s="28">
        <v>0</v>
      </c>
      <c r="Z300" s="33">
        <v>45720</v>
      </c>
      <c r="AA300">
        <v>1830.1</v>
      </c>
      <c r="AB300" s="18">
        <v>0.75145766609181242</v>
      </c>
      <c r="AC300" s="19">
        <v>1.7514576660918124</v>
      </c>
      <c r="AD300" s="19">
        <v>1.9090909090909092</v>
      </c>
      <c r="AE300" s="19">
        <v>1.4848484848484849</v>
      </c>
    </row>
    <row r="301" spans="1:31">
      <c r="A301">
        <v>305</v>
      </c>
      <c r="B301" t="s">
        <v>133</v>
      </c>
      <c r="C301" t="s">
        <v>124</v>
      </c>
      <c r="D301" t="s">
        <v>53</v>
      </c>
      <c r="E301" s="20">
        <v>46091</v>
      </c>
      <c r="F301" s="21" t="s">
        <v>134</v>
      </c>
      <c r="G301" s="25"/>
      <c r="H301" s="21" t="s">
        <v>135</v>
      </c>
      <c r="I301" s="22">
        <v>49800</v>
      </c>
      <c r="J301" s="21" t="s">
        <v>136</v>
      </c>
      <c r="K301" s="23">
        <v>46184.875</v>
      </c>
      <c r="L301" s="21">
        <v>395</v>
      </c>
      <c r="M301" s="22">
        <v>2042</v>
      </c>
      <c r="N301" s="24">
        <v>335.59</v>
      </c>
      <c r="O301" s="24">
        <v>598.53</v>
      </c>
      <c r="P301" s="24">
        <v>1020.15</v>
      </c>
      <c r="Q301" s="21">
        <v>429</v>
      </c>
      <c r="R301" s="22">
        <v>15415</v>
      </c>
      <c r="S301" s="22">
        <v>37750</v>
      </c>
      <c r="T301" s="21">
        <v>3</v>
      </c>
      <c r="U301" s="21">
        <v>4</v>
      </c>
      <c r="V301" s="21">
        <v>11</v>
      </c>
      <c r="W301" s="23">
        <v>46275.541666666664</v>
      </c>
      <c r="X301" s="25"/>
      <c r="Y301" s="21">
        <v>0</v>
      </c>
      <c r="Z301" s="26">
        <v>38068</v>
      </c>
      <c r="AA301">
        <v>262.94</v>
      </c>
      <c r="AB301" s="18">
        <v>0.78351559939211546</v>
      </c>
      <c r="AC301" s="19">
        <v>1.7835155993921155</v>
      </c>
      <c r="AD301" s="19">
        <v>1.9090909090909092</v>
      </c>
      <c r="AE301" s="19">
        <v>0.84848484848484851</v>
      </c>
    </row>
    <row r="302" spans="1:31">
      <c r="A302">
        <v>306</v>
      </c>
      <c r="B302" t="s">
        <v>161</v>
      </c>
      <c r="C302" t="s">
        <v>124</v>
      </c>
      <c r="D302" t="s">
        <v>159</v>
      </c>
      <c r="E302" s="27">
        <v>46091</v>
      </c>
      <c r="F302" s="28" t="s">
        <v>173</v>
      </c>
      <c r="G302" s="32"/>
      <c r="H302" s="28" t="s">
        <v>146</v>
      </c>
      <c r="I302" s="29">
        <v>30000</v>
      </c>
      <c r="J302" s="28" t="s">
        <v>147</v>
      </c>
      <c r="K302" s="30">
        <v>46185.625</v>
      </c>
      <c r="L302" s="28">
        <v>446</v>
      </c>
      <c r="M302" s="29">
        <v>2122</v>
      </c>
      <c r="N302" s="31">
        <v>1291.6600000000001</v>
      </c>
      <c r="O302" s="31">
        <v>1962.36</v>
      </c>
      <c r="P302" s="31">
        <v>2812.55</v>
      </c>
      <c r="Q302" s="28">
        <v>374</v>
      </c>
      <c r="R302" s="29">
        <v>19780</v>
      </c>
      <c r="S302" s="29">
        <v>57580</v>
      </c>
      <c r="T302" s="28">
        <v>1</v>
      </c>
      <c r="U302" s="28">
        <v>6</v>
      </c>
      <c r="V302" s="28">
        <v>14</v>
      </c>
      <c r="W302" s="30">
        <v>46275.5</v>
      </c>
      <c r="X302" s="32"/>
      <c r="Y302" s="28">
        <v>0</v>
      </c>
      <c r="Z302" s="33">
        <v>58155</v>
      </c>
      <c r="AA302">
        <v>670.69999999999982</v>
      </c>
      <c r="AB302" s="18">
        <v>0.51925429292538272</v>
      </c>
      <c r="AC302" s="19">
        <v>1.5192542929253827</v>
      </c>
      <c r="AD302" s="19">
        <v>0.5</v>
      </c>
      <c r="AE302" s="19">
        <v>1</v>
      </c>
    </row>
    <row r="303" spans="1:31">
      <c r="A303">
        <v>307</v>
      </c>
      <c r="B303" t="s">
        <v>180</v>
      </c>
      <c r="C303" t="s">
        <v>177</v>
      </c>
      <c r="D303" t="s">
        <v>178</v>
      </c>
      <c r="E303" s="20">
        <v>46091</v>
      </c>
      <c r="F303" s="21" t="s">
        <v>192</v>
      </c>
      <c r="G303" s="25"/>
      <c r="H303" s="21" t="s">
        <v>113</v>
      </c>
      <c r="I303" s="22">
        <v>70240</v>
      </c>
      <c r="J303" s="21" t="s">
        <v>114</v>
      </c>
      <c r="K303" s="23">
        <v>46185.75</v>
      </c>
      <c r="L303" s="21">
        <v>793</v>
      </c>
      <c r="M303" s="22">
        <v>3310</v>
      </c>
      <c r="N303" s="24">
        <v>1140</v>
      </c>
      <c r="O303" s="24">
        <v>2012.15</v>
      </c>
      <c r="P303" s="24">
        <v>2900.71</v>
      </c>
      <c r="Q303" s="21">
        <v>525</v>
      </c>
      <c r="R303" s="22">
        <v>23901</v>
      </c>
      <c r="S303" s="22">
        <v>68578</v>
      </c>
      <c r="T303" s="21">
        <v>3</v>
      </c>
      <c r="U303" s="21">
        <v>7</v>
      </c>
      <c r="V303" s="21">
        <v>28</v>
      </c>
      <c r="W303" s="23">
        <v>46275.5</v>
      </c>
      <c r="X303" s="25"/>
      <c r="Y303" s="21">
        <v>1</v>
      </c>
      <c r="Z303" s="26">
        <v>69258</v>
      </c>
      <c r="AA303">
        <v>872.15000000000009</v>
      </c>
      <c r="AB303" s="18">
        <v>0.76504385964912291</v>
      </c>
      <c r="AC303" s="19">
        <v>1.7650438596491229</v>
      </c>
      <c r="AD303" s="19">
        <v>0.75</v>
      </c>
      <c r="AE303" s="19">
        <v>0.58333333333333337</v>
      </c>
    </row>
    <row r="304" spans="1:31">
      <c r="A304">
        <v>308</v>
      </c>
      <c r="B304" t="s">
        <v>168</v>
      </c>
      <c r="C304" t="s">
        <v>174</v>
      </c>
      <c r="D304" t="s">
        <v>169</v>
      </c>
      <c r="E304" s="27">
        <v>46091</v>
      </c>
      <c r="F304" s="28" t="s">
        <v>203</v>
      </c>
      <c r="G304" s="32"/>
      <c r="H304" s="28" t="s">
        <v>127</v>
      </c>
      <c r="I304" s="29">
        <v>68756</v>
      </c>
      <c r="J304" s="28" t="s">
        <v>128</v>
      </c>
      <c r="K304" s="30">
        <v>46186.875</v>
      </c>
      <c r="L304" s="28">
        <v>743</v>
      </c>
      <c r="M304" s="29">
        <v>3188</v>
      </c>
      <c r="N304" s="31">
        <v>558.23</v>
      </c>
      <c r="O304" s="31">
        <v>810</v>
      </c>
      <c r="P304" s="31">
        <v>1206.49</v>
      </c>
      <c r="Q304" s="28">
        <v>353</v>
      </c>
      <c r="R304" s="29">
        <v>17645</v>
      </c>
      <c r="S304" s="29">
        <v>52749</v>
      </c>
      <c r="T304" s="28">
        <v>3</v>
      </c>
      <c r="U304" s="28">
        <v>4</v>
      </c>
      <c r="V304" s="28">
        <v>14</v>
      </c>
      <c r="W304" s="30">
        <v>46275.625</v>
      </c>
      <c r="X304" s="32"/>
      <c r="Y304" s="28">
        <v>0</v>
      </c>
      <c r="Z304" s="33">
        <v>53264</v>
      </c>
      <c r="AA304">
        <v>251.76999999999998</v>
      </c>
      <c r="AB304" s="18">
        <v>0.45101481468212024</v>
      </c>
      <c r="AC304" s="19">
        <v>1.4510148146821202</v>
      </c>
      <c r="AD304" s="19">
        <v>1.5</v>
      </c>
      <c r="AE304" s="19">
        <v>0.66666666666666663</v>
      </c>
    </row>
    <row r="305" spans="1:31">
      <c r="A305">
        <v>309</v>
      </c>
      <c r="B305" t="s">
        <v>181</v>
      </c>
      <c r="C305" t="s">
        <v>124</v>
      </c>
      <c r="D305" t="s">
        <v>178</v>
      </c>
      <c r="E305" s="20">
        <v>46091</v>
      </c>
      <c r="F305" s="21" t="s">
        <v>214</v>
      </c>
      <c r="G305" s="25"/>
      <c r="H305" s="21" t="s">
        <v>164</v>
      </c>
      <c r="I305" s="22">
        <v>54500</v>
      </c>
      <c r="J305" s="21" t="s">
        <v>165</v>
      </c>
      <c r="K305" s="23">
        <v>46186.875</v>
      </c>
      <c r="L305" s="21">
        <v>514</v>
      </c>
      <c r="M305" s="22">
        <v>2410</v>
      </c>
      <c r="N305" s="24">
        <v>361.56</v>
      </c>
      <c r="O305" s="24">
        <v>565.04999999999995</v>
      </c>
      <c r="P305" s="24">
        <v>1117.8</v>
      </c>
      <c r="Q305" s="21">
        <v>330</v>
      </c>
      <c r="R305" s="22">
        <v>17701</v>
      </c>
      <c r="S305" s="22">
        <v>53304</v>
      </c>
      <c r="T305" s="21">
        <v>2</v>
      </c>
      <c r="U305" s="21">
        <v>4</v>
      </c>
      <c r="V305" s="21">
        <v>14</v>
      </c>
      <c r="W305" s="23">
        <v>46275.375</v>
      </c>
      <c r="X305" s="25"/>
      <c r="Y305" s="21">
        <v>0</v>
      </c>
      <c r="Z305" s="26">
        <v>53843</v>
      </c>
      <c r="AA305">
        <v>203.48999999999995</v>
      </c>
      <c r="AB305" s="18">
        <v>0.56281115167607021</v>
      </c>
      <c r="AC305" s="19">
        <v>1.5628111516760703</v>
      </c>
      <c r="AD305" s="19">
        <v>1</v>
      </c>
      <c r="AE305" s="19">
        <v>0.66666666666666663</v>
      </c>
    </row>
    <row r="306" spans="1:31">
      <c r="A306">
        <v>310</v>
      </c>
      <c r="B306" t="s">
        <v>167</v>
      </c>
      <c r="C306" t="s">
        <v>175</v>
      </c>
      <c r="D306" t="s">
        <v>169</v>
      </c>
      <c r="E306" s="27">
        <v>46091</v>
      </c>
      <c r="F306" s="28" t="s">
        <v>225</v>
      </c>
      <c r="G306" s="32"/>
      <c r="H306" s="28" t="s">
        <v>91</v>
      </c>
      <c r="I306" s="29">
        <v>82500</v>
      </c>
      <c r="J306" s="28" t="s">
        <v>92</v>
      </c>
      <c r="K306" s="30">
        <v>46186.75</v>
      </c>
      <c r="L306" s="28">
        <v>940</v>
      </c>
      <c r="M306" s="29">
        <v>4597</v>
      </c>
      <c r="N306" s="31">
        <v>849.07</v>
      </c>
      <c r="O306" s="31">
        <v>1556.23</v>
      </c>
      <c r="P306" s="31">
        <v>2340.86</v>
      </c>
      <c r="Q306" s="28">
        <v>584</v>
      </c>
      <c r="R306" s="29">
        <v>27245</v>
      </c>
      <c r="S306" s="29">
        <v>76681</v>
      </c>
      <c r="T306" s="28">
        <v>4</v>
      </c>
      <c r="U306" s="28">
        <v>20</v>
      </c>
      <c r="V306" s="28">
        <v>53</v>
      </c>
      <c r="W306" s="30">
        <v>46275.625</v>
      </c>
      <c r="X306" s="32"/>
      <c r="Y306" s="28">
        <v>0</v>
      </c>
      <c r="Z306" s="33">
        <v>77419</v>
      </c>
      <c r="AA306">
        <v>707.16</v>
      </c>
      <c r="AB306" s="18">
        <v>0.83286419258718358</v>
      </c>
      <c r="AC306" s="19">
        <v>1.8328641925871836</v>
      </c>
      <c r="AD306" s="19">
        <v>0.52830188679245282</v>
      </c>
      <c r="AE306" s="19">
        <v>0.88050314465408808</v>
      </c>
    </row>
    <row r="307" spans="1:31">
      <c r="A307">
        <v>311</v>
      </c>
      <c r="B307" t="s">
        <v>162</v>
      </c>
      <c r="C307" t="s">
        <v>158</v>
      </c>
      <c r="D307" t="s">
        <v>159</v>
      </c>
      <c r="E307" s="20">
        <v>46091</v>
      </c>
      <c r="F307" s="21" t="s">
        <v>251</v>
      </c>
      <c r="G307" s="25"/>
      <c r="H307" s="21" t="s">
        <v>140</v>
      </c>
      <c r="I307" s="22">
        <v>75000</v>
      </c>
      <c r="J307" s="21" t="s">
        <v>141</v>
      </c>
      <c r="K307" s="23">
        <v>46186.5</v>
      </c>
      <c r="L307" s="21">
        <v>763</v>
      </c>
      <c r="M307" s="22">
        <v>3301</v>
      </c>
      <c r="N307" s="24">
        <v>284.69</v>
      </c>
      <c r="O307" s="24">
        <v>505</v>
      </c>
      <c r="P307" s="24">
        <v>799</v>
      </c>
      <c r="Q307" s="21">
        <v>390</v>
      </c>
      <c r="R307" s="22">
        <v>18861</v>
      </c>
      <c r="S307" s="22">
        <v>56199</v>
      </c>
      <c r="T307" s="21">
        <v>4</v>
      </c>
      <c r="U307" s="21">
        <v>21</v>
      </c>
      <c r="V307" s="21">
        <v>57</v>
      </c>
      <c r="W307" s="23">
        <v>46275.5</v>
      </c>
      <c r="X307" s="25"/>
      <c r="Y307" s="21">
        <v>0</v>
      </c>
      <c r="Z307" s="26">
        <v>56778</v>
      </c>
      <c r="AA307">
        <v>220.31</v>
      </c>
      <c r="AB307" s="18">
        <v>0.77385928553865613</v>
      </c>
      <c r="AC307" s="19">
        <v>1.7738592855386561</v>
      </c>
      <c r="AD307" s="19">
        <v>0.49122807017543862</v>
      </c>
      <c r="AE307" s="19">
        <v>0.85964912280701755</v>
      </c>
    </row>
    <row r="308" spans="1:31">
      <c r="A308">
        <v>312</v>
      </c>
      <c r="B308" t="s">
        <v>183</v>
      </c>
      <c r="C308" t="s">
        <v>185</v>
      </c>
      <c r="D308" t="s">
        <v>60</v>
      </c>
      <c r="E308" s="27">
        <v>46091</v>
      </c>
      <c r="F308" s="28" t="s">
        <v>283</v>
      </c>
      <c r="G308" s="32"/>
      <c r="H308" s="28" t="s">
        <v>171</v>
      </c>
      <c r="I308" s="29">
        <v>69176</v>
      </c>
      <c r="J308" s="28" t="s">
        <v>172</v>
      </c>
      <c r="K308" s="30">
        <v>46187.791666666664</v>
      </c>
      <c r="L308" s="28">
        <v>690</v>
      </c>
      <c r="M308" s="29">
        <v>3039</v>
      </c>
      <c r="N308" s="31">
        <v>442.33</v>
      </c>
      <c r="O308" s="31">
        <v>740.91</v>
      </c>
      <c r="P308" s="31">
        <v>1002.46</v>
      </c>
      <c r="Q308" s="28">
        <v>369</v>
      </c>
      <c r="R308" s="29">
        <v>18940</v>
      </c>
      <c r="S308" s="29">
        <v>56028</v>
      </c>
      <c r="T308" s="28">
        <v>3</v>
      </c>
      <c r="U308" s="28">
        <v>17</v>
      </c>
      <c r="V308" s="28">
        <v>39</v>
      </c>
      <c r="W308" s="30">
        <v>46275.625</v>
      </c>
      <c r="X308" s="32"/>
      <c r="Y308" s="28">
        <v>0</v>
      </c>
      <c r="Z308" s="33">
        <v>56600</v>
      </c>
      <c r="AA308">
        <v>298.58</v>
      </c>
      <c r="AB308" s="18">
        <v>0.67501639047769768</v>
      </c>
      <c r="AC308" s="19">
        <v>1.6750163904776976</v>
      </c>
      <c r="AD308" s="19">
        <v>0.53846153846153844</v>
      </c>
      <c r="AE308" s="19">
        <v>1.0170940170940173</v>
      </c>
    </row>
    <row r="309" spans="1:31">
      <c r="A309">
        <v>313</v>
      </c>
      <c r="B309" t="s">
        <v>58</v>
      </c>
      <c r="C309" t="s">
        <v>59</v>
      </c>
      <c r="D309" t="s">
        <v>60</v>
      </c>
      <c r="E309" s="20">
        <v>46091</v>
      </c>
      <c r="F309" s="21" t="s">
        <v>61</v>
      </c>
      <c r="G309" s="25"/>
      <c r="H309" s="21" t="s">
        <v>62</v>
      </c>
      <c r="I309" s="22">
        <v>71500</v>
      </c>
      <c r="J309" s="21" t="s">
        <v>63</v>
      </c>
      <c r="K309" s="23">
        <v>46187.5</v>
      </c>
      <c r="L309" s="21">
        <v>814</v>
      </c>
      <c r="M309" s="22">
        <v>3565</v>
      </c>
      <c r="N309" s="24">
        <v>360.97</v>
      </c>
      <c r="O309" s="24">
        <v>639.16</v>
      </c>
      <c r="P309" s="24">
        <v>957.08</v>
      </c>
      <c r="Q309" s="21">
        <v>376</v>
      </c>
      <c r="R309" s="22">
        <v>13715</v>
      </c>
      <c r="S309" s="22">
        <v>49889</v>
      </c>
      <c r="T309" s="21">
        <v>5</v>
      </c>
      <c r="U309" s="21">
        <v>19</v>
      </c>
      <c r="V309" s="21">
        <v>41</v>
      </c>
      <c r="W309" s="23">
        <v>46275.583333333336</v>
      </c>
      <c r="X309" s="25"/>
      <c r="Y309" s="21">
        <v>0</v>
      </c>
      <c r="Z309" s="26">
        <v>50437</v>
      </c>
      <c r="AA309">
        <v>278.18999999999994</v>
      </c>
      <c r="AB309" s="18">
        <v>0.77067346316868413</v>
      </c>
      <c r="AC309" s="19">
        <v>1.7706734631686842</v>
      </c>
      <c r="AD309" s="19">
        <v>0.85365853658536595</v>
      </c>
      <c r="AE309" s="19">
        <v>1.0813008130081301</v>
      </c>
    </row>
    <row r="310" spans="1:31">
      <c r="A310">
        <v>314</v>
      </c>
      <c r="B310" t="s">
        <v>93</v>
      </c>
      <c r="C310" t="s">
        <v>94</v>
      </c>
      <c r="D310" t="s">
        <v>95</v>
      </c>
      <c r="E310" s="27">
        <v>46091</v>
      </c>
      <c r="F310" s="28" t="s">
        <v>96</v>
      </c>
      <c r="G310" s="32"/>
      <c r="H310" s="28" t="s">
        <v>74</v>
      </c>
      <c r="I310" s="29">
        <v>80000</v>
      </c>
      <c r="J310" s="28" t="s">
        <v>75</v>
      </c>
      <c r="K310" s="30">
        <v>46187.625</v>
      </c>
      <c r="L310" s="28">
        <v>582</v>
      </c>
      <c r="M310" s="29">
        <v>2637</v>
      </c>
      <c r="N310" s="31">
        <v>570.30999999999995</v>
      </c>
      <c r="O310" s="31">
        <v>945.59</v>
      </c>
      <c r="P310" s="31">
        <v>1369.06</v>
      </c>
      <c r="Q310" s="28">
        <v>374</v>
      </c>
      <c r="R310" s="29">
        <v>19393</v>
      </c>
      <c r="S310" s="29">
        <v>58296</v>
      </c>
      <c r="T310" s="28">
        <v>5</v>
      </c>
      <c r="U310" s="28">
        <v>18</v>
      </c>
      <c r="V310" s="28">
        <v>47</v>
      </c>
      <c r="W310" s="30">
        <v>46275.583333333336</v>
      </c>
      <c r="X310" s="32"/>
      <c r="Y310" s="28">
        <v>0</v>
      </c>
      <c r="Z310" s="33">
        <v>58924</v>
      </c>
      <c r="AA310">
        <v>375.28000000000009</v>
      </c>
      <c r="AB310" s="18">
        <v>0.65802808998614815</v>
      </c>
      <c r="AC310" s="19">
        <v>1.6580280899861481</v>
      </c>
      <c r="AD310" s="19">
        <v>0.74468085106382975</v>
      </c>
      <c r="AE310" s="19">
        <v>0.8936170212765957</v>
      </c>
    </row>
    <row r="311" spans="1:31">
      <c r="A311">
        <v>315</v>
      </c>
      <c r="B311" t="s">
        <v>97</v>
      </c>
      <c r="C311" t="s">
        <v>98</v>
      </c>
      <c r="D311" t="s">
        <v>95</v>
      </c>
      <c r="E311" s="20">
        <v>46091</v>
      </c>
      <c r="F311" s="21" t="s">
        <v>99</v>
      </c>
      <c r="G311" s="25"/>
      <c r="H311" s="21" t="s">
        <v>100</v>
      </c>
      <c r="I311" s="22">
        <v>52237</v>
      </c>
      <c r="J311" s="21" t="s">
        <v>101</v>
      </c>
      <c r="K311" s="23">
        <v>46187.875</v>
      </c>
      <c r="L311" s="21">
        <v>420</v>
      </c>
      <c r="M311" s="22">
        <v>2158</v>
      </c>
      <c r="N311" s="24">
        <v>189</v>
      </c>
      <c r="O311" s="24">
        <v>352.07</v>
      </c>
      <c r="P311" s="24">
        <v>686.83</v>
      </c>
      <c r="Q311" s="21">
        <v>305</v>
      </c>
      <c r="R311" s="22">
        <v>17315</v>
      </c>
      <c r="S311" s="22">
        <v>51638</v>
      </c>
      <c r="T311" s="21">
        <v>4</v>
      </c>
      <c r="U311" s="21">
        <v>6</v>
      </c>
      <c r="V311" s="21">
        <v>13</v>
      </c>
      <c r="W311" s="23">
        <v>46275.541666666664</v>
      </c>
      <c r="X311" s="25"/>
      <c r="Y311" s="21">
        <v>0</v>
      </c>
      <c r="Z311" s="26">
        <v>52149</v>
      </c>
      <c r="AA311">
        <v>163.07</v>
      </c>
      <c r="AB311" s="18">
        <v>0.8628042328042328</v>
      </c>
      <c r="AC311" s="19">
        <v>1.8628042328042327</v>
      </c>
      <c r="AD311" s="19">
        <v>2.1538461538461537</v>
      </c>
      <c r="AE311" s="19">
        <v>1.0769230769230769</v>
      </c>
    </row>
    <row r="312" spans="1:31">
      <c r="A312">
        <v>316</v>
      </c>
      <c r="B312" t="s">
        <v>102</v>
      </c>
      <c r="C312" t="s">
        <v>103</v>
      </c>
      <c r="D312" t="s">
        <v>104</v>
      </c>
      <c r="E312" s="27">
        <v>46091</v>
      </c>
      <c r="F312" s="28" t="s">
        <v>105</v>
      </c>
      <c r="G312" s="32"/>
      <c r="H312" s="28" t="s">
        <v>85</v>
      </c>
      <c r="I312" s="29">
        <v>76100</v>
      </c>
      <c r="J312" s="28" t="s">
        <v>86</v>
      </c>
      <c r="K312" s="30">
        <v>46188.75</v>
      </c>
      <c r="L312" s="28">
        <v>884</v>
      </c>
      <c r="M312" s="29">
        <v>3845</v>
      </c>
      <c r="N312" s="31">
        <v>309.66000000000003</v>
      </c>
      <c r="O312" s="31">
        <v>500</v>
      </c>
      <c r="P312" s="31">
        <v>735</v>
      </c>
      <c r="Q312" s="28">
        <v>402</v>
      </c>
      <c r="R312" s="29">
        <v>15104</v>
      </c>
      <c r="S312" s="29">
        <v>53312</v>
      </c>
      <c r="T312" s="28">
        <v>4</v>
      </c>
      <c r="U312" s="28">
        <v>17</v>
      </c>
      <c r="V312" s="28">
        <v>40</v>
      </c>
      <c r="W312" s="30">
        <v>46275.625</v>
      </c>
      <c r="X312" s="32"/>
      <c r="Y312" s="28">
        <v>0</v>
      </c>
      <c r="Z312" s="33">
        <v>53882</v>
      </c>
      <c r="AA312">
        <v>190.33999999999997</v>
      </c>
      <c r="AB312" s="18">
        <v>0.61467415875476317</v>
      </c>
      <c r="AC312" s="19">
        <v>1.6146741587547631</v>
      </c>
      <c r="AD312" s="19">
        <v>0.7</v>
      </c>
      <c r="AE312" s="19">
        <v>0.9916666666666667</v>
      </c>
    </row>
    <row r="313" spans="1:31">
      <c r="A313">
        <v>317</v>
      </c>
      <c r="B313" t="s">
        <v>106</v>
      </c>
      <c r="C313" t="s">
        <v>107</v>
      </c>
      <c r="D313" t="s">
        <v>104</v>
      </c>
      <c r="E313" s="20">
        <v>46091</v>
      </c>
      <c r="F313" s="21" t="s">
        <v>108</v>
      </c>
      <c r="G313" s="25"/>
      <c r="H313" s="21" t="s">
        <v>79</v>
      </c>
      <c r="I313" s="22">
        <v>71000</v>
      </c>
      <c r="J313" s="21" t="s">
        <v>80</v>
      </c>
      <c r="K313" s="23">
        <v>46188.5</v>
      </c>
      <c r="L313" s="21">
        <v>834</v>
      </c>
      <c r="M313" s="22">
        <v>3660</v>
      </c>
      <c r="N313" s="24">
        <v>357.9</v>
      </c>
      <c r="O313" s="24">
        <v>603.96</v>
      </c>
      <c r="P313" s="24">
        <v>900</v>
      </c>
      <c r="Q313" s="21">
        <v>408</v>
      </c>
      <c r="R313" s="22">
        <v>14389</v>
      </c>
      <c r="S313" s="22">
        <v>52150</v>
      </c>
      <c r="T313" s="21">
        <v>7</v>
      </c>
      <c r="U313" s="21">
        <v>28</v>
      </c>
      <c r="V313" s="21">
        <v>45</v>
      </c>
      <c r="W313" s="23">
        <v>46275.625</v>
      </c>
      <c r="X313" s="25"/>
      <c r="Y313" s="21">
        <v>0</v>
      </c>
      <c r="Z313" s="26">
        <v>52736</v>
      </c>
      <c r="AA313">
        <v>246.06000000000006</v>
      </c>
      <c r="AB313" s="18">
        <v>0.68751047778709162</v>
      </c>
      <c r="AC313" s="19">
        <v>1.6875104777870915</v>
      </c>
      <c r="AD313" s="19">
        <v>1.0888888888888888</v>
      </c>
      <c r="AE313" s="19">
        <v>1.4518518518518519</v>
      </c>
    </row>
    <row r="314" spans="1:31">
      <c r="A314">
        <v>318</v>
      </c>
      <c r="B314" t="s">
        <v>109</v>
      </c>
      <c r="C314" t="s">
        <v>110</v>
      </c>
      <c r="D314" t="s">
        <v>111</v>
      </c>
      <c r="E314" s="27">
        <v>46091</v>
      </c>
      <c r="F314" s="28" t="s">
        <v>112</v>
      </c>
      <c r="G314" s="32"/>
      <c r="H314" s="28" t="s">
        <v>113</v>
      </c>
      <c r="I314" s="29">
        <v>70240</v>
      </c>
      <c r="J314" s="28" t="s">
        <v>114</v>
      </c>
      <c r="K314" s="30">
        <v>46188.75</v>
      </c>
      <c r="L314" s="28">
        <v>989</v>
      </c>
      <c r="M314" s="29">
        <v>4160</v>
      </c>
      <c r="N314" s="31">
        <v>263.12</v>
      </c>
      <c r="O314" s="31">
        <v>530</v>
      </c>
      <c r="P314" s="31">
        <v>880</v>
      </c>
      <c r="Q314" s="28">
        <v>421</v>
      </c>
      <c r="R314" s="29">
        <v>15086</v>
      </c>
      <c r="S314" s="29">
        <v>52863</v>
      </c>
      <c r="T314" s="28">
        <v>4</v>
      </c>
      <c r="U314" s="28">
        <v>9</v>
      </c>
      <c r="V314" s="28">
        <v>21</v>
      </c>
      <c r="W314" s="30">
        <v>46275.5</v>
      </c>
      <c r="X314" s="32"/>
      <c r="Y314" s="28">
        <v>0</v>
      </c>
      <c r="Z314" s="33">
        <v>53420</v>
      </c>
      <c r="AA314">
        <v>266.88</v>
      </c>
      <c r="AB314" s="18">
        <v>1.0142900577683187</v>
      </c>
      <c r="AC314" s="19">
        <v>2.0142900577683185</v>
      </c>
      <c r="AD314" s="19">
        <v>1.3333333333333333</v>
      </c>
      <c r="AE314" s="19">
        <v>1</v>
      </c>
    </row>
    <row r="315" spans="1:31">
      <c r="A315">
        <v>319</v>
      </c>
      <c r="B315" t="s">
        <v>115</v>
      </c>
      <c r="C315" t="s">
        <v>116</v>
      </c>
      <c r="D315" t="s">
        <v>111</v>
      </c>
      <c r="E315" s="20">
        <v>46091</v>
      </c>
      <c r="F315" s="21" t="s">
        <v>117</v>
      </c>
      <c r="G315" s="25"/>
      <c r="H315" s="21" t="s">
        <v>118</v>
      </c>
      <c r="I315" s="22">
        <v>67000</v>
      </c>
      <c r="J315" s="21" t="s">
        <v>119</v>
      </c>
      <c r="K315" s="23">
        <v>46188.5</v>
      </c>
      <c r="L315" s="21">
        <v>673</v>
      </c>
      <c r="M315" s="22">
        <v>2948</v>
      </c>
      <c r="N315" s="24">
        <v>360.46</v>
      </c>
      <c r="O315" s="24">
        <v>640.64</v>
      </c>
      <c r="P315" s="24">
        <v>950</v>
      </c>
      <c r="Q315" s="21">
        <v>421</v>
      </c>
      <c r="R315" s="22">
        <v>20751</v>
      </c>
      <c r="S315" s="22">
        <v>60270</v>
      </c>
      <c r="T315" s="21">
        <v>5</v>
      </c>
      <c r="U315" s="21">
        <v>17</v>
      </c>
      <c r="V315" s="21">
        <v>33</v>
      </c>
      <c r="W315" s="23">
        <v>46275.5</v>
      </c>
      <c r="X315" s="25"/>
      <c r="Y315" s="21">
        <v>0</v>
      </c>
      <c r="Z315" s="26">
        <v>60857</v>
      </c>
      <c r="AA315">
        <v>280.18</v>
      </c>
      <c r="AB315" s="18">
        <v>0.77728458081340512</v>
      </c>
      <c r="AC315" s="19">
        <v>1.7772845808134052</v>
      </c>
      <c r="AD315" s="19">
        <v>1.0606060606060606</v>
      </c>
      <c r="AE315" s="19">
        <v>1.202020202020202</v>
      </c>
    </row>
    <row r="316" spans="1:31">
      <c r="A316">
        <v>320</v>
      </c>
      <c r="B316" t="s">
        <v>120</v>
      </c>
      <c r="C316" t="s">
        <v>121</v>
      </c>
      <c r="D316" t="s">
        <v>122</v>
      </c>
      <c r="E316" s="27">
        <v>46091</v>
      </c>
      <c r="F316" s="28" t="s">
        <v>123</v>
      </c>
      <c r="G316" s="32"/>
      <c r="H316" s="28" t="s">
        <v>91</v>
      </c>
      <c r="I316" s="29">
        <v>82500</v>
      </c>
      <c r="J316" s="28" t="s">
        <v>92</v>
      </c>
      <c r="K316" s="30">
        <v>46189.625</v>
      </c>
      <c r="L316" s="28">
        <v>813</v>
      </c>
      <c r="M316" s="29">
        <v>3660</v>
      </c>
      <c r="N316" s="31">
        <v>517.5</v>
      </c>
      <c r="O316" s="31">
        <v>944.4</v>
      </c>
      <c r="P316" s="31">
        <v>1369.8</v>
      </c>
      <c r="Q316" s="28">
        <v>450</v>
      </c>
      <c r="R316" s="29">
        <v>21655</v>
      </c>
      <c r="S316" s="29">
        <v>62590</v>
      </c>
      <c r="T316" s="28">
        <v>3</v>
      </c>
      <c r="U316" s="28">
        <v>16</v>
      </c>
      <c r="V316" s="28">
        <v>46</v>
      </c>
      <c r="W316" s="30">
        <v>46275.625</v>
      </c>
      <c r="X316" s="32"/>
      <c r="Y316" s="28">
        <v>0</v>
      </c>
      <c r="Z316" s="33">
        <v>63219</v>
      </c>
      <c r="AA316">
        <v>426.9</v>
      </c>
      <c r="AB316" s="18">
        <v>0.82492753623188397</v>
      </c>
      <c r="AC316" s="19">
        <v>1.824927536231884</v>
      </c>
      <c r="AD316" s="19">
        <v>0.45652173913043481</v>
      </c>
      <c r="AE316" s="19">
        <v>0.81159420289855067</v>
      </c>
    </row>
    <row r="317" spans="1:31">
      <c r="A317">
        <v>321</v>
      </c>
      <c r="B317" t="s">
        <v>124</v>
      </c>
      <c r="C317" t="s">
        <v>125</v>
      </c>
      <c r="D317" t="s">
        <v>122</v>
      </c>
      <c r="E317" s="20">
        <v>46091</v>
      </c>
      <c r="F317" s="21" t="s">
        <v>126</v>
      </c>
      <c r="G317" s="25"/>
      <c r="H317" s="21" t="s">
        <v>127</v>
      </c>
      <c r="I317" s="22">
        <v>68756</v>
      </c>
      <c r="J317" s="21" t="s">
        <v>128</v>
      </c>
      <c r="K317" s="23">
        <v>46189.75</v>
      </c>
      <c r="L317" s="21">
        <v>662</v>
      </c>
      <c r="M317" s="22">
        <v>3111</v>
      </c>
      <c r="N317" s="24">
        <v>396</v>
      </c>
      <c r="O317" s="24">
        <v>660</v>
      </c>
      <c r="P317" s="24">
        <v>1040</v>
      </c>
      <c r="Q317" s="21">
        <v>406</v>
      </c>
      <c r="R317" s="22">
        <v>19912</v>
      </c>
      <c r="S317" s="22">
        <v>57820</v>
      </c>
      <c r="T317" s="21">
        <v>2</v>
      </c>
      <c r="U317" s="21">
        <v>8</v>
      </c>
      <c r="V317" s="21">
        <v>18</v>
      </c>
      <c r="W317" s="23">
        <v>46275.625</v>
      </c>
      <c r="X317" s="25"/>
      <c r="Y317" s="21">
        <v>0</v>
      </c>
      <c r="Z317" s="26">
        <v>58362</v>
      </c>
      <c r="AA317">
        <v>264</v>
      </c>
      <c r="AB317" s="18">
        <v>0.66666666666666663</v>
      </c>
      <c r="AC317" s="19">
        <v>1.6666666666666667</v>
      </c>
      <c r="AD317" s="19">
        <v>0.77777777777777768</v>
      </c>
      <c r="AE317" s="19">
        <v>1.037037037037037</v>
      </c>
    </row>
    <row r="318" spans="1:31">
      <c r="A318">
        <v>322</v>
      </c>
      <c r="B318" t="s">
        <v>129</v>
      </c>
      <c r="C318" t="s">
        <v>130</v>
      </c>
      <c r="D318" t="s">
        <v>131</v>
      </c>
      <c r="E318" s="27">
        <v>46091</v>
      </c>
      <c r="F318" s="28" t="s">
        <v>132</v>
      </c>
      <c r="G318" s="32"/>
      <c r="H318" s="28" t="s">
        <v>68</v>
      </c>
      <c r="I318" s="29">
        <v>76416</v>
      </c>
      <c r="J318" s="28" t="s">
        <v>69</v>
      </c>
      <c r="K318" s="30">
        <v>46189.833333333336</v>
      </c>
      <c r="L318" s="28">
        <v>834</v>
      </c>
      <c r="M318" s="29">
        <v>3688</v>
      </c>
      <c r="N318" s="31">
        <v>681.39</v>
      </c>
      <c r="O318" s="31">
        <v>1100</v>
      </c>
      <c r="P318" s="31">
        <v>1849</v>
      </c>
      <c r="Q318" s="28">
        <v>406</v>
      </c>
      <c r="R318" s="29">
        <v>20307</v>
      </c>
      <c r="S318" s="29">
        <v>59805</v>
      </c>
      <c r="T318" s="28">
        <v>3</v>
      </c>
      <c r="U318" s="28">
        <v>12</v>
      </c>
      <c r="V318" s="28">
        <v>32</v>
      </c>
      <c r="W318" s="30">
        <v>46275.583333333336</v>
      </c>
      <c r="X318" s="32"/>
      <c r="Y318" s="28">
        <v>0</v>
      </c>
      <c r="Z318" s="33">
        <v>60393</v>
      </c>
      <c r="AA318">
        <v>418.61</v>
      </c>
      <c r="AB318" s="18">
        <v>0.61434714333935048</v>
      </c>
      <c r="AC318" s="19">
        <v>1.6143471433393506</v>
      </c>
      <c r="AD318" s="19">
        <v>0.65625</v>
      </c>
      <c r="AE318" s="19">
        <v>0.875</v>
      </c>
    </row>
    <row r="319" spans="1:31">
      <c r="A319">
        <v>323</v>
      </c>
      <c r="B319" t="s">
        <v>137</v>
      </c>
      <c r="C319" t="s">
        <v>138</v>
      </c>
      <c r="D319" t="s">
        <v>131</v>
      </c>
      <c r="E319" s="20">
        <v>46091</v>
      </c>
      <c r="F319" s="21" t="s">
        <v>139</v>
      </c>
      <c r="G319" s="25"/>
      <c r="H319" s="21" t="s">
        <v>140</v>
      </c>
      <c r="I319" s="22">
        <v>75000</v>
      </c>
      <c r="J319" s="21" t="s">
        <v>141</v>
      </c>
      <c r="K319" s="23">
        <v>46189.875</v>
      </c>
      <c r="L319" s="21">
        <v>783</v>
      </c>
      <c r="M319" s="22">
        <v>3345</v>
      </c>
      <c r="N319" s="24">
        <v>184</v>
      </c>
      <c r="O319" s="24">
        <v>456.45</v>
      </c>
      <c r="P319" s="24">
        <v>700</v>
      </c>
      <c r="Q319" s="21">
        <v>406</v>
      </c>
      <c r="R319" s="22">
        <v>20132</v>
      </c>
      <c r="S319" s="22">
        <v>58360</v>
      </c>
      <c r="T319" s="21">
        <v>0</v>
      </c>
      <c r="U319" s="21">
        <v>7</v>
      </c>
      <c r="V319" s="21">
        <v>27</v>
      </c>
      <c r="W319" s="23">
        <v>46275.5</v>
      </c>
      <c r="X319" s="25"/>
      <c r="Y319" s="21">
        <v>0</v>
      </c>
      <c r="Z319" s="26">
        <v>58914</v>
      </c>
      <c r="AA319">
        <v>272.45</v>
      </c>
      <c r="AB319" s="18">
        <v>1.4807065217391304</v>
      </c>
      <c r="AC319" s="19">
        <v>2.4807065217391302</v>
      </c>
      <c r="AD319" s="19">
        <v>0</v>
      </c>
      <c r="AE319" s="19">
        <v>0.60493827160493829</v>
      </c>
    </row>
    <row r="320" spans="1:31">
      <c r="A320">
        <v>324</v>
      </c>
      <c r="B320" t="s">
        <v>142</v>
      </c>
      <c r="C320" t="s">
        <v>143</v>
      </c>
      <c r="D320" t="s">
        <v>144</v>
      </c>
      <c r="E320" s="27">
        <v>46091</v>
      </c>
      <c r="F320" s="28" t="s">
        <v>145</v>
      </c>
      <c r="G320" s="32"/>
      <c r="H320" s="28" t="s">
        <v>146</v>
      </c>
      <c r="I320" s="29">
        <v>30000</v>
      </c>
      <c r="J320" s="28" t="s">
        <v>147</v>
      </c>
      <c r="K320" s="30">
        <v>46190.791666666664</v>
      </c>
      <c r="L320" s="28">
        <v>457</v>
      </c>
      <c r="M320" s="29">
        <v>2248</v>
      </c>
      <c r="N320" s="31">
        <v>369.22</v>
      </c>
      <c r="O320" s="31">
        <v>599.58000000000004</v>
      </c>
      <c r="P320" s="31">
        <v>881.28</v>
      </c>
      <c r="Q320" s="28">
        <v>373</v>
      </c>
      <c r="R320" s="29">
        <v>19921</v>
      </c>
      <c r="S320" s="29">
        <v>57730</v>
      </c>
      <c r="T320" s="28">
        <v>3</v>
      </c>
      <c r="U320" s="28">
        <v>9</v>
      </c>
      <c r="V320" s="28">
        <v>27</v>
      </c>
      <c r="W320" s="30">
        <v>46275.5</v>
      </c>
      <c r="X320" s="32"/>
      <c r="Y320" s="28">
        <v>0</v>
      </c>
      <c r="Z320" s="33">
        <v>58262</v>
      </c>
      <c r="AA320">
        <v>230.36</v>
      </c>
      <c r="AB320" s="18">
        <v>0.6239098640377011</v>
      </c>
      <c r="AC320" s="19">
        <v>1.623909864037701</v>
      </c>
      <c r="AD320" s="19">
        <v>0.77777777777777779</v>
      </c>
      <c r="AE320" s="19">
        <v>0.77777777777777779</v>
      </c>
    </row>
    <row r="321" spans="1:31">
      <c r="A321">
        <v>325</v>
      </c>
      <c r="B321" t="s">
        <v>148</v>
      </c>
      <c r="C321" t="s">
        <v>149</v>
      </c>
      <c r="D321" t="s">
        <v>144</v>
      </c>
      <c r="E321" s="20">
        <v>46091</v>
      </c>
      <c r="F321" s="21" t="s">
        <v>150</v>
      </c>
      <c r="G321" s="25"/>
      <c r="H321" s="21" t="s">
        <v>74</v>
      </c>
      <c r="I321" s="22">
        <v>80000</v>
      </c>
      <c r="J321" s="21" t="s">
        <v>75</v>
      </c>
      <c r="K321" s="23">
        <v>46190.625</v>
      </c>
      <c r="L321" s="21">
        <v>748</v>
      </c>
      <c r="M321" s="22">
        <v>3954</v>
      </c>
      <c r="N321" s="24">
        <v>881.05</v>
      </c>
      <c r="O321" s="24">
        <v>1608.45</v>
      </c>
      <c r="P321" s="24">
        <v>2601.0100000000002</v>
      </c>
      <c r="Q321" s="21">
        <v>357</v>
      </c>
      <c r="R321" s="22">
        <v>15569</v>
      </c>
      <c r="S321" s="22">
        <v>46510</v>
      </c>
      <c r="T321" s="21">
        <v>2</v>
      </c>
      <c r="U321" s="21">
        <v>10</v>
      </c>
      <c r="V321" s="21">
        <v>32</v>
      </c>
      <c r="W321" s="23">
        <v>46275.583333333336</v>
      </c>
      <c r="X321" s="25"/>
      <c r="Y321" s="21">
        <v>0</v>
      </c>
      <c r="Z321" s="26">
        <v>46784</v>
      </c>
      <c r="AA321">
        <v>727.40000000000009</v>
      </c>
      <c r="AB321" s="18">
        <v>0.82560581124794297</v>
      </c>
      <c r="AC321" s="19">
        <v>1.825605811247943</v>
      </c>
      <c r="AD321" s="19">
        <v>0.4375</v>
      </c>
      <c r="AE321" s="19">
        <v>0.72916666666666674</v>
      </c>
    </row>
    <row r="322" spans="1:31">
      <c r="A322">
        <v>326</v>
      </c>
      <c r="B322" t="s">
        <v>151</v>
      </c>
      <c r="C322" t="s">
        <v>124</v>
      </c>
      <c r="D322" t="s">
        <v>152</v>
      </c>
      <c r="E322" s="27">
        <v>46091</v>
      </c>
      <c r="F322" s="28" t="s">
        <v>153</v>
      </c>
      <c r="G322" s="32"/>
      <c r="H322" s="28" t="s">
        <v>62</v>
      </c>
      <c r="I322" s="29">
        <v>71500</v>
      </c>
      <c r="J322" s="28" t="s">
        <v>63</v>
      </c>
      <c r="K322" s="30">
        <v>46190.5</v>
      </c>
      <c r="L322" s="28">
        <v>956</v>
      </c>
      <c r="M322" s="29">
        <v>4221</v>
      </c>
      <c r="N322" s="31">
        <v>562.12</v>
      </c>
      <c r="O322" s="31">
        <v>921.5</v>
      </c>
      <c r="P322" s="31">
        <v>1493.08</v>
      </c>
      <c r="Q322" s="28">
        <v>420</v>
      </c>
      <c r="R322" s="29">
        <v>22007</v>
      </c>
      <c r="S322" s="29">
        <v>62951</v>
      </c>
      <c r="T322" s="28">
        <v>5</v>
      </c>
      <c r="U322" s="28">
        <v>15</v>
      </c>
      <c r="V322" s="28">
        <v>37</v>
      </c>
      <c r="W322" s="30">
        <v>46275.583333333336</v>
      </c>
      <c r="X322" s="32"/>
      <c r="Y322" s="28">
        <v>0</v>
      </c>
      <c r="Z322" s="33">
        <v>63562</v>
      </c>
      <c r="AA322">
        <v>359.38</v>
      </c>
      <c r="AB322" s="18">
        <v>0.63932968049526795</v>
      </c>
      <c r="AC322" s="19">
        <v>1.6393296804952679</v>
      </c>
      <c r="AD322" s="19">
        <v>0.94594594594594594</v>
      </c>
      <c r="AE322" s="19">
        <v>0.94594594594594594</v>
      </c>
    </row>
    <row r="323" spans="1:31">
      <c r="A323">
        <v>327</v>
      </c>
      <c r="B323" t="s">
        <v>154</v>
      </c>
      <c r="C323" t="s">
        <v>155</v>
      </c>
      <c r="D323" t="s">
        <v>152</v>
      </c>
      <c r="E323" s="20">
        <v>46091</v>
      </c>
      <c r="F323" s="21" t="s">
        <v>156</v>
      </c>
      <c r="G323" s="25"/>
      <c r="H323" s="21" t="s">
        <v>56</v>
      </c>
      <c r="I323" s="22">
        <v>98500</v>
      </c>
      <c r="J323" s="21" t="s">
        <v>57</v>
      </c>
      <c r="K323" s="23">
        <v>46190.875</v>
      </c>
      <c r="L323" s="21">
        <v>454</v>
      </c>
      <c r="M323" s="22">
        <v>2356</v>
      </c>
      <c r="N323" s="24">
        <v>573.11</v>
      </c>
      <c r="O323" s="24">
        <v>801.91</v>
      </c>
      <c r="P323" s="24">
        <v>1080.77</v>
      </c>
      <c r="Q323" s="21">
        <v>337</v>
      </c>
      <c r="R323" s="22">
        <v>17792</v>
      </c>
      <c r="S323" s="22">
        <v>53016</v>
      </c>
      <c r="T323" s="21">
        <v>2</v>
      </c>
      <c r="U323" s="21">
        <v>22</v>
      </c>
      <c r="V323" s="21">
        <v>55</v>
      </c>
      <c r="W323" s="23">
        <v>46275.541666666664</v>
      </c>
      <c r="X323" s="25"/>
      <c r="Y323" s="21">
        <v>0</v>
      </c>
      <c r="Z323" s="26">
        <v>53527</v>
      </c>
      <c r="AA323">
        <v>228.79999999999995</v>
      </c>
      <c r="AB323" s="18">
        <v>0.39922527961473353</v>
      </c>
      <c r="AC323" s="19">
        <v>1.3992252796147335</v>
      </c>
      <c r="AD323" s="19">
        <v>0.25454545454545457</v>
      </c>
      <c r="AE323" s="19">
        <v>0.93333333333333335</v>
      </c>
    </row>
    <row r="324" spans="1:31">
      <c r="A324">
        <v>328</v>
      </c>
      <c r="B324" t="s">
        <v>124</v>
      </c>
      <c r="C324" t="s">
        <v>52</v>
      </c>
      <c r="D324" t="s">
        <v>53</v>
      </c>
      <c r="E324" s="27">
        <v>46091</v>
      </c>
      <c r="F324" s="28" t="s">
        <v>157</v>
      </c>
      <c r="G324" s="32"/>
      <c r="H324" s="28" t="s">
        <v>79</v>
      </c>
      <c r="I324" s="29">
        <v>71000</v>
      </c>
      <c r="J324" s="28" t="s">
        <v>80</v>
      </c>
      <c r="K324" s="30">
        <v>46191.5</v>
      </c>
      <c r="L324" s="28">
        <v>650</v>
      </c>
      <c r="M324" s="29">
        <v>3061</v>
      </c>
      <c r="N324" s="31">
        <v>246.56</v>
      </c>
      <c r="O324" s="31">
        <v>490.59</v>
      </c>
      <c r="P324" s="31">
        <v>809.55</v>
      </c>
      <c r="Q324" s="28">
        <v>316</v>
      </c>
      <c r="R324" s="29">
        <v>11646</v>
      </c>
      <c r="S324" s="29">
        <v>44848</v>
      </c>
      <c r="T324" s="28">
        <v>2</v>
      </c>
      <c r="U324" s="28">
        <v>7</v>
      </c>
      <c r="V324" s="28">
        <v>26</v>
      </c>
      <c r="W324" s="30">
        <v>46275.625</v>
      </c>
      <c r="X324" s="32"/>
      <c r="Y324" s="28">
        <v>0</v>
      </c>
      <c r="Z324" s="33">
        <v>45333</v>
      </c>
      <c r="AA324">
        <v>244.02999999999997</v>
      </c>
      <c r="AB324" s="18">
        <v>0.98973880597014918</v>
      </c>
      <c r="AC324" s="19">
        <v>1.9897388059701491</v>
      </c>
      <c r="AD324" s="19">
        <v>0.53846153846153844</v>
      </c>
      <c r="AE324" s="19">
        <v>0.62820512820512819</v>
      </c>
    </row>
    <row r="325" spans="1:31">
      <c r="A325">
        <v>329</v>
      </c>
      <c r="B325" t="s">
        <v>158</v>
      </c>
      <c r="C325" t="s">
        <v>124</v>
      </c>
      <c r="D325" t="s">
        <v>159</v>
      </c>
      <c r="E325" s="20">
        <v>46091</v>
      </c>
      <c r="F325" s="21" t="s">
        <v>160</v>
      </c>
      <c r="G325" s="25"/>
      <c r="H325" s="21" t="s">
        <v>113</v>
      </c>
      <c r="I325" s="22">
        <v>70240</v>
      </c>
      <c r="J325" s="21" t="s">
        <v>114</v>
      </c>
      <c r="K325" s="23">
        <v>46191.5</v>
      </c>
      <c r="L325" s="21">
        <v>734</v>
      </c>
      <c r="M325" s="22">
        <v>3397</v>
      </c>
      <c r="N325" s="24">
        <v>421.23</v>
      </c>
      <c r="O325" s="24">
        <v>717.35</v>
      </c>
      <c r="P325" s="24">
        <v>1214.23</v>
      </c>
      <c r="Q325" s="21">
        <v>316</v>
      </c>
      <c r="R325" s="22">
        <v>14283</v>
      </c>
      <c r="S325" s="22">
        <v>31578</v>
      </c>
      <c r="T325" s="21">
        <v>0</v>
      </c>
      <c r="U325" s="21">
        <v>2</v>
      </c>
      <c r="V325" s="21">
        <v>19</v>
      </c>
      <c r="W325" s="23">
        <v>46275.5</v>
      </c>
      <c r="X325" s="25"/>
      <c r="Y325" s="21">
        <v>0</v>
      </c>
      <c r="Z325" s="26">
        <v>31770</v>
      </c>
      <c r="AA325">
        <v>296.12</v>
      </c>
      <c r="AB325" s="18">
        <v>0.7029888659402227</v>
      </c>
      <c r="AC325" s="19">
        <v>1.7029888659402226</v>
      </c>
      <c r="AD325" s="19">
        <v>0</v>
      </c>
      <c r="AE325" s="19">
        <v>0.24561403508771928</v>
      </c>
    </row>
    <row r="326" spans="1:31">
      <c r="A326">
        <v>330</v>
      </c>
      <c r="B326" t="s">
        <v>161</v>
      </c>
      <c r="C326" t="s">
        <v>162</v>
      </c>
      <c r="D326" t="s">
        <v>159</v>
      </c>
      <c r="E326" s="27">
        <v>46091</v>
      </c>
      <c r="F326" s="28" t="s">
        <v>163</v>
      </c>
      <c r="G326" s="32"/>
      <c r="H326" s="28" t="s">
        <v>164</v>
      </c>
      <c r="I326" s="29">
        <v>54500</v>
      </c>
      <c r="J326" s="28" t="s">
        <v>165</v>
      </c>
      <c r="K326" s="30">
        <v>46191.625</v>
      </c>
      <c r="L326" s="28">
        <v>581</v>
      </c>
      <c r="M326" s="29">
        <v>2798</v>
      </c>
      <c r="N326" s="31">
        <v>396</v>
      </c>
      <c r="O326" s="31">
        <v>823.18</v>
      </c>
      <c r="P326" s="31">
        <v>1153.8599999999999</v>
      </c>
      <c r="Q326" s="28">
        <v>313</v>
      </c>
      <c r="R326" s="29">
        <v>17854</v>
      </c>
      <c r="S326" s="29">
        <v>53267</v>
      </c>
      <c r="T326" s="28">
        <v>4</v>
      </c>
      <c r="U326" s="28">
        <v>16</v>
      </c>
      <c r="V326" s="28">
        <v>30</v>
      </c>
      <c r="W326" s="30">
        <v>46275.375</v>
      </c>
      <c r="X326" s="32"/>
      <c r="Y326" s="28">
        <v>0</v>
      </c>
      <c r="Z326" s="33">
        <v>53787</v>
      </c>
      <c r="AA326">
        <v>427.17999999999995</v>
      </c>
      <c r="AB326" s="18">
        <v>1.0787373737373736</v>
      </c>
      <c r="AC326" s="19">
        <v>2.0787373737373738</v>
      </c>
      <c r="AD326" s="19">
        <v>0.93333333333333335</v>
      </c>
      <c r="AE326" s="19">
        <v>1.2444444444444445</v>
      </c>
    </row>
    <row r="327" spans="1:31">
      <c r="A327">
        <v>331</v>
      </c>
      <c r="B327" t="s">
        <v>51</v>
      </c>
      <c r="C327" t="s">
        <v>133</v>
      </c>
      <c r="D327" t="s">
        <v>53</v>
      </c>
      <c r="E327" s="20">
        <v>46091</v>
      </c>
      <c r="F327" s="21" t="s">
        <v>166</v>
      </c>
      <c r="G327" s="25"/>
      <c r="H327" s="21" t="s">
        <v>135</v>
      </c>
      <c r="I327" s="22">
        <v>49800</v>
      </c>
      <c r="J327" s="21" t="s">
        <v>136</v>
      </c>
      <c r="K327" s="23">
        <v>46191.833333333336</v>
      </c>
      <c r="L327" s="21">
        <v>431</v>
      </c>
      <c r="M327" s="22">
        <v>2967</v>
      </c>
      <c r="N327" s="24">
        <v>1364.88</v>
      </c>
      <c r="O327" s="24">
        <v>2486.38</v>
      </c>
      <c r="P327" s="24">
        <v>3870.16</v>
      </c>
      <c r="Q327" s="21">
        <v>388</v>
      </c>
      <c r="R327" s="22">
        <v>20076</v>
      </c>
      <c r="S327" s="22">
        <v>58325</v>
      </c>
      <c r="T327" s="21">
        <v>5</v>
      </c>
      <c r="U327" s="21">
        <v>10</v>
      </c>
      <c r="V327" s="21">
        <v>23</v>
      </c>
      <c r="W327" s="23">
        <v>46275.541666666664</v>
      </c>
      <c r="X327" s="25"/>
      <c r="Y327" s="21">
        <v>0</v>
      </c>
      <c r="Z327" s="26">
        <v>58898</v>
      </c>
      <c r="AA327">
        <v>1121.5</v>
      </c>
      <c r="AB327" s="18">
        <v>0.82168395756403489</v>
      </c>
      <c r="AC327" s="19">
        <v>1.8216839575640349</v>
      </c>
      <c r="AD327" s="19">
        <v>1.5217391304347827</v>
      </c>
      <c r="AE327" s="19">
        <v>1.0144927536231885</v>
      </c>
    </row>
    <row r="328" spans="1:31">
      <c r="A328">
        <v>332</v>
      </c>
      <c r="B328" t="s">
        <v>167</v>
      </c>
      <c r="C328" t="s">
        <v>168</v>
      </c>
      <c r="D328" t="s">
        <v>169</v>
      </c>
      <c r="E328" s="27">
        <v>46091</v>
      </c>
      <c r="F328" s="28" t="s">
        <v>170</v>
      </c>
      <c r="G328" s="32"/>
      <c r="H328" s="28" t="s">
        <v>171</v>
      </c>
      <c r="I328" s="29">
        <v>69176</v>
      </c>
      <c r="J328" s="28" t="s">
        <v>172</v>
      </c>
      <c r="K328" s="30">
        <v>46192.875</v>
      </c>
      <c r="L328" s="28">
        <v>787</v>
      </c>
      <c r="M328" s="29">
        <v>3761</v>
      </c>
      <c r="N328" s="31">
        <v>648</v>
      </c>
      <c r="O328" s="31">
        <v>1028.98</v>
      </c>
      <c r="P328" s="31">
        <v>1476.55</v>
      </c>
      <c r="Q328" s="28">
        <v>431</v>
      </c>
      <c r="R328" s="29">
        <v>15472</v>
      </c>
      <c r="S328" s="29">
        <v>54180</v>
      </c>
      <c r="T328" s="28">
        <v>3</v>
      </c>
      <c r="U328" s="28">
        <v>8</v>
      </c>
      <c r="V328" s="28">
        <v>31</v>
      </c>
      <c r="W328" s="30">
        <v>46275.625</v>
      </c>
      <c r="X328" s="32"/>
      <c r="Y328" s="28">
        <v>0</v>
      </c>
      <c r="Z328" s="33">
        <v>54791</v>
      </c>
      <c r="AA328">
        <v>380.98</v>
      </c>
      <c r="AB328" s="18">
        <v>0.58793209876543218</v>
      </c>
      <c r="AC328" s="19">
        <v>1.5879320987654322</v>
      </c>
      <c r="AD328" s="19">
        <v>0.67741935483870963</v>
      </c>
      <c r="AE328" s="19">
        <v>0.60215053763440851</v>
      </c>
    </row>
    <row r="329" spans="1:31">
      <c r="A329">
        <v>333</v>
      </c>
      <c r="B329" t="s">
        <v>174</v>
      </c>
      <c r="C329" t="s">
        <v>175</v>
      </c>
      <c r="D329" t="s">
        <v>169</v>
      </c>
      <c r="E329" s="20">
        <v>46091</v>
      </c>
      <c r="F329" s="21" t="s">
        <v>176</v>
      </c>
      <c r="G329" s="25"/>
      <c r="H329" s="21" t="s">
        <v>127</v>
      </c>
      <c r="I329" s="22">
        <v>68756</v>
      </c>
      <c r="J329" s="21" t="s">
        <v>128</v>
      </c>
      <c r="K329" s="23">
        <v>46192.75</v>
      </c>
      <c r="L329" s="21">
        <v>723</v>
      </c>
      <c r="M329" s="22">
        <v>3397</v>
      </c>
      <c r="N329" s="24">
        <v>568.66</v>
      </c>
      <c r="O329" s="24">
        <v>900</v>
      </c>
      <c r="P329" s="24">
        <v>1335.6</v>
      </c>
      <c r="Q329" s="21">
        <v>334</v>
      </c>
      <c r="R329" s="22">
        <v>13723</v>
      </c>
      <c r="S329" s="22">
        <v>41037</v>
      </c>
      <c r="T329" s="21">
        <v>5</v>
      </c>
      <c r="U329" s="21">
        <v>10</v>
      </c>
      <c r="V329" s="21">
        <v>16</v>
      </c>
      <c r="W329" s="23">
        <v>46275.625</v>
      </c>
      <c r="X329" s="25"/>
      <c r="Y329" s="21">
        <v>0</v>
      </c>
      <c r="Z329" s="26">
        <v>41292</v>
      </c>
      <c r="AA329">
        <v>331.34000000000003</v>
      </c>
      <c r="AB329" s="18">
        <v>0.58266802658882288</v>
      </c>
      <c r="AC329" s="19">
        <v>1.5826680265888229</v>
      </c>
      <c r="AD329" s="19">
        <v>2.1875</v>
      </c>
      <c r="AE329" s="19">
        <v>1.4583333333333335</v>
      </c>
    </row>
    <row r="330" spans="1:31">
      <c r="A330">
        <v>334</v>
      </c>
      <c r="B330" t="s">
        <v>124</v>
      </c>
      <c r="C330" t="s">
        <v>177</v>
      </c>
      <c r="D330" t="s">
        <v>178</v>
      </c>
      <c r="E330" s="27">
        <v>46091</v>
      </c>
      <c r="F330" s="28" t="s">
        <v>179</v>
      </c>
      <c r="G330" s="32"/>
      <c r="H330" s="28" t="s">
        <v>140</v>
      </c>
      <c r="I330" s="29">
        <v>75000</v>
      </c>
      <c r="J330" s="28" t="s">
        <v>141</v>
      </c>
      <c r="K330" s="30">
        <v>46192.875</v>
      </c>
      <c r="L330" s="28">
        <v>657</v>
      </c>
      <c r="M330" s="29">
        <v>3022</v>
      </c>
      <c r="N330" s="31">
        <v>241.96</v>
      </c>
      <c r="O330" s="31">
        <v>540</v>
      </c>
      <c r="P330" s="31">
        <v>926.1</v>
      </c>
      <c r="Q330" s="28">
        <v>321</v>
      </c>
      <c r="R330" s="29">
        <v>16891</v>
      </c>
      <c r="S330" s="29">
        <v>50762</v>
      </c>
      <c r="T330" s="28">
        <v>5</v>
      </c>
      <c r="U330" s="28">
        <v>11</v>
      </c>
      <c r="V330" s="28">
        <v>23</v>
      </c>
      <c r="W330" s="30">
        <v>46275.5</v>
      </c>
      <c r="X330" s="32"/>
      <c r="Y330" s="28">
        <v>0</v>
      </c>
      <c r="Z330" s="33">
        <v>51266</v>
      </c>
      <c r="AA330">
        <v>298.03999999999996</v>
      </c>
      <c r="AB330" s="18">
        <v>1.2317738469168455</v>
      </c>
      <c r="AC330" s="19">
        <v>2.2317738469168455</v>
      </c>
      <c r="AD330" s="19">
        <v>1.5217391304347827</v>
      </c>
      <c r="AE330" s="19">
        <v>1.1159420289855073</v>
      </c>
    </row>
    <row r="331" spans="1:31">
      <c r="A331">
        <v>335</v>
      </c>
      <c r="B331" t="s">
        <v>180</v>
      </c>
      <c r="C331" t="s">
        <v>181</v>
      </c>
      <c r="D331" t="s">
        <v>178</v>
      </c>
      <c r="E331" s="20">
        <v>46091</v>
      </c>
      <c r="F331" s="21" t="s">
        <v>182</v>
      </c>
      <c r="G331" s="25"/>
      <c r="H331" s="21" t="s">
        <v>118</v>
      </c>
      <c r="I331" s="22">
        <v>67000</v>
      </c>
      <c r="J331" s="21" t="s">
        <v>119</v>
      </c>
      <c r="K331" s="23">
        <v>46192.5</v>
      </c>
      <c r="L331" s="21">
        <v>679</v>
      </c>
      <c r="M331" s="22">
        <v>3487</v>
      </c>
      <c r="N331" s="24">
        <v>1116.25</v>
      </c>
      <c r="O331" s="24">
        <v>1818.56</v>
      </c>
      <c r="P331" s="24">
        <v>3078.25</v>
      </c>
      <c r="Q331" s="21">
        <v>450</v>
      </c>
      <c r="R331" s="22">
        <v>21438</v>
      </c>
      <c r="S331" s="22">
        <v>60656</v>
      </c>
      <c r="T331" s="21">
        <v>1</v>
      </c>
      <c r="U331" s="21">
        <v>11</v>
      </c>
      <c r="V331" s="21">
        <v>21</v>
      </c>
      <c r="W331" s="23">
        <v>46275.5</v>
      </c>
      <c r="X331" s="25"/>
      <c r="Y331" s="21">
        <v>0</v>
      </c>
      <c r="Z331" s="26">
        <v>61260</v>
      </c>
      <c r="AA331">
        <v>702.31</v>
      </c>
      <c r="AB331" s="18">
        <v>0.62916909294512868</v>
      </c>
      <c r="AC331" s="19">
        <v>1.6291690929451288</v>
      </c>
      <c r="AD331" s="19">
        <v>0.33333333333333331</v>
      </c>
      <c r="AE331" s="19">
        <v>1.2222222222222221</v>
      </c>
    </row>
    <row r="332" spans="1:31">
      <c r="A332">
        <v>336</v>
      </c>
      <c r="B332" t="s">
        <v>58</v>
      </c>
      <c r="C332" t="s">
        <v>183</v>
      </c>
      <c r="D332" t="s">
        <v>60</v>
      </c>
      <c r="E332" s="27">
        <v>46091</v>
      </c>
      <c r="F332" s="28" t="s">
        <v>184</v>
      </c>
      <c r="G332" s="32"/>
      <c r="H332" s="28" t="s">
        <v>146</v>
      </c>
      <c r="I332" s="29">
        <v>30000</v>
      </c>
      <c r="J332" s="28" t="s">
        <v>147</v>
      </c>
      <c r="K332" s="30">
        <v>46193.666666666664</v>
      </c>
      <c r="L332" s="28">
        <v>463</v>
      </c>
      <c r="M332" s="29">
        <v>2492</v>
      </c>
      <c r="N332" s="31">
        <v>609.83000000000004</v>
      </c>
      <c r="O332" s="31">
        <v>934.92</v>
      </c>
      <c r="P332" s="31">
        <v>1238.03</v>
      </c>
      <c r="Q332" s="28">
        <v>422</v>
      </c>
      <c r="R332" s="29">
        <v>21784</v>
      </c>
      <c r="S332" s="29">
        <v>63094</v>
      </c>
      <c r="T332" s="28">
        <v>2</v>
      </c>
      <c r="U332" s="28">
        <v>12</v>
      </c>
      <c r="V332" s="28">
        <v>36</v>
      </c>
      <c r="W332" s="30">
        <v>46275.5</v>
      </c>
      <c r="X332" s="32"/>
      <c r="Y332" s="28">
        <v>0</v>
      </c>
      <c r="Z332" s="33">
        <v>63702</v>
      </c>
      <c r="AA332">
        <v>325.08999999999992</v>
      </c>
      <c r="AB332" s="18">
        <v>0.53308299034157047</v>
      </c>
      <c r="AC332" s="19">
        <v>1.5330829903415704</v>
      </c>
      <c r="AD332" s="19">
        <v>0.38888888888888884</v>
      </c>
      <c r="AE332" s="19">
        <v>0.77777777777777768</v>
      </c>
    </row>
    <row r="333" spans="1:31">
      <c r="A333">
        <v>337</v>
      </c>
      <c r="B333" t="s">
        <v>185</v>
      </c>
      <c r="C333" t="s">
        <v>59</v>
      </c>
      <c r="D333" t="s">
        <v>60</v>
      </c>
      <c r="E333" s="20">
        <v>46091</v>
      </c>
      <c r="F333" s="21" t="s">
        <v>186</v>
      </c>
      <c r="G333" s="25"/>
      <c r="H333" s="21" t="s">
        <v>68</v>
      </c>
      <c r="I333" s="22">
        <v>76416</v>
      </c>
      <c r="J333" s="21" t="s">
        <v>69</v>
      </c>
      <c r="K333" s="23">
        <v>46193.791666666664</v>
      </c>
      <c r="L333" s="21">
        <v>686</v>
      </c>
      <c r="M333" s="22">
        <v>3049</v>
      </c>
      <c r="N333" s="24">
        <v>298.3</v>
      </c>
      <c r="O333" s="24">
        <v>526.33000000000004</v>
      </c>
      <c r="P333" s="24">
        <v>758.28</v>
      </c>
      <c r="Q333" s="21">
        <v>326</v>
      </c>
      <c r="R333" s="22">
        <v>17196</v>
      </c>
      <c r="S333" s="22">
        <v>51776</v>
      </c>
      <c r="T333" s="21">
        <v>4</v>
      </c>
      <c r="U333" s="21">
        <v>11</v>
      </c>
      <c r="V333" s="21">
        <v>26</v>
      </c>
      <c r="W333" s="23">
        <v>46275.583333333336</v>
      </c>
      <c r="X333" s="25"/>
      <c r="Y333" s="21">
        <v>0</v>
      </c>
      <c r="Z333" s="26">
        <v>52291</v>
      </c>
      <c r="AA333">
        <v>228.03000000000003</v>
      </c>
      <c r="AB333" s="18">
        <v>0.76443178008716062</v>
      </c>
      <c r="AC333" s="19">
        <v>1.7644317800871607</v>
      </c>
      <c r="AD333" s="19">
        <v>1.0769230769230769</v>
      </c>
      <c r="AE333" s="19">
        <v>0.98717948717948711</v>
      </c>
    </row>
    <row r="334" spans="1:31">
      <c r="A334">
        <v>338</v>
      </c>
      <c r="B334" t="s">
        <v>93</v>
      </c>
      <c r="C334" t="s">
        <v>97</v>
      </c>
      <c r="D334" t="s">
        <v>95</v>
      </c>
      <c r="E334" s="27">
        <v>46091</v>
      </c>
      <c r="F334" s="28" t="s">
        <v>187</v>
      </c>
      <c r="G334" s="32"/>
      <c r="H334" s="28" t="s">
        <v>62</v>
      </c>
      <c r="I334" s="29">
        <v>71500</v>
      </c>
      <c r="J334" s="28" t="s">
        <v>63</v>
      </c>
      <c r="K334" s="30">
        <v>46193.5</v>
      </c>
      <c r="L334" s="28">
        <v>649</v>
      </c>
      <c r="M334" s="29">
        <v>3024</v>
      </c>
      <c r="N334" s="31">
        <v>377.48</v>
      </c>
      <c r="O334" s="31">
        <v>708.77</v>
      </c>
      <c r="P334" s="31">
        <v>1057.5</v>
      </c>
      <c r="Q334" s="28">
        <v>319</v>
      </c>
      <c r="R334" s="29">
        <v>11757</v>
      </c>
      <c r="S334" s="29">
        <v>45212</v>
      </c>
      <c r="T334" s="28">
        <v>0</v>
      </c>
      <c r="U334" s="28">
        <v>4</v>
      </c>
      <c r="V334" s="28">
        <v>23</v>
      </c>
      <c r="W334" s="30">
        <v>46275.583333333336</v>
      </c>
      <c r="X334" s="32"/>
      <c r="Y334" s="28">
        <v>0</v>
      </c>
      <c r="Z334" s="33">
        <v>45724</v>
      </c>
      <c r="AA334">
        <v>331.28999999999996</v>
      </c>
      <c r="AB334" s="18">
        <v>0.87763590123980062</v>
      </c>
      <c r="AC334" s="19">
        <v>1.8776359012398007</v>
      </c>
      <c r="AD334" s="19">
        <v>0</v>
      </c>
      <c r="AE334" s="19">
        <v>0.40579710144927533</v>
      </c>
    </row>
    <row r="335" spans="1:31">
      <c r="A335">
        <v>339</v>
      </c>
      <c r="B335" t="s">
        <v>98</v>
      </c>
      <c r="C335" t="s">
        <v>94</v>
      </c>
      <c r="D335" t="s">
        <v>95</v>
      </c>
      <c r="E335" s="20">
        <v>46091</v>
      </c>
      <c r="F335" s="21" t="s">
        <v>188</v>
      </c>
      <c r="G335" s="25"/>
      <c r="H335" s="21" t="s">
        <v>100</v>
      </c>
      <c r="I335" s="22">
        <v>52237</v>
      </c>
      <c r="J335" s="21" t="s">
        <v>101</v>
      </c>
      <c r="K335" s="23">
        <v>46193.958333333336</v>
      </c>
      <c r="L335" s="21">
        <v>373</v>
      </c>
      <c r="M335" s="22">
        <v>1808</v>
      </c>
      <c r="N335" s="24">
        <v>225.31</v>
      </c>
      <c r="O335" s="24">
        <v>375</v>
      </c>
      <c r="P335" s="24">
        <v>583.16</v>
      </c>
      <c r="Q335" s="21">
        <v>368</v>
      </c>
      <c r="R335" s="22">
        <v>19076</v>
      </c>
      <c r="S335" s="22">
        <v>55457</v>
      </c>
      <c r="T335" s="21">
        <v>5</v>
      </c>
      <c r="U335" s="21">
        <v>11</v>
      </c>
      <c r="V335" s="21">
        <v>38</v>
      </c>
      <c r="W335" s="23">
        <v>46275.541666666664</v>
      </c>
      <c r="X335" s="25"/>
      <c r="Y335" s="21">
        <v>0</v>
      </c>
      <c r="Z335" s="26">
        <v>55997</v>
      </c>
      <c r="AA335">
        <v>149.69</v>
      </c>
      <c r="AB335" s="18">
        <v>0.66437352980338193</v>
      </c>
      <c r="AC335" s="19">
        <v>1.6643735298033819</v>
      </c>
      <c r="AD335" s="19">
        <v>0.92105263157894735</v>
      </c>
      <c r="AE335" s="19">
        <v>0.67543859649122806</v>
      </c>
    </row>
    <row r="336" spans="1:31">
      <c r="A336">
        <v>340</v>
      </c>
      <c r="B336" t="s">
        <v>103</v>
      </c>
      <c r="C336" t="s">
        <v>107</v>
      </c>
      <c r="D336" t="s">
        <v>104</v>
      </c>
      <c r="E336" s="27">
        <v>46091</v>
      </c>
      <c r="F336" s="28" t="s">
        <v>189</v>
      </c>
      <c r="G336" s="32"/>
      <c r="H336" s="28" t="s">
        <v>85</v>
      </c>
      <c r="I336" s="29">
        <v>76100</v>
      </c>
      <c r="J336" s="28" t="s">
        <v>86</v>
      </c>
      <c r="K336" s="30">
        <v>46194.75</v>
      </c>
      <c r="L336" s="28">
        <v>872</v>
      </c>
      <c r="M336" s="29">
        <v>3684</v>
      </c>
      <c r="N336" s="31">
        <v>301.76</v>
      </c>
      <c r="O336" s="31">
        <v>422.85</v>
      </c>
      <c r="P336" s="31">
        <v>674.01</v>
      </c>
      <c r="Q336" s="28">
        <v>394</v>
      </c>
      <c r="R336" s="29">
        <v>19917</v>
      </c>
      <c r="S336" s="29">
        <v>57999</v>
      </c>
      <c r="T336" s="28">
        <v>3</v>
      </c>
      <c r="U336" s="28">
        <v>11</v>
      </c>
      <c r="V336" s="28">
        <v>24</v>
      </c>
      <c r="W336" s="30">
        <v>46275.625</v>
      </c>
      <c r="X336" s="32"/>
      <c r="Y336" s="28">
        <v>0</v>
      </c>
      <c r="Z336" s="33">
        <v>58580</v>
      </c>
      <c r="AA336">
        <v>121.09000000000003</v>
      </c>
      <c r="AB336" s="18">
        <v>0.40127916224814436</v>
      </c>
      <c r="AC336" s="19">
        <v>1.4012791622481444</v>
      </c>
      <c r="AD336" s="19">
        <v>0.875</v>
      </c>
      <c r="AE336" s="19">
        <v>1.0694444444444444</v>
      </c>
    </row>
    <row r="337" spans="1:31">
      <c r="A337">
        <v>341</v>
      </c>
      <c r="B337" t="s">
        <v>106</v>
      </c>
      <c r="C337" t="s">
        <v>102</v>
      </c>
      <c r="D337" t="s">
        <v>104</v>
      </c>
      <c r="E337" s="20">
        <v>46091</v>
      </c>
      <c r="F337" s="21" t="s">
        <v>190</v>
      </c>
      <c r="G337" s="25"/>
      <c r="H337" s="21" t="s">
        <v>79</v>
      </c>
      <c r="I337" s="22">
        <v>71000</v>
      </c>
      <c r="J337" s="21" t="s">
        <v>80</v>
      </c>
      <c r="K337" s="23">
        <v>46194.5</v>
      </c>
      <c r="L337" s="21">
        <v>735</v>
      </c>
      <c r="M337" s="22">
        <v>3519</v>
      </c>
      <c r="N337" s="24">
        <v>384.26</v>
      </c>
      <c r="O337" s="24">
        <v>704.3</v>
      </c>
      <c r="P337" s="24">
        <v>1128.5999999999999</v>
      </c>
      <c r="Q337" s="21">
        <v>332</v>
      </c>
      <c r="R337" s="22">
        <v>17903</v>
      </c>
      <c r="S337" s="22">
        <v>53413</v>
      </c>
      <c r="T337" s="21">
        <v>4</v>
      </c>
      <c r="U337" s="21">
        <v>21</v>
      </c>
      <c r="V337" s="21">
        <v>54</v>
      </c>
      <c r="W337" s="23">
        <v>46275.625</v>
      </c>
      <c r="X337" s="25"/>
      <c r="Y337" s="21">
        <v>0</v>
      </c>
      <c r="Z337" s="26">
        <v>53945</v>
      </c>
      <c r="AA337">
        <v>320.03999999999996</v>
      </c>
      <c r="AB337" s="18">
        <v>0.83287357518346949</v>
      </c>
      <c r="AC337" s="19">
        <v>1.8328735751834695</v>
      </c>
      <c r="AD337" s="19">
        <v>0.51851851851851849</v>
      </c>
      <c r="AE337" s="19">
        <v>0.90740740740740744</v>
      </c>
    </row>
    <row r="338" spans="1:31">
      <c r="A338">
        <v>342</v>
      </c>
      <c r="B338" t="s">
        <v>115</v>
      </c>
      <c r="C338" t="s">
        <v>109</v>
      </c>
      <c r="D338" t="s">
        <v>111</v>
      </c>
      <c r="E338" s="27">
        <v>46091</v>
      </c>
      <c r="F338" s="28" t="s">
        <v>191</v>
      </c>
      <c r="G338" s="32"/>
      <c r="H338" s="28" t="s">
        <v>113</v>
      </c>
      <c r="I338" s="29">
        <v>70240</v>
      </c>
      <c r="J338" s="28" t="s">
        <v>114</v>
      </c>
      <c r="K338" s="30">
        <v>46194.5</v>
      </c>
      <c r="L338" s="29">
        <v>1069</v>
      </c>
      <c r="M338" s="29">
        <v>4373</v>
      </c>
      <c r="N338" s="31">
        <v>255.77</v>
      </c>
      <c r="O338" s="31">
        <v>583.13</v>
      </c>
      <c r="P338" s="31">
        <v>956.46</v>
      </c>
      <c r="Q338" s="28">
        <v>404</v>
      </c>
      <c r="R338" s="29">
        <v>19386</v>
      </c>
      <c r="S338" s="29">
        <v>56139</v>
      </c>
      <c r="T338" s="28">
        <v>3</v>
      </c>
      <c r="U338" s="28">
        <v>18</v>
      </c>
      <c r="V338" s="28">
        <v>36</v>
      </c>
      <c r="W338" s="30">
        <v>46275.5</v>
      </c>
      <c r="X338" s="32"/>
      <c r="Y338" s="28">
        <v>0</v>
      </c>
      <c r="Z338" s="33">
        <v>56656</v>
      </c>
      <c r="AA338">
        <v>327.36</v>
      </c>
      <c r="AB338" s="18">
        <v>1.2798999100754584</v>
      </c>
      <c r="AC338" s="19">
        <v>2.2798999100754584</v>
      </c>
      <c r="AD338" s="19">
        <v>0.58333333333333326</v>
      </c>
      <c r="AE338" s="19">
        <v>1.1666666666666665</v>
      </c>
    </row>
    <row r="339" spans="1:31">
      <c r="A339">
        <v>343</v>
      </c>
      <c r="B339" t="s">
        <v>110</v>
      </c>
      <c r="C339" t="s">
        <v>116</v>
      </c>
      <c r="D339" t="s">
        <v>111</v>
      </c>
      <c r="E339" s="20">
        <v>46091</v>
      </c>
      <c r="F339" s="21" t="s">
        <v>193</v>
      </c>
      <c r="G339" s="25"/>
      <c r="H339" s="21" t="s">
        <v>164</v>
      </c>
      <c r="I339" s="22">
        <v>54500</v>
      </c>
      <c r="J339" s="21" t="s">
        <v>165</v>
      </c>
      <c r="K339" s="23">
        <v>46194.75</v>
      </c>
      <c r="L339" s="21">
        <v>488</v>
      </c>
      <c r="M339" s="22">
        <v>2437</v>
      </c>
      <c r="N339" s="24">
        <v>285</v>
      </c>
      <c r="O339" s="24">
        <v>430.86</v>
      </c>
      <c r="P339" s="24">
        <v>815.65</v>
      </c>
      <c r="Q339" s="21">
        <v>371</v>
      </c>
      <c r="R339" s="22">
        <v>14999</v>
      </c>
      <c r="S339" s="22">
        <v>52241</v>
      </c>
      <c r="T339" s="21">
        <v>2</v>
      </c>
      <c r="U339" s="21">
        <v>6</v>
      </c>
      <c r="V339" s="21">
        <v>9</v>
      </c>
      <c r="W339" s="23">
        <v>46275.375</v>
      </c>
      <c r="X339" s="25"/>
      <c r="Y339" s="21">
        <v>0</v>
      </c>
      <c r="Z339" s="26">
        <v>52775</v>
      </c>
      <c r="AA339">
        <v>145.86000000000001</v>
      </c>
      <c r="AB339" s="18">
        <v>0.51178947368421057</v>
      </c>
      <c r="AC339" s="19">
        <v>1.5117894736842106</v>
      </c>
      <c r="AD339" s="19">
        <v>1.5555555555555554</v>
      </c>
      <c r="AE339" s="19">
        <v>1.5555555555555554</v>
      </c>
    </row>
    <row r="340" spans="1:31">
      <c r="A340">
        <v>344</v>
      </c>
      <c r="B340" t="s">
        <v>125</v>
      </c>
      <c r="C340" t="s">
        <v>121</v>
      </c>
      <c r="D340" t="s">
        <v>122</v>
      </c>
      <c r="E340" s="27">
        <v>46091</v>
      </c>
      <c r="F340" s="28" t="s">
        <v>194</v>
      </c>
      <c r="G340" s="32"/>
      <c r="H340" s="28" t="s">
        <v>91</v>
      </c>
      <c r="I340" s="29">
        <v>82500</v>
      </c>
      <c r="J340" s="28" t="s">
        <v>92</v>
      </c>
      <c r="K340" s="30">
        <v>46195.833333333336</v>
      </c>
      <c r="L340" s="28">
        <v>756</v>
      </c>
      <c r="M340" s="29">
        <v>3343</v>
      </c>
      <c r="N340" s="31">
        <v>371.24</v>
      </c>
      <c r="O340" s="31">
        <v>642.79</v>
      </c>
      <c r="P340" s="31">
        <v>981.16</v>
      </c>
      <c r="Q340" s="28">
        <v>416</v>
      </c>
      <c r="R340" s="29">
        <v>20505</v>
      </c>
      <c r="S340" s="29">
        <v>59158</v>
      </c>
      <c r="T340" s="28">
        <v>3</v>
      </c>
      <c r="U340" s="28">
        <v>11</v>
      </c>
      <c r="V340" s="28">
        <v>29</v>
      </c>
      <c r="W340" s="30">
        <v>46275.625</v>
      </c>
      <c r="X340" s="32"/>
      <c r="Y340" s="28">
        <v>0</v>
      </c>
      <c r="Z340" s="33">
        <v>59735</v>
      </c>
      <c r="AA340">
        <v>271.54999999999995</v>
      </c>
      <c r="AB340" s="18">
        <v>0.73146751427647871</v>
      </c>
      <c r="AC340" s="19">
        <v>1.7314675142764786</v>
      </c>
      <c r="AD340" s="19">
        <v>0.72413793103448265</v>
      </c>
      <c r="AE340" s="19">
        <v>0.88505747126436773</v>
      </c>
    </row>
    <row r="341" spans="1:31">
      <c r="A341">
        <v>345</v>
      </c>
      <c r="B341" t="s">
        <v>120</v>
      </c>
      <c r="C341" t="s">
        <v>124</v>
      </c>
      <c r="D341" t="s">
        <v>122</v>
      </c>
      <c r="E341" s="20">
        <v>46091</v>
      </c>
      <c r="F341" s="21" t="s">
        <v>195</v>
      </c>
      <c r="G341" s="25"/>
      <c r="H341" s="21" t="s">
        <v>171</v>
      </c>
      <c r="I341" s="22">
        <v>69176</v>
      </c>
      <c r="J341" s="21" t="s">
        <v>172</v>
      </c>
      <c r="K341" s="23">
        <v>46195.708333333336</v>
      </c>
      <c r="L341" s="21">
        <v>785</v>
      </c>
      <c r="M341" s="22">
        <v>3348</v>
      </c>
      <c r="N341" s="24">
        <v>438.26</v>
      </c>
      <c r="O341" s="24">
        <v>699.51</v>
      </c>
      <c r="P341" s="24">
        <v>994.74</v>
      </c>
      <c r="Q341" s="21">
        <v>397</v>
      </c>
      <c r="R341" s="22">
        <v>19850</v>
      </c>
      <c r="S341" s="22">
        <v>57382</v>
      </c>
      <c r="T341" s="21">
        <v>5</v>
      </c>
      <c r="U341" s="21">
        <v>20</v>
      </c>
      <c r="V341" s="21">
        <v>57</v>
      </c>
      <c r="W341" s="23">
        <v>46275.625</v>
      </c>
      <c r="X341" s="25"/>
      <c r="Y341" s="21">
        <v>0</v>
      </c>
      <c r="Z341" s="26">
        <v>57938</v>
      </c>
      <c r="AA341">
        <v>261.25</v>
      </c>
      <c r="AB341" s="18">
        <v>0.59610733354629675</v>
      </c>
      <c r="AC341" s="19">
        <v>1.5961073335462967</v>
      </c>
      <c r="AD341" s="19">
        <v>0.61403508771929827</v>
      </c>
      <c r="AE341" s="19">
        <v>0.81871345029239773</v>
      </c>
    </row>
    <row r="342" spans="1:31">
      <c r="A342">
        <v>346</v>
      </c>
      <c r="B342" t="s">
        <v>129</v>
      </c>
      <c r="C342" t="s">
        <v>137</v>
      </c>
      <c r="D342" t="s">
        <v>131</v>
      </c>
      <c r="E342" s="27">
        <v>46091</v>
      </c>
      <c r="F342" s="28" t="s">
        <v>196</v>
      </c>
      <c r="G342" s="32"/>
      <c r="H342" s="28" t="s">
        <v>74</v>
      </c>
      <c r="I342" s="29">
        <v>80000</v>
      </c>
      <c r="J342" s="28" t="s">
        <v>75</v>
      </c>
      <c r="K342" s="30">
        <v>46195.5</v>
      </c>
      <c r="L342" s="28">
        <v>723</v>
      </c>
      <c r="M342" s="29">
        <v>3879</v>
      </c>
      <c r="N342" s="31">
        <v>989.39</v>
      </c>
      <c r="O342" s="31">
        <v>1733.96</v>
      </c>
      <c r="P342" s="31">
        <v>3202.31</v>
      </c>
      <c r="Q342" s="28">
        <v>434</v>
      </c>
      <c r="R342" s="29">
        <v>20990</v>
      </c>
      <c r="S342" s="29">
        <v>60128</v>
      </c>
      <c r="T342" s="28">
        <v>3</v>
      </c>
      <c r="U342" s="28">
        <v>11</v>
      </c>
      <c r="V342" s="28">
        <v>25</v>
      </c>
      <c r="W342" s="30">
        <v>46275.583333333336</v>
      </c>
      <c r="X342" s="32"/>
      <c r="Y342" s="28">
        <v>0</v>
      </c>
      <c r="Z342" s="33">
        <v>60702</v>
      </c>
      <c r="AA342">
        <v>744.57</v>
      </c>
      <c r="AB342" s="18">
        <v>0.75255460435217669</v>
      </c>
      <c r="AC342" s="19">
        <v>1.7525546043521767</v>
      </c>
      <c r="AD342" s="19">
        <v>0.84</v>
      </c>
      <c r="AE342" s="19">
        <v>1.0266666666666666</v>
      </c>
    </row>
    <row r="343" spans="1:31">
      <c r="A343">
        <v>347</v>
      </c>
      <c r="B343" t="s">
        <v>138</v>
      </c>
      <c r="C343" t="s">
        <v>130</v>
      </c>
      <c r="D343" t="s">
        <v>131</v>
      </c>
      <c r="E343" s="20">
        <v>46091</v>
      </c>
      <c r="F343" s="21" t="s">
        <v>197</v>
      </c>
      <c r="G343" s="25"/>
      <c r="H343" s="21" t="s">
        <v>140</v>
      </c>
      <c r="I343" s="22">
        <v>75000</v>
      </c>
      <c r="J343" s="21" t="s">
        <v>141</v>
      </c>
      <c r="K343" s="23">
        <v>46195.833333333336</v>
      </c>
      <c r="L343" s="21">
        <v>798</v>
      </c>
      <c r="M343" s="22">
        <v>3392</v>
      </c>
      <c r="N343" s="24">
        <v>180</v>
      </c>
      <c r="O343" s="24">
        <v>411.75</v>
      </c>
      <c r="P343" s="24">
        <v>683.8</v>
      </c>
      <c r="Q343" s="21">
        <v>375</v>
      </c>
      <c r="R343" s="22">
        <v>19274</v>
      </c>
      <c r="S343" s="22">
        <v>55615</v>
      </c>
      <c r="T343" s="21">
        <v>2</v>
      </c>
      <c r="U343" s="21">
        <v>8</v>
      </c>
      <c r="V343" s="21">
        <v>19</v>
      </c>
      <c r="W343" s="23">
        <v>46275.5</v>
      </c>
      <c r="X343" s="25"/>
      <c r="Y343" s="21">
        <v>0</v>
      </c>
      <c r="Z343" s="26">
        <v>56164</v>
      </c>
      <c r="AA343">
        <v>231.75</v>
      </c>
      <c r="AB343" s="18">
        <v>1.2875000000000001</v>
      </c>
      <c r="AC343" s="19">
        <v>2.2875000000000001</v>
      </c>
      <c r="AD343" s="19">
        <v>0.73684210526315785</v>
      </c>
      <c r="AE343" s="19">
        <v>0.98245614035087714</v>
      </c>
    </row>
    <row r="344" spans="1:31">
      <c r="A344">
        <v>348</v>
      </c>
      <c r="B344" t="s">
        <v>148</v>
      </c>
      <c r="C344" t="s">
        <v>142</v>
      </c>
      <c r="D344" t="s">
        <v>144</v>
      </c>
      <c r="E344" s="27">
        <v>46091</v>
      </c>
      <c r="F344" s="28" t="s">
        <v>198</v>
      </c>
      <c r="G344" s="32"/>
      <c r="H344" s="28" t="s">
        <v>127</v>
      </c>
      <c r="I344" s="29">
        <v>68756</v>
      </c>
      <c r="J344" s="28" t="s">
        <v>128</v>
      </c>
      <c r="K344" s="30">
        <v>46196.666666666664</v>
      </c>
      <c r="L344" s="28">
        <v>624</v>
      </c>
      <c r="M344" s="29">
        <v>2887</v>
      </c>
      <c r="N344" s="31">
        <v>585</v>
      </c>
      <c r="O344" s="31">
        <v>975.55</v>
      </c>
      <c r="P344" s="31">
        <v>1628.79</v>
      </c>
      <c r="Q344" s="28">
        <v>336</v>
      </c>
      <c r="R344" s="29">
        <v>17289</v>
      </c>
      <c r="S344" s="29">
        <v>50899</v>
      </c>
      <c r="T344" s="28">
        <v>4</v>
      </c>
      <c r="U344" s="28">
        <v>7</v>
      </c>
      <c r="V344" s="28">
        <v>29</v>
      </c>
      <c r="W344" s="30">
        <v>46275.625</v>
      </c>
      <c r="X344" s="32"/>
      <c r="Y344" s="28">
        <v>0</v>
      </c>
      <c r="Z344" s="33">
        <v>51414</v>
      </c>
      <c r="AA344">
        <v>390.54999999999995</v>
      </c>
      <c r="AB344" s="18">
        <v>0.66760683760683748</v>
      </c>
      <c r="AC344" s="19">
        <v>1.6676068376068376</v>
      </c>
      <c r="AD344" s="19">
        <v>0.96551724137931028</v>
      </c>
      <c r="AE344" s="19">
        <v>0.56321839080459768</v>
      </c>
    </row>
    <row r="345" spans="1:31">
      <c r="A345">
        <v>349</v>
      </c>
      <c r="B345" t="s">
        <v>143</v>
      </c>
      <c r="C345" t="s">
        <v>149</v>
      </c>
      <c r="D345" t="s">
        <v>144</v>
      </c>
      <c r="E345" s="20">
        <v>46091</v>
      </c>
      <c r="F345" s="21" t="s">
        <v>199</v>
      </c>
      <c r="G345" s="25"/>
      <c r="H345" s="21" t="s">
        <v>146</v>
      </c>
      <c r="I345" s="22">
        <v>30000</v>
      </c>
      <c r="J345" s="21" t="s">
        <v>147</v>
      </c>
      <c r="K345" s="23">
        <v>46196.791666666664</v>
      </c>
      <c r="L345" s="21">
        <v>561</v>
      </c>
      <c r="M345" s="22">
        <v>2466</v>
      </c>
      <c r="N345" s="24">
        <v>455</v>
      </c>
      <c r="O345" s="24">
        <v>608.4</v>
      </c>
      <c r="P345" s="24">
        <v>949.97</v>
      </c>
      <c r="Q345" s="21">
        <v>409</v>
      </c>
      <c r="R345" s="22">
        <v>21053</v>
      </c>
      <c r="S345" s="22">
        <v>61299</v>
      </c>
      <c r="T345" s="21">
        <v>4</v>
      </c>
      <c r="U345" s="21">
        <v>17</v>
      </c>
      <c r="V345" s="21">
        <v>45</v>
      </c>
      <c r="W345" s="23">
        <v>46275.5</v>
      </c>
      <c r="X345" s="25"/>
      <c r="Y345" s="21">
        <v>0</v>
      </c>
      <c r="Z345" s="26">
        <v>61876</v>
      </c>
      <c r="AA345">
        <v>153.39999999999998</v>
      </c>
      <c r="AB345" s="18">
        <v>0.33714285714285708</v>
      </c>
      <c r="AC345" s="19">
        <v>1.3371428571428572</v>
      </c>
      <c r="AD345" s="19">
        <v>0.62222222222222223</v>
      </c>
      <c r="AE345" s="19">
        <v>0.88148148148148153</v>
      </c>
    </row>
    <row r="346" spans="1:31">
      <c r="A346">
        <v>350</v>
      </c>
      <c r="B346" t="s">
        <v>151</v>
      </c>
      <c r="C346" t="s">
        <v>154</v>
      </c>
      <c r="D346" t="s">
        <v>152</v>
      </c>
      <c r="E346" s="27">
        <v>46091</v>
      </c>
      <c r="F346" s="28" t="s">
        <v>200</v>
      </c>
      <c r="G346" s="32"/>
      <c r="H346" s="28" t="s">
        <v>62</v>
      </c>
      <c r="I346" s="29">
        <v>71500</v>
      </c>
      <c r="J346" s="28" t="s">
        <v>63</v>
      </c>
      <c r="K346" s="30">
        <v>46196.5</v>
      </c>
      <c r="L346" s="28">
        <v>950</v>
      </c>
      <c r="M346" s="29">
        <v>4239</v>
      </c>
      <c r="N346" s="31">
        <v>552</v>
      </c>
      <c r="O346" s="31">
        <v>850</v>
      </c>
      <c r="P346" s="31">
        <v>1276</v>
      </c>
      <c r="Q346" s="28">
        <v>429</v>
      </c>
      <c r="R346" s="29">
        <v>15822</v>
      </c>
      <c r="S346" s="29">
        <v>55062</v>
      </c>
      <c r="T346" s="28">
        <v>4</v>
      </c>
      <c r="U346" s="28">
        <v>15</v>
      </c>
      <c r="V346" s="28">
        <v>35</v>
      </c>
      <c r="W346" s="30">
        <v>46275.583333333336</v>
      </c>
      <c r="X346" s="32"/>
      <c r="Y346" s="28">
        <v>0</v>
      </c>
      <c r="Z346" s="33">
        <v>55665</v>
      </c>
      <c r="AA346">
        <v>298</v>
      </c>
      <c r="AB346" s="18">
        <v>0.53985507246376807</v>
      </c>
      <c r="AC346" s="19">
        <v>1.5398550724637681</v>
      </c>
      <c r="AD346" s="19">
        <v>0.8</v>
      </c>
      <c r="AE346" s="19">
        <v>1</v>
      </c>
    </row>
    <row r="347" spans="1:31">
      <c r="A347">
        <v>351</v>
      </c>
      <c r="B347" t="s">
        <v>155</v>
      </c>
      <c r="C347" t="s">
        <v>124</v>
      </c>
      <c r="D347" t="s">
        <v>152</v>
      </c>
      <c r="E347" s="20">
        <v>46091</v>
      </c>
      <c r="F347" s="21" t="s">
        <v>201</v>
      </c>
      <c r="G347" s="25"/>
      <c r="H347" s="21" t="s">
        <v>135</v>
      </c>
      <c r="I347" s="22">
        <v>49800</v>
      </c>
      <c r="J347" s="21" t="s">
        <v>136</v>
      </c>
      <c r="K347" s="23">
        <v>46196.875</v>
      </c>
      <c r="L347" s="21">
        <v>390</v>
      </c>
      <c r="M347" s="22">
        <v>2040</v>
      </c>
      <c r="N347" s="24">
        <v>622.02</v>
      </c>
      <c r="O347" s="24">
        <v>900</v>
      </c>
      <c r="P347" s="24">
        <v>1336.87</v>
      </c>
      <c r="Q347" s="21">
        <v>375</v>
      </c>
      <c r="R347" s="22">
        <v>19892</v>
      </c>
      <c r="S347" s="22">
        <v>57815</v>
      </c>
      <c r="T347" s="21">
        <v>3</v>
      </c>
      <c r="U347" s="21">
        <v>5</v>
      </c>
      <c r="V347" s="21">
        <v>16</v>
      </c>
      <c r="W347" s="23">
        <v>46275.541666666664</v>
      </c>
      <c r="X347" s="25"/>
      <c r="Y347" s="21">
        <v>0</v>
      </c>
      <c r="Z347" s="26">
        <v>58361</v>
      </c>
      <c r="AA347">
        <v>277.98</v>
      </c>
      <c r="AB347" s="18">
        <v>0.44689881354297295</v>
      </c>
      <c r="AC347" s="19">
        <v>1.446898813542973</v>
      </c>
      <c r="AD347" s="19">
        <v>1.3125</v>
      </c>
      <c r="AE347" s="19">
        <v>0.72916666666666674</v>
      </c>
    </row>
    <row r="348" spans="1:31">
      <c r="A348">
        <v>352</v>
      </c>
      <c r="B348" t="s">
        <v>174</v>
      </c>
      <c r="C348" t="s">
        <v>167</v>
      </c>
      <c r="D348" t="s">
        <v>169</v>
      </c>
      <c r="E348" s="27">
        <v>46091</v>
      </c>
      <c r="F348" s="28" t="s">
        <v>202</v>
      </c>
      <c r="G348" s="32"/>
      <c r="H348" s="28" t="s">
        <v>85</v>
      </c>
      <c r="I348" s="29">
        <v>76100</v>
      </c>
      <c r="J348" s="28" t="s">
        <v>86</v>
      </c>
      <c r="K348" s="30">
        <v>46197.75</v>
      </c>
      <c r="L348" s="28">
        <v>809</v>
      </c>
      <c r="M348" s="29">
        <v>4271</v>
      </c>
      <c r="N348" s="31">
        <v>1096.3800000000001</v>
      </c>
      <c r="O348" s="31">
        <v>1848</v>
      </c>
      <c r="P348" s="31">
        <v>3285</v>
      </c>
      <c r="Q348" s="28">
        <v>380</v>
      </c>
      <c r="R348" s="29">
        <v>17639</v>
      </c>
      <c r="S348" s="29">
        <v>52156</v>
      </c>
      <c r="T348" s="28">
        <v>5</v>
      </c>
      <c r="U348" s="28">
        <v>16</v>
      </c>
      <c r="V348" s="28">
        <v>33</v>
      </c>
      <c r="W348" s="30">
        <v>46275.625</v>
      </c>
      <c r="X348" s="32"/>
      <c r="Y348" s="28">
        <v>0</v>
      </c>
      <c r="Z348" s="33">
        <v>52670</v>
      </c>
      <c r="AA348">
        <v>751.61999999999989</v>
      </c>
      <c r="AB348" s="18">
        <v>0.68554698188584229</v>
      </c>
      <c r="AC348" s="19">
        <v>1.6855469818858424</v>
      </c>
      <c r="AD348" s="19">
        <v>1.0606060606060606</v>
      </c>
      <c r="AE348" s="19">
        <v>1.1313131313131313</v>
      </c>
    </row>
    <row r="349" spans="1:31">
      <c r="A349">
        <v>353</v>
      </c>
      <c r="B349" t="s">
        <v>175</v>
      </c>
      <c r="C349" t="s">
        <v>168</v>
      </c>
      <c r="D349" t="s">
        <v>169</v>
      </c>
      <c r="E349" s="20">
        <v>46091</v>
      </c>
      <c r="F349" s="21" t="s">
        <v>204</v>
      </c>
      <c r="G349" s="25"/>
      <c r="H349" s="21" t="s">
        <v>79</v>
      </c>
      <c r="I349" s="22">
        <v>71000</v>
      </c>
      <c r="J349" s="21" t="s">
        <v>80</v>
      </c>
      <c r="K349" s="23">
        <v>46197.75</v>
      </c>
      <c r="L349" s="21">
        <v>915</v>
      </c>
      <c r="M349" s="22">
        <v>3910</v>
      </c>
      <c r="N349" s="24">
        <v>232.33</v>
      </c>
      <c r="O349" s="24">
        <v>479.83</v>
      </c>
      <c r="P349" s="24">
        <v>750</v>
      </c>
      <c r="Q349" s="21">
        <v>335</v>
      </c>
      <c r="R349" s="22">
        <v>17868</v>
      </c>
      <c r="S349" s="22">
        <v>53680</v>
      </c>
      <c r="T349" s="21">
        <v>4</v>
      </c>
      <c r="U349" s="21">
        <v>15</v>
      </c>
      <c r="V349" s="21">
        <v>33</v>
      </c>
      <c r="W349" s="23">
        <v>46275.625</v>
      </c>
      <c r="X349" s="25"/>
      <c r="Y349" s="21">
        <v>0</v>
      </c>
      <c r="Z349" s="26">
        <v>54215</v>
      </c>
      <c r="AA349">
        <v>247.49999999999997</v>
      </c>
      <c r="AB349" s="18">
        <v>1.0652950544484137</v>
      </c>
      <c r="AC349" s="19">
        <v>2.0652950544484137</v>
      </c>
      <c r="AD349" s="19">
        <v>0.84848484848484851</v>
      </c>
      <c r="AE349" s="19">
        <v>1.0606060606060606</v>
      </c>
    </row>
    <row r="350" spans="1:31">
      <c r="A350">
        <v>354</v>
      </c>
      <c r="B350" t="s">
        <v>158</v>
      </c>
      <c r="C350" t="s">
        <v>161</v>
      </c>
      <c r="D350" t="s">
        <v>159</v>
      </c>
      <c r="E350" s="27">
        <v>46091</v>
      </c>
      <c r="F350" s="28" t="s">
        <v>205</v>
      </c>
      <c r="G350" s="32"/>
      <c r="H350" s="28" t="s">
        <v>164</v>
      </c>
      <c r="I350" s="29">
        <v>54500</v>
      </c>
      <c r="J350" s="28" t="s">
        <v>165</v>
      </c>
      <c r="K350" s="30">
        <v>46197.5</v>
      </c>
      <c r="L350" s="28">
        <v>698</v>
      </c>
      <c r="M350" s="29">
        <v>3196</v>
      </c>
      <c r="N350" s="31">
        <v>346.5</v>
      </c>
      <c r="O350" s="31">
        <v>855</v>
      </c>
      <c r="P350" s="31">
        <v>1216.1500000000001</v>
      </c>
      <c r="Q350" s="28">
        <v>407</v>
      </c>
      <c r="R350" s="29">
        <v>20784</v>
      </c>
      <c r="S350" s="29">
        <v>60331</v>
      </c>
      <c r="T350" s="28">
        <v>3</v>
      </c>
      <c r="U350" s="28">
        <v>12</v>
      </c>
      <c r="V350" s="28">
        <v>24</v>
      </c>
      <c r="W350" s="30">
        <v>46275.375</v>
      </c>
      <c r="X350" s="32"/>
      <c r="Y350" s="28">
        <v>0</v>
      </c>
      <c r="Z350" s="33">
        <v>60889</v>
      </c>
      <c r="AA350">
        <v>508.5</v>
      </c>
      <c r="AB350" s="18">
        <v>1.4675324675324675</v>
      </c>
      <c r="AC350" s="19">
        <v>2.4675324675324677</v>
      </c>
      <c r="AD350" s="19">
        <v>0.875</v>
      </c>
      <c r="AE350" s="19">
        <v>1.1666666666666667</v>
      </c>
    </row>
    <row r="351" spans="1:31">
      <c r="A351">
        <v>355</v>
      </c>
      <c r="B351" t="s">
        <v>124</v>
      </c>
      <c r="C351" t="s">
        <v>162</v>
      </c>
      <c r="D351" t="s">
        <v>159</v>
      </c>
      <c r="E351" s="20">
        <v>46091</v>
      </c>
      <c r="F351" s="21" t="s">
        <v>206</v>
      </c>
      <c r="G351" s="25"/>
      <c r="H351" s="21" t="s">
        <v>118</v>
      </c>
      <c r="I351" s="22">
        <v>67000</v>
      </c>
      <c r="J351" s="21" t="s">
        <v>119</v>
      </c>
      <c r="K351" s="23">
        <v>46197.5</v>
      </c>
      <c r="L351" s="21">
        <v>588</v>
      </c>
      <c r="M351" s="22">
        <v>2753</v>
      </c>
      <c r="N351" s="24">
        <v>314.99</v>
      </c>
      <c r="O351" s="24">
        <v>592.69000000000005</v>
      </c>
      <c r="P351" s="24">
        <v>1205.19</v>
      </c>
      <c r="Q351" s="21">
        <v>325</v>
      </c>
      <c r="R351" s="22">
        <v>14779</v>
      </c>
      <c r="S351" s="22">
        <v>33907</v>
      </c>
      <c r="T351" s="21">
        <v>1</v>
      </c>
      <c r="U351" s="21">
        <v>7</v>
      </c>
      <c r="V351" s="21">
        <v>15</v>
      </c>
      <c r="W351" s="23">
        <v>46275.5</v>
      </c>
      <c r="X351" s="25"/>
      <c r="Y351" s="21">
        <v>0</v>
      </c>
      <c r="Z351" s="26">
        <v>34093</v>
      </c>
      <c r="AA351">
        <v>277.70000000000005</v>
      </c>
      <c r="AB351" s="18">
        <v>0.88161528937426592</v>
      </c>
      <c r="AC351" s="19">
        <v>1.8816152893742659</v>
      </c>
      <c r="AD351" s="19">
        <v>0.46666666666666667</v>
      </c>
      <c r="AE351" s="19">
        <v>1.088888888888889</v>
      </c>
    </row>
    <row r="352" spans="1:31">
      <c r="A352">
        <v>356</v>
      </c>
      <c r="B352" t="s">
        <v>124</v>
      </c>
      <c r="C352" t="s">
        <v>51</v>
      </c>
      <c r="D352" t="s">
        <v>53</v>
      </c>
      <c r="E352" s="27">
        <v>46091</v>
      </c>
      <c r="F352" s="28" t="s">
        <v>207</v>
      </c>
      <c r="G352" s="32"/>
      <c r="H352" s="28" t="s">
        <v>56</v>
      </c>
      <c r="I352" s="29">
        <v>98500</v>
      </c>
      <c r="J352" s="28" t="s">
        <v>57</v>
      </c>
      <c r="K352" s="30">
        <v>46197.833333333336</v>
      </c>
      <c r="L352" s="28">
        <v>391</v>
      </c>
      <c r="M352" s="29">
        <v>2420</v>
      </c>
      <c r="N352" s="31">
        <v>1320.12</v>
      </c>
      <c r="O352" s="31">
        <v>2156</v>
      </c>
      <c r="P352" s="31">
        <v>4500</v>
      </c>
      <c r="Q352" s="28">
        <v>332</v>
      </c>
      <c r="R352" s="29">
        <v>12635</v>
      </c>
      <c r="S352" s="29">
        <v>32048</v>
      </c>
      <c r="T352" s="28">
        <v>3</v>
      </c>
      <c r="U352" s="28">
        <v>4</v>
      </c>
      <c r="V352" s="28">
        <v>16</v>
      </c>
      <c r="W352" s="30">
        <v>46275.541666666664</v>
      </c>
      <c r="X352" s="32"/>
      <c r="Y352" s="28">
        <v>0</v>
      </c>
      <c r="Z352" s="33">
        <v>32322</v>
      </c>
      <c r="AA352">
        <v>835.88000000000011</v>
      </c>
      <c r="AB352" s="18">
        <v>0.63318486198224422</v>
      </c>
      <c r="AC352" s="19">
        <v>1.6331848619822442</v>
      </c>
      <c r="AD352" s="19">
        <v>1.3125</v>
      </c>
      <c r="AE352" s="19">
        <v>0.58333333333333337</v>
      </c>
    </row>
    <row r="353" spans="1:31">
      <c r="A353">
        <v>357</v>
      </c>
      <c r="B353" t="s">
        <v>52</v>
      </c>
      <c r="C353" t="s">
        <v>133</v>
      </c>
      <c r="D353" t="s">
        <v>53</v>
      </c>
      <c r="E353" s="20">
        <v>46091</v>
      </c>
      <c r="F353" s="21" t="s">
        <v>208</v>
      </c>
      <c r="G353" s="25"/>
      <c r="H353" s="21" t="s">
        <v>100</v>
      </c>
      <c r="I353" s="22">
        <v>52237</v>
      </c>
      <c r="J353" s="21" t="s">
        <v>101</v>
      </c>
      <c r="K353" s="23">
        <v>46197.833333333336</v>
      </c>
      <c r="L353" s="21">
        <v>353</v>
      </c>
      <c r="M353" s="22">
        <v>1781</v>
      </c>
      <c r="N353" s="24">
        <v>180.24</v>
      </c>
      <c r="O353" s="24">
        <v>323.83999999999997</v>
      </c>
      <c r="P353" s="24">
        <v>576</v>
      </c>
      <c r="Q353" s="21">
        <v>381</v>
      </c>
      <c r="R353" s="22">
        <v>14395</v>
      </c>
      <c r="S353" s="22">
        <v>35256</v>
      </c>
      <c r="T353" s="21">
        <v>1</v>
      </c>
      <c r="U353" s="21">
        <v>5</v>
      </c>
      <c r="V353" s="21">
        <v>9</v>
      </c>
      <c r="W353" s="23">
        <v>46275.541666666664</v>
      </c>
      <c r="X353" s="25"/>
      <c r="Y353" s="21">
        <v>0</v>
      </c>
      <c r="Z353" s="26">
        <v>35525</v>
      </c>
      <c r="AA353">
        <v>143.59999999999997</v>
      </c>
      <c r="AB353" s="18">
        <v>0.79671549045716794</v>
      </c>
      <c r="AC353" s="19">
        <v>1.7967154904571681</v>
      </c>
      <c r="AD353" s="19">
        <v>0.77777777777777768</v>
      </c>
      <c r="AE353" s="19">
        <v>1.2962962962962963</v>
      </c>
    </row>
    <row r="354" spans="1:31">
      <c r="A354">
        <v>358</v>
      </c>
      <c r="B354" t="s">
        <v>59</v>
      </c>
      <c r="C354" t="s">
        <v>183</v>
      </c>
      <c r="D354" t="s">
        <v>60</v>
      </c>
      <c r="E354" s="27">
        <v>46091</v>
      </c>
      <c r="F354" s="28" t="s">
        <v>209</v>
      </c>
      <c r="G354" s="32"/>
      <c r="H354" s="28" t="s">
        <v>171</v>
      </c>
      <c r="I354" s="29">
        <v>69176</v>
      </c>
      <c r="J354" s="28" t="s">
        <v>172</v>
      </c>
      <c r="K354" s="30">
        <v>46198.666666666664</v>
      </c>
      <c r="L354" s="28">
        <v>690</v>
      </c>
      <c r="M354" s="29">
        <v>3078</v>
      </c>
      <c r="N354" s="31">
        <v>237</v>
      </c>
      <c r="O354" s="31">
        <v>400</v>
      </c>
      <c r="P354" s="31">
        <v>799.14</v>
      </c>
      <c r="Q354" s="28">
        <v>392</v>
      </c>
      <c r="R354" s="29">
        <v>14615</v>
      </c>
      <c r="S354" s="29">
        <v>51592</v>
      </c>
      <c r="T354" s="28">
        <v>1</v>
      </c>
      <c r="U354" s="28">
        <v>7</v>
      </c>
      <c r="V354" s="28">
        <v>17</v>
      </c>
      <c r="W354" s="30">
        <v>46275.625</v>
      </c>
      <c r="X354" s="32"/>
      <c r="Y354" s="28">
        <v>0</v>
      </c>
      <c r="Z354" s="33">
        <v>52151</v>
      </c>
      <c r="AA354">
        <v>163</v>
      </c>
      <c r="AB354" s="18">
        <v>0.68776371308016881</v>
      </c>
      <c r="AC354" s="19">
        <v>1.6877637130801688</v>
      </c>
      <c r="AD354" s="19">
        <v>0.41176470588235298</v>
      </c>
      <c r="AE354" s="19">
        <v>0.96078431372549034</v>
      </c>
    </row>
    <row r="355" spans="1:31">
      <c r="A355">
        <v>359</v>
      </c>
      <c r="B355" t="s">
        <v>185</v>
      </c>
      <c r="C355" t="s">
        <v>58</v>
      </c>
      <c r="D355" t="s">
        <v>60</v>
      </c>
      <c r="E355" s="20">
        <v>46091</v>
      </c>
      <c r="F355" s="21" t="s">
        <v>210</v>
      </c>
      <c r="G355" s="25"/>
      <c r="H355" s="21" t="s">
        <v>91</v>
      </c>
      <c r="I355" s="22">
        <v>82500</v>
      </c>
      <c r="J355" s="21" t="s">
        <v>92</v>
      </c>
      <c r="K355" s="23">
        <v>46198.666666666664</v>
      </c>
      <c r="L355" s="21">
        <v>966</v>
      </c>
      <c r="M355" s="22">
        <v>4721</v>
      </c>
      <c r="N355" s="24">
        <v>800.4</v>
      </c>
      <c r="O355" s="24">
        <v>1334.47</v>
      </c>
      <c r="P355" s="24">
        <v>2389.5</v>
      </c>
      <c r="Q355" s="21">
        <v>468</v>
      </c>
      <c r="R355" s="22">
        <v>16512</v>
      </c>
      <c r="S355" s="22">
        <v>56982</v>
      </c>
      <c r="T355" s="21">
        <v>6</v>
      </c>
      <c r="U355" s="21">
        <v>22</v>
      </c>
      <c r="V355" s="21">
        <v>48</v>
      </c>
      <c r="W355" s="23">
        <v>46275.625</v>
      </c>
      <c r="X355" s="25"/>
      <c r="Y355" s="21">
        <v>0</v>
      </c>
      <c r="Z355" s="26">
        <v>57600</v>
      </c>
      <c r="AA355">
        <v>534.07000000000005</v>
      </c>
      <c r="AB355" s="18">
        <v>0.66725387306346839</v>
      </c>
      <c r="AC355" s="19">
        <v>1.6672538730634683</v>
      </c>
      <c r="AD355" s="19">
        <v>0.875</v>
      </c>
      <c r="AE355" s="19">
        <v>1.0694444444444444</v>
      </c>
    </row>
    <row r="356" spans="1:31">
      <c r="A356">
        <v>360</v>
      </c>
      <c r="B356" t="s">
        <v>94</v>
      </c>
      <c r="C356" t="s">
        <v>124</v>
      </c>
      <c r="D356" t="s">
        <v>95</v>
      </c>
      <c r="E356" s="27">
        <v>46091</v>
      </c>
      <c r="F356" s="28" t="s">
        <v>211</v>
      </c>
      <c r="G356" s="32"/>
      <c r="H356" s="28" t="s">
        <v>74</v>
      </c>
      <c r="I356" s="29">
        <v>80000</v>
      </c>
      <c r="J356" s="28" t="s">
        <v>75</v>
      </c>
      <c r="K356" s="30">
        <v>46198.75</v>
      </c>
      <c r="L356" s="28">
        <v>565</v>
      </c>
      <c r="M356" s="29">
        <v>2656</v>
      </c>
      <c r="N356" s="31">
        <v>449.8</v>
      </c>
      <c r="O356" s="31">
        <v>680</v>
      </c>
      <c r="P356" s="31">
        <v>1080</v>
      </c>
      <c r="Q356" s="28">
        <v>352</v>
      </c>
      <c r="R356" s="29">
        <v>17903</v>
      </c>
      <c r="S356" s="29">
        <v>53310</v>
      </c>
      <c r="T356" s="28">
        <v>4</v>
      </c>
      <c r="U356" s="28">
        <v>7</v>
      </c>
      <c r="V356" s="28">
        <v>16</v>
      </c>
      <c r="W356" s="30">
        <v>46275.583333333336</v>
      </c>
      <c r="X356" s="32"/>
      <c r="Y356" s="28">
        <v>0</v>
      </c>
      <c r="Z356" s="33">
        <v>53833</v>
      </c>
      <c r="AA356">
        <v>230.2</v>
      </c>
      <c r="AB356" s="18">
        <v>0.5117830146731881</v>
      </c>
      <c r="AC356" s="19">
        <v>1.5117830146731881</v>
      </c>
      <c r="AD356" s="19">
        <v>1.75</v>
      </c>
      <c r="AE356" s="19">
        <v>1.0208333333333335</v>
      </c>
    </row>
    <row r="357" spans="1:31">
      <c r="A357">
        <v>361</v>
      </c>
      <c r="B357" t="s">
        <v>98</v>
      </c>
      <c r="C357" t="s">
        <v>93</v>
      </c>
      <c r="D357" t="s">
        <v>95</v>
      </c>
      <c r="E357" s="20">
        <v>46091</v>
      </c>
      <c r="F357" s="21" t="s">
        <v>212</v>
      </c>
      <c r="G357" s="25"/>
      <c r="H357" s="21" t="s">
        <v>68</v>
      </c>
      <c r="I357" s="22">
        <v>76416</v>
      </c>
      <c r="J357" s="21" t="s">
        <v>69</v>
      </c>
      <c r="K357" s="23">
        <v>46198.75</v>
      </c>
      <c r="L357" s="21">
        <v>628</v>
      </c>
      <c r="M357" s="22">
        <v>2946</v>
      </c>
      <c r="N357" s="24">
        <v>333.27</v>
      </c>
      <c r="O357" s="24">
        <v>565.33000000000004</v>
      </c>
      <c r="P357" s="24">
        <v>1181.82</v>
      </c>
      <c r="Q357" s="21">
        <v>345</v>
      </c>
      <c r="R357" s="22">
        <v>17552</v>
      </c>
      <c r="S357" s="22">
        <v>52901</v>
      </c>
      <c r="T357" s="21">
        <v>1</v>
      </c>
      <c r="U357" s="21">
        <v>7</v>
      </c>
      <c r="V357" s="21">
        <v>19</v>
      </c>
      <c r="W357" s="23">
        <v>46275.583333333336</v>
      </c>
      <c r="X357" s="25"/>
      <c r="Y357" s="21">
        <v>0</v>
      </c>
      <c r="Z357" s="26">
        <v>53437</v>
      </c>
      <c r="AA357">
        <v>232.06000000000006</v>
      </c>
      <c r="AB357" s="18">
        <v>0.69631229933687422</v>
      </c>
      <c r="AC357" s="19">
        <v>1.6963122993368742</v>
      </c>
      <c r="AD357" s="19">
        <v>0.36842105263157893</v>
      </c>
      <c r="AE357" s="19">
        <v>0.85964912280701755</v>
      </c>
    </row>
    <row r="358" spans="1:31">
      <c r="A358">
        <v>362</v>
      </c>
      <c r="B358" t="s">
        <v>124</v>
      </c>
      <c r="C358" t="s">
        <v>180</v>
      </c>
      <c r="D358" t="s">
        <v>178</v>
      </c>
      <c r="E358" s="27">
        <v>46091</v>
      </c>
      <c r="F358" s="28" t="s">
        <v>213</v>
      </c>
      <c r="G358" s="32"/>
      <c r="H358" s="28" t="s">
        <v>113</v>
      </c>
      <c r="I358" s="29">
        <v>70240</v>
      </c>
      <c r="J358" s="28" t="s">
        <v>114</v>
      </c>
      <c r="K358" s="30">
        <v>46198.791666666664</v>
      </c>
      <c r="L358" s="28">
        <v>666</v>
      </c>
      <c r="M358" s="29">
        <v>3100</v>
      </c>
      <c r="N358" s="31">
        <v>866.36</v>
      </c>
      <c r="O358" s="31">
        <v>1603.42</v>
      </c>
      <c r="P358" s="31">
        <v>2700</v>
      </c>
      <c r="Q358" s="28">
        <v>439</v>
      </c>
      <c r="R358" s="29">
        <v>15096</v>
      </c>
      <c r="S358" s="29">
        <v>52846</v>
      </c>
      <c r="T358" s="28">
        <v>3</v>
      </c>
      <c r="U358" s="28">
        <v>6</v>
      </c>
      <c r="V358" s="28">
        <v>18</v>
      </c>
      <c r="W358" s="30">
        <v>46275.5</v>
      </c>
      <c r="X358" s="32"/>
      <c r="Y358" s="28">
        <v>0</v>
      </c>
      <c r="Z358" s="33">
        <v>53391</v>
      </c>
      <c r="AA358">
        <v>737.06000000000006</v>
      </c>
      <c r="AB358" s="18">
        <v>0.85075488249688358</v>
      </c>
      <c r="AC358" s="19">
        <v>1.8507548824968836</v>
      </c>
      <c r="AD358" s="19">
        <v>1.1666666666666665</v>
      </c>
      <c r="AE358" s="19">
        <v>0.77777777777777768</v>
      </c>
    </row>
    <row r="359" spans="1:31">
      <c r="A359">
        <v>363</v>
      </c>
      <c r="B359" t="s">
        <v>177</v>
      </c>
      <c r="C359" t="s">
        <v>181</v>
      </c>
      <c r="D359" t="s">
        <v>178</v>
      </c>
      <c r="E359" s="20">
        <v>46091</v>
      </c>
      <c r="F359" s="21" t="s">
        <v>215</v>
      </c>
      <c r="G359" s="25"/>
      <c r="H359" s="21" t="s">
        <v>140</v>
      </c>
      <c r="I359" s="22">
        <v>75000</v>
      </c>
      <c r="J359" s="21" t="s">
        <v>141</v>
      </c>
      <c r="K359" s="23">
        <v>46198.791666666664</v>
      </c>
      <c r="L359" s="21">
        <v>683</v>
      </c>
      <c r="M359" s="22">
        <v>3095</v>
      </c>
      <c r="N359" s="24">
        <v>335</v>
      </c>
      <c r="O359" s="24">
        <v>607.49</v>
      </c>
      <c r="P359" s="24">
        <v>1169.0999999999999</v>
      </c>
      <c r="Q359" s="21">
        <v>334</v>
      </c>
      <c r="R359" s="22">
        <v>17663</v>
      </c>
      <c r="S359" s="22">
        <v>52824</v>
      </c>
      <c r="T359" s="21">
        <v>4</v>
      </c>
      <c r="U359" s="21">
        <v>8</v>
      </c>
      <c r="V359" s="21">
        <v>17</v>
      </c>
      <c r="W359" s="23">
        <v>46275.5</v>
      </c>
      <c r="X359" s="25"/>
      <c r="Y359" s="21">
        <v>0</v>
      </c>
      <c r="Z359" s="26">
        <v>53338</v>
      </c>
      <c r="AA359">
        <v>272.49</v>
      </c>
      <c r="AB359" s="18">
        <v>0.81340298507462694</v>
      </c>
      <c r="AC359" s="19">
        <v>1.8134029850746269</v>
      </c>
      <c r="AD359" s="19">
        <v>1.6470588235294119</v>
      </c>
      <c r="AE359" s="19">
        <v>1.0980392156862746</v>
      </c>
    </row>
    <row r="360" spans="1:31">
      <c r="A360">
        <v>364</v>
      </c>
      <c r="B360" t="s">
        <v>125</v>
      </c>
      <c r="C360" t="s">
        <v>120</v>
      </c>
      <c r="D360" t="s">
        <v>122</v>
      </c>
      <c r="E360" s="27">
        <v>46091</v>
      </c>
      <c r="F360" s="28" t="s">
        <v>216</v>
      </c>
      <c r="G360" s="32"/>
      <c r="H360" s="28" t="s">
        <v>127</v>
      </c>
      <c r="I360" s="29">
        <v>68756</v>
      </c>
      <c r="J360" s="28" t="s">
        <v>128</v>
      </c>
      <c r="K360" s="30">
        <v>46199.625</v>
      </c>
      <c r="L360" s="28">
        <v>871</v>
      </c>
      <c r="M360" s="29">
        <v>4348</v>
      </c>
      <c r="N360" s="31">
        <v>700.39</v>
      </c>
      <c r="O360" s="31">
        <v>1199.53</v>
      </c>
      <c r="P360" s="31">
        <v>2156</v>
      </c>
      <c r="Q360" s="28">
        <v>431</v>
      </c>
      <c r="R360" s="29">
        <v>20597</v>
      </c>
      <c r="S360" s="29">
        <v>59263</v>
      </c>
      <c r="T360" s="28">
        <v>3</v>
      </c>
      <c r="U360" s="28">
        <v>10</v>
      </c>
      <c r="V360" s="28">
        <v>34</v>
      </c>
      <c r="W360" s="30">
        <v>46275.625</v>
      </c>
      <c r="X360" s="32"/>
      <c r="Y360" s="28">
        <v>0</v>
      </c>
      <c r="Z360" s="33">
        <v>59816</v>
      </c>
      <c r="AA360">
        <v>499.14</v>
      </c>
      <c r="AB360" s="18">
        <v>0.71266008937877467</v>
      </c>
      <c r="AC360" s="19">
        <v>1.7126600893787747</v>
      </c>
      <c r="AD360" s="19">
        <v>0.61764705882352944</v>
      </c>
      <c r="AE360" s="19">
        <v>0.68627450980392168</v>
      </c>
    </row>
    <row r="361" spans="1:31">
      <c r="A361">
        <v>365</v>
      </c>
      <c r="B361" t="s">
        <v>121</v>
      </c>
      <c r="C361" t="s">
        <v>124</v>
      </c>
      <c r="D361" t="s">
        <v>122</v>
      </c>
      <c r="E361" s="20">
        <v>46091</v>
      </c>
      <c r="F361" s="21" t="s">
        <v>217</v>
      </c>
      <c r="G361" s="25"/>
      <c r="H361" s="21" t="s">
        <v>146</v>
      </c>
      <c r="I361" s="22">
        <v>30000</v>
      </c>
      <c r="J361" s="21" t="s">
        <v>147</v>
      </c>
      <c r="K361" s="23">
        <v>46199.625</v>
      </c>
      <c r="L361" s="21">
        <v>413</v>
      </c>
      <c r="M361" s="22">
        <v>1984</v>
      </c>
      <c r="N361" s="24">
        <v>394.07</v>
      </c>
      <c r="O361" s="24">
        <v>588</v>
      </c>
      <c r="P361" s="24">
        <v>805</v>
      </c>
      <c r="Q361" s="21">
        <v>393</v>
      </c>
      <c r="R361" s="22">
        <v>14560</v>
      </c>
      <c r="S361" s="22">
        <v>35697</v>
      </c>
      <c r="T361" s="21">
        <v>0</v>
      </c>
      <c r="U361" s="21">
        <v>2</v>
      </c>
      <c r="V361" s="21">
        <v>6</v>
      </c>
      <c r="W361" s="23">
        <v>46275.5</v>
      </c>
      <c r="X361" s="25"/>
      <c r="Y361" s="21">
        <v>0</v>
      </c>
      <c r="Z361" s="26">
        <v>35975</v>
      </c>
      <c r="AA361">
        <v>193.93</v>
      </c>
      <c r="AB361" s="18">
        <v>0.49212068921765173</v>
      </c>
      <c r="AC361" s="19">
        <v>1.4921206892176517</v>
      </c>
      <c r="AD361" s="19">
        <v>0</v>
      </c>
      <c r="AE361" s="19">
        <v>0.77777777777777779</v>
      </c>
    </row>
    <row r="362" spans="1:31">
      <c r="A362">
        <v>366</v>
      </c>
      <c r="B362" t="s">
        <v>116</v>
      </c>
      <c r="C362" t="s">
        <v>109</v>
      </c>
      <c r="D362" t="s">
        <v>111</v>
      </c>
      <c r="E362" s="27">
        <v>46091</v>
      </c>
      <c r="F362" s="28" t="s">
        <v>218</v>
      </c>
      <c r="G362" s="32"/>
      <c r="H362" s="28" t="s">
        <v>118</v>
      </c>
      <c r="I362" s="29">
        <v>67000</v>
      </c>
      <c r="J362" s="28" t="s">
        <v>119</v>
      </c>
      <c r="K362" s="30">
        <v>46199.833333333336</v>
      </c>
      <c r="L362" s="28">
        <v>756</v>
      </c>
      <c r="M362" s="29">
        <v>3493</v>
      </c>
      <c r="N362" s="31">
        <v>216</v>
      </c>
      <c r="O362" s="31">
        <v>462.9</v>
      </c>
      <c r="P362" s="31">
        <v>900</v>
      </c>
      <c r="Q362" s="28">
        <v>397</v>
      </c>
      <c r="R362" s="29">
        <v>19967</v>
      </c>
      <c r="S362" s="29">
        <v>57765</v>
      </c>
      <c r="T362" s="28">
        <v>2</v>
      </c>
      <c r="U362" s="28">
        <v>6</v>
      </c>
      <c r="V362" s="28">
        <v>14</v>
      </c>
      <c r="W362" s="30">
        <v>46275.5</v>
      </c>
      <c r="X362" s="32"/>
      <c r="Y362" s="28">
        <v>0</v>
      </c>
      <c r="Z362" s="33">
        <v>58295</v>
      </c>
      <c r="AA362">
        <v>246.89999999999998</v>
      </c>
      <c r="AB362" s="18">
        <v>1.1430555555555555</v>
      </c>
      <c r="AC362" s="19">
        <v>2.1430555555555553</v>
      </c>
      <c r="AD362" s="19">
        <v>1</v>
      </c>
      <c r="AE362" s="19">
        <v>1</v>
      </c>
    </row>
    <row r="363" spans="1:31">
      <c r="A363">
        <v>367</v>
      </c>
      <c r="B363" t="s">
        <v>110</v>
      </c>
      <c r="C363" t="s">
        <v>115</v>
      </c>
      <c r="D363" t="s">
        <v>111</v>
      </c>
      <c r="E363" s="20">
        <v>46091</v>
      </c>
      <c r="F363" s="21" t="s">
        <v>219</v>
      </c>
      <c r="G363" s="25"/>
      <c r="H363" s="21" t="s">
        <v>164</v>
      </c>
      <c r="I363" s="22">
        <v>54500</v>
      </c>
      <c r="J363" s="21" t="s">
        <v>165</v>
      </c>
      <c r="K363" s="23">
        <v>46199.833333333336</v>
      </c>
      <c r="L363" s="21">
        <v>550</v>
      </c>
      <c r="M363" s="22">
        <v>2666</v>
      </c>
      <c r="N363" s="24">
        <v>279.45999999999998</v>
      </c>
      <c r="O363" s="24">
        <v>516.87</v>
      </c>
      <c r="P363" s="24">
        <v>998.68</v>
      </c>
      <c r="Q363" s="21">
        <v>394</v>
      </c>
      <c r="R363" s="22">
        <v>14427</v>
      </c>
      <c r="S363" s="22">
        <v>35436</v>
      </c>
      <c r="T363" s="21">
        <v>4</v>
      </c>
      <c r="U363" s="21">
        <v>13</v>
      </c>
      <c r="V363" s="21">
        <v>25</v>
      </c>
      <c r="W363" s="23">
        <v>46275.375</v>
      </c>
      <c r="X363" s="25"/>
      <c r="Y363" s="21">
        <v>0</v>
      </c>
      <c r="Z363" s="26">
        <v>35739</v>
      </c>
      <c r="AA363">
        <v>237.41000000000003</v>
      </c>
      <c r="AB363" s="18">
        <v>0.84953123881772008</v>
      </c>
      <c r="AC363" s="19">
        <v>1.8495312388177201</v>
      </c>
      <c r="AD363" s="19">
        <v>1.1199999999999999</v>
      </c>
      <c r="AE363" s="19">
        <v>1.2133333333333332</v>
      </c>
    </row>
    <row r="364" spans="1:31">
      <c r="A364">
        <v>368</v>
      </c>
      <c r="B364" t="s">
        <v>107</v>
      </c>
      <c r="C364" t="s">
        <v>102</v>
      </c>
      <c r="D364" t="s">
        <v>104</v>
      </c>
      <c r="E364" s="27">
        <v>46091</v>
      </c>
      <c r="F364" s="28" t="s">
        <v>220</v>
      </c>
      <c r="G364" s="32"/>
      <c r="H364" s="28" t="s">
        <v>62</v>
      </c>
      <c r="I364" s="29">
        <v>71500</v>
      </c>
      <c r="J364" s="28" t="s">
        <v>63</v>
      </c>
      <c r="K364" s="30">
        <v>46199.791666666664</v>
      </c>
      <c r="L364" s="28">
        <v>881</v>
      </c>
      <c r="M364" s="29">
        <v>4037</v>
      </c>
      <c r="N364" s="31">
        <v>153.63</v>
      </c>
      <c r="O364" s="31">
        <v>355</v>
      </c>
      <c r="P364" s="31">
        <v>926.93</v>
      </c>
      <c r="Q364" s="28">
        <v>412</v>
      </c>
      <c r="R364" s="29">
        <v>19676</v>
      </c>
      <c r="S364" s="29">
        <v>57018</v>
      </c>
      <c r="T364" s="28">
        <v>3</v>
      </c>
      <c r="U364" s="28">
        <v>7</v>
      </c>
      <c r="V364" s="28">
        <v>17</v>
      </c>
      <c r="W364" s="30">
        <v>46275.583333333336</v>
      </c>
      <c r="X364" s="32"/>
      <c r="Y364" s="28">
        <v>0</v>
      </c>
      <c r="Z364" s="33">
        <v>57555</v>
      </c>
      <c r="AA364">
        <v>201.37</v>
      </c>
      <c r="AB364" s="18">
        <v>1.3107465989715552</v>
      </c>
      <c r="AC364" s="19">
        <v>2.310746598971555</v>
      </c>
      <c r="AD364" s="19">
        <v>1.2352941176470589</v>
      </c>
      <c r="AE364" s="19">
        <v>0.96078431372549034</v>
      </c>
    </row>
    <row r="365" spans="1:31">
      <c r="A365">
        <v>369</v>
      </c>
      <c r="B365" t="s">
        <v>103</v>
      </c>
      <c r="C365" t="s">
        <v>106</v>
      </c>
      <c r="D365" t="s">
        <v>104</v>
      </c>
      <c r="E365" s="20">
        <v>46091</v>
      </c>
      <c r="F365" s="21" t="s">
        <v>221</v>
      </c>
      <c r="G365" s="25"/>
      <c r="H365" s="21" t="s">
        <v>135</v>
      </c>
      <c r="I365" s="22">
        <v>49800</v>
      </c>
      <c r="J365" s="21" t="s">
        <v>136</v>
      </c>
      <c r="K365" s="23">
        <v>46199.791666666664</v>
      </c>
      <c r="L365" s="21">
        <v>512</v>
      </c>
      <c r="M365" s="22">
        <v>2695</v>
      </c>
      <c r="N365" s="24">
        <v>846.5</v>
      </c>
      <c r="O365" s="24">
        <v>1385.14</v>
      </c>
      <c r="P365" s="24">
        <v>2430.5</v>
      </c>
      <c r="Q365" s="21">
        <v>409</v>
      </c>
      <c r="R365" s="22">
        <v>15085</v>
      </c>
      <c r="S365" s="22">
        <v>37092</v>
      </c>
      <c r="T365" s="21">
        <v>1</v>
      </c>
      <c r="U365" s="21">
        <v>13</v>
      </c>
      <c r="V365" s="21">
        <v>25</v>
      </c>
      <c r="W365" s="23">
        <v>46275.541666666664</v>
      </c>
      <c r="X365" s="25"/>
      <c r="Y365" s="21">
        <v>0</v>
      </c>
      <c r="Z365" s="26">
        <v>37396</v>
      </c>
      <c r="AA365">
        <v>538.6400000000001</v>
      </c>
      <c r="AB365" s="18">
        <v>0.63631423508564688</v>
      </c>
      <c r="AC365" s="19">
        <v>1.636314235085647</v>
      </c>
      <c r="AD365" s="19">
        <v>0.27999999999999997</v>
      </c>
      <c r="AE365" s="19">
        <v>1.2133333333333332</v>
      </c>
    </row>
    <row r="366" spans="1:31">
      <c r="A366">
        <v>370</v>
      </c>
      <c r="B366" t="s">
        <v>143</v>
      </c>
      <c r="C366" t="s">
        <v>148</v>
      </c>
      <c r="D366" t="s">
        <v>144</v>
      </c>
      <c r="E366" s="27">
        <v>46091</v>
      </c>
      <c r="F366" s="28" t="s">
        <v>222</v>
      </c>
      <c r="G366" s="32"/>
      <c r="H366" s="28" t="s">
        <v>91</v>
      </c>
      <c r="I366" s="29">
        <v>82500</v>
      </c>
      <c r="J366" s="28" t="s">
        <v>92</v>
      </c>
      <c r="K366" s="30">
        <v>46200.708333333336</v>
      </c>
      <c r="L366" s="28">
        <v>947</v>
      </c>
      <c r="M366" s="29">
        <v>4725</v>
      </c>
      <c r="N366" s="31">
        <v>600</v>
      </c>
      <c r="O366" s="31">
        <v>1175.07</v>
      </c>
      <c r="P366" s="31">
        <v>1837</v>
      </c>
      <c r="Q366" s="28">
        <v>360</v>
      </c>
      <c r="R366" s="29">
        <v>15263</v>
      </c>
      <c r="S366" s="29">
        <v>49305</v>
      </c>
      <c r="T366" s="28">
        <v>5</v>
      </c>
      <c r="U366" s="28">
        <v>15</v>
      </c>
      <c r="V366" s="28">
        <v>42</v>
      </c>
      <c r="W366" s="30">
        <v>46275.625</v>
      </c>
      <c r="X366" s="32"/>
      <c r="Y366" s="28">
        <v>0</v>
      </c>
      <c r="Z366" s="33">
        <v>49778</v>
      </c>
      <c r="AA366">
        <v>575.06999999999994</v>
      </c>
      <c r="AB366" s="18">
        <v>0.95844999999999991</v>
      </c>
      <c r="AC366" s="19">
        <v>1.9584499999999998</v>
      </c>
      <c r="AD366" s="19">
        <v>0.83333333333333337</v>
      </c>
      <c r="AE366" s="19">
        <v>0.83333333333333337</v>
      </c>
    </row>
    <row r="367" spans="1:31">
      <c r="A367">
        <v>371</v>
      </c>
      <c r="B367" t="s">
        <v>149</v>
      </c>
      <c r="C367" t="s">
        <v>142</v>
      </c>
      <c r="D367" t="s">
        <v>144</v>
      </c>
      <c r="E367" s="20">
        <v>46091</v>
      </c>
      <c r="F367" s="21" t="s">
        <v>223</v>
      </c>
      <c r="G367" s="25"/>
      <c r="H367" s="21" t="s">
        <v>171</v>
      </c>
      <c r="I367" s="22">
        <v>69176</v>
      </c>
      <c r="J367" s="21" t="s">
        <v>172</v>
      </c>
      <c r="K367" s="23">
        <v>46200.708333333336</v>
      </c>
      <c r="L367" s="21">
        <v>737</v>
      </c>
      <c r="M367" s="22">
        <v>3395</v>
      </c>
      <c r="N367" s="24">
        <v>386.56</v>
      </c>
      <c r="O367" s="24">
        <v>694.64</v>
      </c>
      <c r="P367" s="24">
        <v>1200</v>
      </c>
      <c r="Q367" s="21">
        <v>410</v>
      </c>
      <c r="R367" s="22">
        <v>20371</v>
      </c>
      <c r="S367" s="22">
        <v>58488</v>
      </c>
      <c r="T367" s="21">
        <v>9</v>
      </c>
      <c r="U367" s="21">
        <v>19</v>
      </c>
      <c r="V367" s="21">
        <v>48</v>
      </c>
      <c r="W367" s="23">
        <v>46275.625</v>
      </c>
      <c r="X367" s="25"/>
      <c r="Y367" s="21">
        <v>0</v>
      </c>
      <c r="Z367" s="26">
        <v>59056</v>
      </c>
      <c r="AA367">
        <v>308.08</v>
      </c>
      <c r="AB367" s="18">
        <v>0.79697847682119205</v>
      </c>
      <c r="AC367" s="19">
        <v>1.7969784768211921</v>
      </c>
      <c r="AD367" s="19">
        <v>1.3125</v>
      </c>
      <c r="AE367" s="19">
        <v>0.92361111111111116</v>
      </c>
    </row>
    <row r="368" spans="1:31">
      <c r="A368">
        <v>372</v>
      </c>
      <c r="B368" t="s">
        <v>130</v>
      </c>
      <c r="C368" t="s">
        <v>137</v>
      </c>
      <c r="D368" t="s">
        <v>131</v>
      </c>
      <c r="E368" s="27">
        <v>46091</v>
      </c>
      <c r="F368" s="28" t="s">
        <v>224</v>
      </c>
      <c r="G368" s="32"/>
      <c r="H368" s="28" t="s">
        <v>68</v>
      </c>
      <c r="I368" s="29">
        <v>76416</v>
      </c>
      <c r="J368" s="28" t="s">
        <v>69</v>
      </c>
      <c r="K368" s="30">
        <v>46200.875</v>
      </c>
      <c r="L368" s="28">
        <v>617</v>
      </c>
      <c r="M368" s="29">
        <v>3002</v>
      </c>
      <c r="N368" s="31">
        <v>274.5</v>
      </c>
      <c r="O368" s="31">
        <v>538.02</v>
      </c>
      <c r="P368" s="31">
        <v>1465.97</v>
      </c>
      <c r="Q368" s="28">
        <v>323</v>
      </c>
      <c r="R368" s="29">
        <v>17490</v>
      </c>
      <c r="S368" s="29">
        <v>52264</v>
      </c>
      <c r="T368" s="28">
        <v>0</v>
      </c>
      <c r="U368" s="28">
        <v>5</v>
      </c>
      <c r="V368" s="28">
        <v>12</v>
      </c>
      <c r="W368" s="30">
        <v>46275.583333333336</v>
      </c>
      <c r="X368" s="32"/>
      <c r="Y368" s="28">
        <v>0</v>
      </c>
      <c r="Z368" s="33">
        <v>52774</v>
      </c>
      <c r="AA368">
        <v>263.52</v>
      </c>
      <c r="AB368" s="18">
        <v>0.96</v>
      </c>
      <c r="AC368" s="19">
        <v>1.96</v>
      </c>
      <c r="AD368" s="19">
        <v>0</v>
      </c>
      <c r="AE368" s="19">
        <v>0.97222222222222232</v>
      </c>
    </row>
    <row r="369" spans="1:31">
      <c r="A369">
        <v>373</v>
      </c>
      <c r="B369" t="s">
        <v>138</v>
      </c>
      <c r="C369" t="s">
        <v>129</v>
      </c>
      <c r="D369" t="s">
        <v>131</v>
      </c>
      <c r="E369" s="20">
        <v>46091</v>
      </c>
      <c r="F369" s="21" t="s">
        <v>226</v>
      </c>
      <c r="G369" s="25"/>
      <c r="H369" s="21" t="s">
        <v>74</v>
      </c>
      <c r="I369" s="22">
        <v>80000</v>
      </c>
      <c r="J369" s="21" t="s">
        <v>75</v>
      </c>
      <c r="K369" s="23">
        <v>46200.875</v>
      </c>
      <c r="L369" s="21">
        <v>713</v>
      </c>
      <c r="M369" s="22">
        <v>3221</v>
      </c>
      <c r="N369" s="24">
        <v>762.97</v>
      </c>
      <c r="O369" s="24">
        <v>1192.5</v>
      </c>
      <c r="P369" s="24">
        <v>1925.13</v>
      </c>
      <c r="Q369" s="21">
        <v>433</v>
      </c>
      <c r="R369" s="22">
        <v>15057</v>
      </c>
      <c r="S369" s="22">
        <v>53225</v>
      </c>
      <c r="T369" s="21">
        <v>0</v>
      </c>
      <c r="U369" s="21">
        <v>13</v>
      </c>
      <c r="V369" s="21">
        <v>28</v>
      </c>
      <c r="W369" s="23">
        <v>46275.583333333336</v>
      </c>
      <c r="X369" s="25"/>
      <c r="Y369" s="21">
        <v>0</v>
      </c>
      <c r="Z369" s="26">
        <v>53786</v>
      </c>
      <c r="AA369">
        <v>429.53</v>
      </c>
      <c r="AB369" s="18">
        <v>0.56297102114106712</v>
      </c>
      <c r="AC369" s="19">
        <v>1.562971021141067</v>
      </c>
      <c r="AD369" s="19">
        <v>0</v>
      </c>
      <c r="AE369" s="19">
        <v>1.0833333333333333</v>
      </c>
    </row>
    <row r="370" spans="1:31">
      <c r="A370">
        <v>374</v>
      </c>
      <c r="B370" t="s">
        <v>155</v>
      </c>
      <c r="C370" t="s">
        <v>151</v>
      </c>
      <c r="D370" t="s">
        <v>152</v>
      </c>
      <c r="E370" s="27">
        <v>46091</v>
      </c>
      <c r="F370" s="28" t="s">
        <v>227</v>
      </c>
      <c r="G370" s="32"/>
      <c r="H370" s="28" t="s">
        <v>85</v>
      </c>
      <c r="I370" s="29">
        <v>76100</v>
      </c>
      <c r="J370" s="28" t="s">
        <v>86</v>
      </c>
      <c r="K370" s="30">
        <v>46200.8125</v>
      </c>
      <c r="L370" s="29">
        <v>1020</v>
      </c>
      <c r="M370" s="29">
        <v>5796</v>
      </c>
      <c r="N370" s="31">
        <v>1553.31</v>
      </c>
      <c r="O370" s="31">
        <v>3060</v>
      </c>
      <c r="P370" s="31">
        <v>6230</v>
      </c>
      <c r="Q370" s="28">
        <v>495</v>
      </c>
      <c r="R370" s="29">
        <v>23824</v>
      </c>
      <c r="S370" s="29">
        <v>67620</v>
      </c>
      <c r="T370" s="28">
        <v>3</v>
      </c>
      <c r="U370" s="28">
        <v>17</v>
      </c>
      <c r="V370" s="28">
        <v>55</v>
      </c>
      <c r="W370" s="30">
        <v>46275.625</v>
      </c>
      <c r="X370" s="32"/>
      <c r="Y370" s="28">
        <v>0</v>
      </c>
      <c r="Z370" s="33">
        <v>68282</v>
      </c>
      <c r="AA370">
        <v>1506.69</v>
      </c>
      <c r="AB370" s="18">
        <v>0.96998667361956092</v>
      </c>
      <c r="AC370" s="19">
        <v>1.9699866736195608</v>
      </c>
      <c r="AD370" s="19">
        <v>0.38181818181818183</v>
      </c>
      <c r="AE370" s="19">
        <v>0.7212121212121213</v>
      </c>
    </row>
    <row r="371" spans="1:31">
      <c r="A371">
        <v>375</v>
      </c>
      <c r="B371" t="s">
        <v>124</v>
      </c>
      <c r="C371" t="s">
        <v>154</v>
      </c>
      <c r="D371" t="s">
        <v>152</v>
      </c>
      <c r="E371" s="20">
        <v>46091</v>
      </c>
      <c r="F371" s="21" t="s">
        <v>228</v>
      </c>
      <c r="G371" s="25"/>
      <c r="H371" s="21" t="s">
        <v>79</v>
      </c>
      <c r="I371" s="22">
        <v>71000</v>
      </c>
      <c r="J371" s="21" t="s">
        <v>80</v>
      </c>
      <c r="K371" s="23">
        <v>46200.8125</v>
      </c>
      <c r="L371" s="21">
        <v>740</v>
      </c>
      <c r="M371" s="22">
        <v>3381</v>
      </c>
      <c r="N371" s="24">
        <v>200</v>
      </c>
      <c r="O371" s="24">
        <v>439.43</v>
      </c>
      <c r="P371" s="24">
        <v>894.6</v>
      </c>
      <c r="Q371" s="21">
        <v>342</v>
      </c>
      <c r="R371" s="22">
        <v>17558</v>
      </c>
      <c r="S371" s="22">
        <v>52252</v>
      </c>
      <c r="T371" s="21">
        <v>2</v>
      </c>
      <c r="U371" s="21">
        <v>7</v>
      </c>
      <c r="V371" s="21">
        <v>17</v>
      </c>
      <c r="W371" s="23">
        <v>46275.625</v>
      </c>
      <c r="X371" s="25"/>
      <c r="Y371" s="21">
        <v>0</v>
      </c>
      <c r="Z371" s="26">
        <v>52757</v>
      </c>
      <c r="AA371">
        <v>239.43</v>
      </c>
      <c r="AB371" s="18">
        <v>1.1971499999999999</v>
      </c>
      <c r="AC371" s="19">
        <v>2.1971500000000002</v>
      </c>
      <c r="AD371" s="19">
        <v>0.82352941176470595</v>
      </c>
      <c r="AE371" s="19">
        <v>0.96078431372549034</v>
      </c>
    </row>
    <row r="372" spans="1:31">
      <c r="A372">
        <v>376</v>
      </c>
      <c r="B372" t="s">
        <v>229</v>
      </c>
      <c r="C372" t="s">
        <v>230</v>
      </c>
      <c r="D372" t="s">
        <v>231</v>
      </c>
      <c r="E372" s="27">
        <v>46091</v>
      </c>
      <c r="F372" s="28" t="s">
        <v>232</v>
      </c>
      <c r="G372" s="32"/>
      <c r="H372" s="28" t="s">
        <v>113</v>
      </c>
      <c r="I372" s="29">
        <v>70240</v>
      </c>
      <c r="J372" s="28" t="s">
        <v>114</v>
      </c>
      <c r="K372" s="30">
        <v>46201.5</v>
      </c>
      <c r="L372" s="28">
        <v>849</v>
      </c>
      <c r="M372" s="29">
        <v>3882</v>
      </c>
      <c r="N372" s="31">
        <v>619.24</v>
      </c>
      <c r="O372" s="31">
        <v>1039.57</v>
      </c>
      <c r="P372" s="31">
        <v>1743.2</v>
      </c>
      <c r="Q372" s="28">
        <v>322</v>
      </c>
      <c r="R372" s="29">
        <v>11166</v>
      </c>
      <c r="S372" s="29">
        <v>42735</v>
      </c>
      <c r="T372" s="28">
        <v>1</v>
      </c>
      <c r="U372" s="28">
        <v>7</v>
      </c>
      <c r="V372" s="28">
        <v>23</v>
      </c>
      <c r="W372" s="30">
        <v>46275.5</v>
      </c>
      <c r="X372" s="32"/>
      <c r="Y372" s="28">
        <v>0</v>
      </c>
      <c r="Z372" s="33">
        <v>43191</v>
      </c>
      <c r="AA372">
        <v>420.32999999999993</v>
      </c>
      <c r="AB372" s="18">
        <v>0.67878367030553566</v>
      </c>
      <c r="AC372" s="19">
        <v>1.6787836703055357</v>
      </c>
      <c r="AD372" s="19">
        <v>0.30434782608695654</v>
      </c>
      <c r="AE372" s="19">
        <v>0.71014492753623193</v>
      </c>
    </row>
    <row r="373" spans="1:31">
      <c r="A373">
        <v>377</v>
      </c>
      <c r="B373" t="s">
        <v>233</v>
      </c>
      <c r="C373" t="s">
        <v>234</v>
      </c>
      <c r="D373" t="s">
        <v>231</v>
      </c>
      <c r="E373" s="20">
        <v>46091</v>
      </c>
      <c r="F373" s="21" t="s">
        <v>235</v>
      </c>
      <c r="G373" s="25"/>
      <c r="H373" s="21" t="s">
        <v>127</v>
      </c>
      <c r="I373" s="22">
        <v>68756</v>
      </c>
      <c r="J373" s="21" t="s">
        <v>128</v>
      </c>
      <c r="K373" s="23">
        <v>46202.6875</v>
      </c>
      <c r="L373" s="21">
        <v>736</v>
      </c>
      <c r="M373" s="22">
        <v>3394</v>
      </c>
      <c r="N373" s="24">
        <v>555.78</v>
      </c>
      <c r="O373" s="24">
        <v>894.94</v>
      </c>
      <c r="P373" s="24">
        <v>1531.25</v>
      </c>
      <c r="Q373" s="21">
        <v>245</v>
      </c>
      <c r="R373" s="22">
        <v>9346</v>
      </c>
      <c r="S373" s="22">
        <v>22956</v>
      </c>
      <c r="T373" s="21">
        <v>0</v>
      </c>
      <c r="U373" s="21">
        <v>1</v>
      </c>
      <c r="V373" s="21">
        <v>14</v>
      </c>
      <c r="W373" s="23">
        <v>46275.625</v>
      </c>
      <c r="X373" s="25"/>
      <c r="Y373" s="21">
        <v>0</v>
      </c>
      <c r="Z373" s="26">
        <v>23119</v>
      </c>
      <c r="AA373">
        <v>339.16000000000008</v>
      </c>
      <c r="AB373" s="18">
        <v>0.61024146244917066</v>
      </c>
      <c r="AC373" s="19">
        <v>1.6102414624491708</v>
      </c>
      <c r="AD373" s="19">
        <v>0</v>
      </c>
      <c r="AE373" s="19">
        <v>0.16666666666666666</v>
      </c>
    </row>
    <row r="374" spans="1:31">
      <c r="A374">
        <v>378</v>
      </c>
      <c r="B374" t="s">
        <v>236</v>
      </c>
      <c r="C374" t="s">
        <v>237</v>
      </c>
      <c r="D374" t="s">
        <v>231</v>
      </c>
      <c r="E374" s="27">
        <v>46091</v>
      </c>
      <c r="F374" s="28" t="s">
        <v>238</v>
      </c>
      <c r="G374" s="32"/>
      <c r="H374" s="28" t="s">
        <v>100</v>
      </c>
      <c r="I374" s="29">
        <v>52237</v>
      </c>
      <c r="J374" s="28" t="s">
        <v>101</v>
      </c>
      <c r="K374" s="30">
        <v>46202.833333333336</v>
      </c>
      <c r="L374" s="28">
        <v>410</v>
      </c>
      <c r="M374" s="29">
        <v>2083</v>
      </c>
      <c r="N374" s="31">
        <v>485</v>
      </c>
      <c r="O374" s="31">
        <v>737.66</v>
      </c>
      <c r="P374" s="31">
        <v>1176</v>
      </c>
      <c r="Q374" s="28">
        <v>295</v>
      </c>
      <c r="R374" s="29">
        <v>10786</v>
      </c>
      <c r="S374" s="29">
        <v>26003</v>
      </c>
      <c r="T374" s="28">
        <v>1</v>
      </c>
      <c r="U374" s="28">
        <v>4</v>
      </c>
      <c r="V374" s="28">
        <v>15</v>
      </c>
      <c r="W374" s="30">
        <v>46275.541666666664</v>
      </c>
      <c r="X374" s="32"/>
      <c r="Y374" s="28">
        <v>0</v>
      </c>
      <c r="Z374" s="33">
        <v>26205</v>
      </c>
      <c r="AA374">
        <v>252.65999999999997</v>
      </c>
      <c r="AB374" s="18">
        <v>0.52094845360824737</v>
      </c>
      <c r="AC374" s="19">
        <v>1.5209484536082474</v>
      </c>
      <c r="AD374" s="19">
        <v>0.46666666666666667</v>
      </c>
      <c r="AE374" s="19">
        <v>0.62222222222222223</v>
      </c>
    </row>
    <row r="375" spans="1:31">
      <c r="A375">
        <v>379</v>
      </c>
      <c r="B375" t="s">
        <v>239</v>
      </c>
      <c r="C375" t="s">
        <v>240</v>
      </c>
      <c r="D375" t="s">
        <v>231</v>
      </c>
      <c r="E375" s="20">
        <v>46091</v>
      </c>
      <c r="F375" s="21" t="s">
        <v>241</v>
      </c>
      <c r="G375" s="25"/>
      <c r="H375" s="21" t="s">
        <v>62</v>
      </c>
      <c r="I375" s="22">
        <v>71500</v>
      </c>
      <c r="J375" s="21" t="s">
        <v>63</v>
      </c>
      <c r="K375" s="23">
        <v>46202.5</v>
      </c>
      <c r="L375" s="21">
        <v>801</v>
      </c>
      <c r="M375" s="22">
        <v>3724</v>
      </c>
      <c r="N375" s="24">
        <v>608.69000000000005</v>
      </c>
      <c r="O375" s="24">
        <v>976.39</v>
      </c>
      <c r="P375" s="24">
        <v>1710.21</v>
      </c>
      <c r="Q375" s="21">
        <v>329</v>
      </c>
      <c r="R375" s="22">
        <v>15830</v>
      </c>
      <c r="S375" s="22">
        <v>37503</v>
      </c>
      <c r="T375" s="21">
        <v>1</v>
      </c>
      <c r="U375" s="21">
        <v>7</v>
      </c>
      <c r="V375" s="21">
        <v>14</v>
      </c>
      <c r="W375" s="23">
        <v>46275.583333333336</v>
      </c>
      <c r="X375" s="25"/>
      <c r="Y375" s="21">
        <v>0</v>
      </c>
      <c r="Z375" s="26">
        <v>37960</v>
      </c>
      <c r="AA375">
        <v>367.69999999999993</v>
      </c>
      <c r="AB375" s="18">
        <v>0.60408418078167847</v>
      </c>
      <c r="AC375" s="19">
        <v>1.6040841807816786</v>
      </c>
      <c r="AD375" s="19">
        <v>0.5</v>
      </c>
      <c r="AE375" s="19">
        <v>1.1666666666666667</v>
      </c>
    </row>
    <row r="376" spans="1:31">
      <c r="A376">
        <v>380</v>
      </c>
      <c r="B376" t="s">
        <v>242</v>
      </c>
      <c r="C376" t="s">
        <v>243</v>
      </c>
      <c r="D376" t="s">
        <v>231</v>
      </c>
      <c r="E376" s="27">
        <v>46091</v>
      </c>
      <c r="F376" s="28" t="s">
        <v>244</v>
      </c>
      <c r="G376" s="32"/>
      <c r="H376" s="28" t="s">
        <v>91</v>
      </c>
      <c r="I376" s="29">
        <v>82500</v>
      </c>
      <c r="J376" s="28" t="s">
        <v>92</v>
      </c>
      <c r="K376" s="30">
        <v>46203.708333333336</v>
      </c>
      <c r="L376" s="28">
        <v>811</v>
      </c>
      <c r="M376" s="29">
        <v>3620</v>
      </c>
      <c r="N376" s="31">
        <v>639.20000000000005</v>
      </c>
      <c r="O376" s="31">
        <v>978.97</v>
      </c>
      <c r="P376" s="31">
        <v>1570</v>
      </c>
      <c r="Q376" s="28">
        <v>275</v>
      </c>
      <c r="R376" s="29">
        <v>9373</v>
      </c>
      <c r="S376" s="29">
        <v>23215</v>
      </c>
      <c r="T376" s="28">
        <v>0</v>
      </c>
      <c r="U376" s="28">
        <v>4</v>
      </c>
      <c r="V376" s="28">
        <v>18</v>
      </c>
      <c r="W376" s="30">
        <v>46275.625</v>
      </c>
      <c r="X376" s="32"/>
      <c r="Y376" s="28">
        <v>0</v>
      </c>
      <c r="Z376" s="33">
        <v>23391</v>
      </c>
      <c r="AA376">
        <v>339.77</v>
      </c>
      <c r="AB376" s="18">
        <v>0.53155506883604497</v>
      </c>
      <c r="AC376" s="19">
        <v>1.5315550688360451</v>
      </c>
      <c r="AD376" s="19">
        <v>0</v>
      </c>
      <c r="AE376" s="19">
        <v>0.51851851851851849</v>
      </c>
    </row>
    <row r="377" spans="1:31">
      <c r="A377">
        <v>381</v>
      </c>
      <c r="B377" t="s">
        <v>245</v>
      </c>
      <c r="C377" t="s">
        <v>246</v>
      </c>
      <c r="D377" t="s">
        <v>231</v>
      </c>
      <c r="E377" s="20">
        <v>46091</v>
      </c>
      <c r="F377" s="21" t="s">
        <v>247</v>
      </c>
      <c r="G377" s="25"/>
      <c r="H377" s="21" t="s">
        <v>74</v>
      </c>
      <c r="I377" s="22">
        <v>80000</v>
      </c>
      <c r="J377" s="21" t="s">
        <v>75</v>
      </c>
      <c r="K377" s="23">
        <v>46203.5</v>
      </c>
      <c r="L377" s="21">
        <v>817</v>
      </c>
      <c r="M377" s="22">
        <v>3731</v>
      </c>
      <c r="N377" s="24">
        <v>452.77</v>
      </c>
      <c r="O377" s="24">
        <v>840</v>
      </c>
      <c r="P377" s="24">
        <v>1452.53</v>
      </c>
      <c r="Q377" s="21">
        <v>307</v>
      </c>
      <c r="R377" s="22">
        <v>10701</v>
      </c>
      <c r="S377" s="22">
        <v>25821</v>
      </c>
      <c r="T377" s="21">
        <v>1</v>
      </c>
      <c r="U377" s="21">
        <v>8</v>
      </c>
      <c r="V377" s="21">
        <v>13</v>
      </c>
      <c r="W377" s="23">
        <v>46275.583333333336</v>
      </c>
      <c r="X377" s="25"/>
      <c r="Y377" s="21">
        <v>0</v>
      </c>
      <c r="Z377" s="26">
        <v>26015</v>
      </c>
      <c r="AA377">
        <v>387.23</v>
      </c>
      <c r="AB377" s="18">
        <v>0.85524659319301199</v>
      </c>
      <c r="AC377" s="19">
        <v>1.855246593193012</v>
      </c>
      <c r="AD377" s="19">
        <v>0.53846153846153844</v>
      </c>
      <c r="AE377" s="19">
        <v>1.4358974358974357</v>
      </c>
    </row>
    <row r="378" spans="1:31">
      <c r="A378">
        <v>382</v>
      </c>
      <c r="B378" t="s">
        <v>248</v>
      </c>
      <c r="C378" t="s">
        <v>249</v>
      </c>
      <c r="D378" t="s">
        <v>231</v>
      </c>
      <c r="E378" s="27">
        <v>46091</v>
      </c>
      <c r="F378" s="28" t="s">
        <v>250</v>
      </c>
      <c r="G378" s="32"/>
      <c r="H378" s="28" t="s">
        <v>56</v>
      </c>
      <c r="I378" s="29">
        <v>98500</v>
      </c>
      <c r="J378" s="28" t="s">
        <v>57</v>
      </c>
      <c r="K378" s="30">
        <v>46203.833333333336</v>
      </c>
      <c r="L378" s="28">
        <v>370</v>
      </c>
      <c r="M378" s="29">
        <v>2064</v>
      </c>
      <c r="N378" s="31">
        <v>672.1</v>
      </c>
      <c r="O378" s="31">
        <v>1042.08</v>
      </c>
      <c r="P378" s="31">
        <v>1547.73</v>
      </c>
      <c r="Q378" s="28">
        <v>264</v>
      </c>
      <c r="R378" s="29">
        <v>9375</v>
      </c>
      <c r="S378" s="29">
        <v>22605</v>
      </c>
      <c r="T378" s="28">
        <v>1</v>
      </c>
      <c r="U378" s="28">
        <v>7</v>
      </c>
      <c r="V378" s="28">
        <v>14</v>
      </c>
      <c r="W378" s="30">
        <v>46275.541666666664</v>
      </c>
      <c r="X378" s="32"/>
      <c r="Y378" s="28">
        <v>0</v>
      </c>
      <c r="Z378" s="33">
        <v>22784</v>
      </c>
      <c r="AA378">
        <v>369.9799999999999</v>
      </c>
      <c r="AB378" s="18">
        <v>0.5504835589941971</v>
      </c>
      <c r="AC378" s="19">
        <v>1.5504835589941972</v>
      </c>
      <c r="AD378" s="19">
        <v>0.5</v>
      </c>
      <c r="AE378" s="19">
        <v>1.1666666666666667</v>
      </c>
    </row>
    <row r="379" spans="1:31">
      <c r="A379">
        <v>383</v>
      </c>
      <c r="B379" t="s">
        <v>252</v>
      </c>
      <c r="C379" t="s">
        <v>253</v>
      </c>
      <c r="D379" t="s">
        <v>231</v>
      </c>
      <c r="E379" s="20">
        <v>46091</v>
      </c>
      <c r="F379" s="21" t="s">
        <v>254</v>
      </c>
      <c r="G379" s="25"/>
      <c r="H379" s="21" t="s">
        <v>79</v>
      </c>
      <c r="I379" s="22">
        <v>71000</v>
      </c>
      <c r="J379" s="21" t="s">
        <v>80</v>
      </c>
      <c r="K379" s="23">
        <v>46204.5</v>
      </c>
      <c r="L379" s="21">
        <v>789</v>
      </c>
      <c r="M379" s="22">
        <v>3634</v>
      </c>
      <c r="N379" s="24">
        <v>506.6</v>
      </c>
      <c r="O379" s="24">
        <v>890.89</v>
      </c>
      <c r="P379" s="24">
        <v>1623.59</v>
      </c>
      <c r="Q379" s="21">
        <v>272</v>
      </c>
      <c r="R379" s="22">
        <v>9380</v>
      </c>
      <c r="S379" s="22">
        <v>22793</v>
      </c>
      <c r="T379" s="21">
        <v>1</v>
      </c>
      <c r="U379" s="21">
        <v>3</v>
      </c>
      <c r="V379" s="21">
        <v>18</v>
      </c>
      <c r="W379" s="23">
        <v>46275.625</v>
      </c>
      <c r="X379" s="25"/>
      <c r="Y379" s="21">
        <v>0</v>
      </c>
      <c r="Z379" s="26">
        <v>22966</v>
      </c>
      <c r="AA379">
        <v>384.28999999999996</v>
      </c>
      <c r="AB379" s="18">
        <v>0.75856691669956566</v>
      </c>
      <c r="AC379" s="19">
        <v>1.7585669166995657</v>
      </c>
      <c r="AD379" s="19">
        <v>0.38888888888888884</v>
      </c>
      <c r="AE379" s="19">
        <v>0.38888888888888884</v>
      </c>
    </row>
    <row r="380" spans="1:31">
      <c r="A380">
        <v>384</v>
      </c>
      <c r="B380" t="s">
        <v>255</v>
      </c>
      <c r="C380" t="s">
        <v>256</v>
      </c>
      <c r="D380" t="s">
        <v>231</v>
      </c>
      <c r="E380" s="27">
        <v>46091</v>
      </c>
      <c r="F380" s="28" t="s">
        <v>257</v>
      </c>
      <c r="G380" s="32"/>
      <c r="H380" s="28" t="s">
        <v>140</v>
      </c>
      <c r="I380" s="29">
        <v>75000</v>
      </c>
      <c r="J380" s="28" t="s">
        <v>141</v>
      </c>
      <c r="K380" s="30">
        <v>46204.708333333336</v>
      </c>
      <c r="L380" s="28">
        <v>933</v>
      </c>
      <c r="M380" s="29">
        <v>4167</v>
      </c>
      <c r="N380" s="31">
        <v>625</v>
      </c>
      <c r="O380" s="31">
        <v>1035</v>
      </c>
      <c r="P380" s="31">
        <v>1800</v>
      </c>
      <c r="Q380" s="28">
        <v>256</v>
      </c>
      <c r="R380" s="29">
        <v>9568</v>
      </c>
      <c r="S380" s="29">
        <v>23178</v>
      </c>
      <c r="T380" s="28">
        <v>1</v>
      </c>
      <c r="U380" s="28">
        <v>10</v>
      </c>
      <c r="V380" s="28">
        <v>19</v>
      </c>
      <c r="W380" s="30">
        <v>46275.5</v>
      </c>
      <c r="X380" s="32"/>
      <c r="Y380" s="28">
        <v>0</v>
      </c>
      <c r="Z380" s="33">
        <v>23364</v>
      </c>
      <c r="AA380">
        <v>410</v>
      </c>
      <c r="AB380" s="18">
        <v>0.65600000000000003</v>
      </c>
      <c r="AC380" s="19">
        <v>1.6559999999999999</v>
      </c>
      <c r="AD380" s="19">
        <v>0.36842105263157893</v>
      </c>
      <c r="AE380" s="19">
        <v>1.2280701754385965</v>
      </c>
    </row>
    <row r="381" spans="1:31">
      <c r="A381">
        <v>385</v>
      </c>
      <c r="B381" t="s">
        <v>258</v>
      </c>
      <c r="C381" t="s">
        <v>259</v>
      </c>
      <c r="D381" t="s">
        <v>231</v>
      </c>
      <c r="E381" s="20">
        <v>46091</v>
      </c>
      <c r="F381" s="21" t="s">
        <v>260</v>
      </c>
      <c r="G381" s="25"/>
      <c r="H381" s="21" t="s">
        <v>118</v>
      </c>
      <c r="I381" s="22">
        <v>67000</v>
      </c>
      <c r="J381" s="21" t="s">
        <v>119</v>
      </c>
      <c r="K381" s="23">
        <v>46204.541666666664</v>
      </c>
      <c r="L381" s="21">
        <v>764</v>
      </c>
      <c r="M381" s="22">
        <v>3570</v>
      </c>
      <c r="N381" s="24">
        <v>408.74</v>
      </c>
      <c r="O381" s="24">
        <v>803.12</v>
      </c>
      <c r="P381" s="24">
        <v>1437.72</v>
      </c>
      <c r="Q381" s="21">
        <v>257</v>
      </c>
      <c r="R381" s="22">
        <v>8962</v>
      </c>
      <c r="S381" s="22">
        <v>22189</v>
      </c>
      <c r="T381" s="21">
        <v>0</v>
      </c>
      <c r="U381" s="21">
        <v>2</v>
      </c>
      <c r="V381" s="21">
        <v>9</v>
      </c>
      <c r="W381" s="23">
        <v>46275.5</v>
      </c>
      <c r="X381" s="25"/>
      <c r="Y381" s="21">
        <v>0</v>
      </c>
      <c r="Z381" s="26">
        <v>22363</v>
      </c>
      <c r="AA381">
        <v>394.38</v>
      </c>
      <c r="AB381" s="18">
        <v>0.96486764202182318</v>
      </c>
      <c r="AC381" s="19">
        <v>1.9648676420218232</v>
      </c>
      <c r="AD381" s="19">
        <v>0</v>
      </c>
      <c r="AE381" s="19">
        <v>0.51851851851851849</v>
      </c>
    </row>
    <row r="382" spans="1:31">
      <c r="A382">
        <v>386</v>
      </c>
      <c r="B382" t="s">
        <v>261</v>
      </c>
      <c r="C382" t="s">
        <v>262</v>
      </c>
      <c r="D382" t="s">
        <v>231</v>
      </c>
      <c r="E382" s="27">
        <v>46091</v>
      </c>
      <c r="F382" s="28" t="s">
        <v>263</v>
      </c>
      <c r="G382" s="32"/>
      <c r="H382" s="28" t="s">
        <v>146</v>
      </c>
      <c r="I382" s="29">
        <v>30000</v>
      </c>
      <c r="J382" s="28" t="s">
        <v>147</v>
      </c>
      <c r="K382" s="30">
        <v>46205.791666666664</v>
      </c>
      <c r="L382" s="28">
        <v>421</v>
      </c>
      <c r="M382" s="29">
        <v>2091</v>
      </c>
      <c r="N382" s="31">
        <v>972.61</v>
      </c>
      <c r="O382" s="31">
        <v>1427.05</v>
      </c>
      <c r="P382" s="31">
        <v>2389.5</v>
      </c>
      <c r="Q382" s="28">
        <v>316</v>
      </c>
      <c r="R382" s="29">
        <v>11690</v>
      </c>
      <c r="S382" s="29">
        <v>28189</v>
      </c>
      <c r="T382" s="28">
        <v>1</v>
      </c>
      <c r="U382" s="28">
        <v>5</v>
      </c>
      <c r="V382" s="28">
        <v>13</v>
      </c>
      <c r="W382" s="30">
        <v>46275.5</v>
      </c>
      <c r="X382" s="32"/>
      <c r="Y382" s="28">
        <v>0</v>
      </c>
      <c r="Z382" s="33">
        <v>28387</v>
      </c>
      <c r="AA382">
        <v>454.43999999999994</v>
      </c>
      <c r="AB382" s="18">
        <v>0.4672376389303009</v>
      </c>
      <c r="AC382" s="19">
        <v>1.4672376389303008</v>
      </c>
      <c r="AD382" s="19">
        <v>0.53846153846153844</v>
      </c>
      <c r="AE382" s="19">
        <v>0.89743589743589747</v>
      </c>
    </row>
    <row r="383" spans="1:31">
      <c r="A383">
        <v>387</v>
      </c>
      <c r="B383" t="s">
        <v>264</v>
      </c>
      <c r="C383" t="s">
        <v>265</v>
      </c>
      <c r="D383" t="s">
        <v>231</v>
      </c>
      <c r="E383" s="20">
        <v>46091</v>
      </c>
      <c r="F383" s="21" t="s">
        <v>266</v>
      </c>
      <c r="G383" s="25"/>
      <c r="H383" s="21" t="s">
        <v>113</v>
      </c>
      <c r="I383" s="22">
        <v>70240</v>
      </c>
      <c r="J383" s="21" t="s">
        <v>114</v>
      </c>
      <c r="K383" s="23">
        <v>46205.5</v>
      </c>
      <c r="L383" s="21">
        <v>839</v>
      </c>
      <c r="M383" s="22">
        <v>3695</v>
      </c>
      <c r="N383" s="24">
        <v>698.54</v>
      </c>
      <c r="O383" s="24">
        <v>1169.0999999999999</v>
      </c>
      <c r="P383" s="24">
        <v>1797.92</v>
      </c>
      <c r="Q383" s="21">
        <v>299</v>
      </c>
      <c r="R383" s="22">
        <v>10983</v>
      </c>
      <c r="S383" s="22">
        <v>26365</v>
      </c>
      <c r="T383" s="21">
        <v>3</v>
      </c>
      <c r="U383" s="21">
        <v>13</v>
      </c>
      <c r="V383" s="21">
        <v>22</v>
      </c>
      <c r="W383" s="23">
        <v>46275.5</v>
      </c>
      <c r="X383" s="25"/>
      <c r="Y383" s="21">
        <v>0</v>
      </c>
      <c r="Z383" s="26">
        <v>26568</v>
      </c>
      <c r="AA383">
        <v>470.55999999999995</v>
      </c>
      <c r="AB383" s="18">
        <v>0.67363357860680839</v>
      </c>
      <c r="AC383" s="19">
        <v>1.6736335786068084</v>
      </c>
      <c r="AD383" s="19">
        <v>0.95454545454545459</v>
      </c>
      <c r="AE383" s="19">
        <v>1.3787878787878787</v>
      </c>
    </row>
    <row r="384" spans="1:31">
      <c r="A384">
        <v>388</v>
      </c>
      <c r="B384" t="s">
        <v>267</v>
      </c>
      <c r="C384" t="s">
        <v>268</v>
      </c>
      <c r="D384" t="s">
        <v>231</v>
      </c>
      <c r="E384" s="27">
        <v>46091</v>
      </c>
      <c r="F384" s="28" t="s">
        <v>269</v>
      </c>
      <c r="G384" s="32"/>
      <c r="H384" s="28" t="s">
        <v>164</v>
      </c>
      <c r="I384" s="29">
        <v>54500</v>
      </c>
      <c r="J384" s="28" t="s">
        <v>165</v>
      </c>
      <c r="K384" s="30">
        <v>46205.833333333336</v>
      </c>
      <c r="L384" s="28">
        <v>616</v>
      </c>
      <c r="M384" s="29">
        <v>3042</v>
      </c>
      <c r="N384" s="31">
        <v>588</v>
      </c>
      <c r="O384" s="31">
        <v>1036.8800000000001</v>
      </c>
      <c r="P384" s="31">
        <v>1715.89</v>
      </c>
      <c r="Q384" s="28">
        <v>690</v>
      </c>
      <c r="R384" s="29">
        <v>26748</v>
      </c>
      <c r="S384" s="29">
        <v>67234</v>
      </c>
      <c r="T384" s="28">
        <v>2</v>
      </c>
      <c r="U384" s="28">
        <v>3</v>
      </c>
      <c r="V384" s="28">
        <v>8</v>
      </c>
      <c r="W384" s="30">
        <v>46275.375</v>
      </c>
      <c r="X384" s="32"/>
      <c r="Y384" s="28">
        <v>0</v>
      </c>
      <c r="Z384" s="33">
        <v>67820</v>
      </c>
      <c r="AA384">
        <v>448.88000000000011</v>
      </c>
      <c r="AB384" s="18">
        <v>0.76340136054421792</v>
      </c>
      <c r="AC384" s="19">
        <v>1.7634013605442178</v>
      </c>
      <c r="AD384" s="19">
        <v>1.75</v>
      </c>
      <c r="AE384" s="19">
        <v>0.875</v>
      </c>
    </row>
    <row r="385" spans="1:31">
      <c r="A385">
        <v>389</v>
      </c>
      <c r="B385" t="s">
        <v>273</v>
      </c>
      <c r="C385" t="s">
        <v>274</v>
      </c>
      <c r="D385" t="s">
        <v>231</v>
      </c>
      <c r="E385" s="20">
        <v>46091</v>
      </c>
      <c r="F385" s="21" t="s">
        <v>275</v>
      </c>
      <c r="G385" s="25"/>
      <c r="H385" s="21" t="s">
        <v>68</v>
      </c>
      <c r="I385" s="22">
        <v>76416</v>
      </c>
      <c r="J385" s="21" t="s">
        <v>69</v>
      </c>
      <c r="K385" s="23">
        <v>46206.854166666664</v>
      </c>
      <c r="L385" s="21">
        <v>894</v>
      </c>
      <c r="M385" s="22">
        <v>4054</v>
      </c>
      <c r="N385" s="24">
        <v>570.36</v>
      </c>
      <c r="O385" s="24">
        <v>900</v>
      </c>
      <c r="P385" s="24">
        <v>1705.1</v>
      </c>
      <c r="Q385" s="21">
        <v>678</v>
      </c>
      <c r="R385" s="22">
        <v>26714</v>
      </c>
      <c r="S385" s="22">
        <v>67205</v>
      </c>
      <c r="T385" s="21">
        <v>3</v>
      </c>
      <c r="U385" s="21">
        <v>9</v>
      </c>
      <c r="V385" s="21">
        <v>27</v>
      </c>
      <c r="W385" s="23">
        <v>46275.583333333336</v>
      </c>
      <c r="X385" s="25"/>
      <c r="Y385" s="21">
        <v>0</v>
      </c>
      <c r="Z385" s="26">
        <v>67802</v>
      </c>
      <c r="AA385">
        <v>329.64</v>
      </c>
      <c r="AB385" s="18">
        <v>0.57795076793604039</v>
      </c>
      <c r="AC385" s="19">
        <v>1.5779507679360403</v>
      </c>
      <c r="AD385" s="19">
        <v>0.77777777777777779</v>
      </c>
      <c r="AE385" s="19">
        <v>0.77777777777777779</v>
      </c>
    </row>
    <row r="386" spans="1:31">
      <c r="A386">
        <v>390</v>
      </c>
      <c r="B386" t="s">
        <v>290</v>
      </c>
      <c r="C386" t="s">
        <v>291</v>
      </c>
      <c r="D386" t="s">
        <v>281</v>
      </c>
      <c r="E386" s="27">
        <v>46091</v>
      </c>
      <c r="F386" s="28" t="s">
        <v>292</v>
      </c>
      <c r="G386" s="32"/>
      <c r="H386" s="28" t="s">
        <v>56</v>
      </c>
      <c r="I386" s="29">
        <v>98500</v>
      </c>
      <c r="J386" s="28" t="s">
        <v>57</v>
      </c>
      <c r="K386" s="30">
        <v>46208.791666666664</v>
      </c>
      <c r="L386" s="28">
        <v>417</v>
      </c>
      <c r="M386" s="29">
        <v>2168</v>
      </c>
      <c r="N386" s="31">
        <v>836.29</v>
      </c>
      <c r="O386" s="31">
        <v>1319.5</v>
      </c>
      <c r="P386" s="31">
        <v>2025</v>
      </c>
      <c r="Q386" s="28">
        <v>692</v>
      </c>
      <c r="R386" s="29">
        <v>26532</v>
      </c>
      <c r="S386" s="29">
        <v>67076</v>
      </c>
      <c r="T386" s="28">
        <v>1</v>
      </c>
      <c r="U386" s="28">
        <v>5</v>
      </c>
      <c r="V386" s="28">
        <v>19</v>
      </c>
      <c r="W386" s="30">
        <v>46275.541666666664</v>
      </c>
      <c r="X386" s="32"/>
      <c r="Y386" s="28">
        <v>0</v>
      </c>
      <c r="Z386" s="33">
        <v>67671</v>
      </c>
      <c r="AA386">
        <v>483.21000000000004</v>
      </c>
      <c r="AB386" s="18">
        <v>0.57780195865070738</v>
      </c>
      <c r="AC386" s="19">
        <v>1.5778019586507073</v>
      </c>
      <c r="AD386" s="19">
        <v>0.36842105263157893</v>
      </c>
      <c r="AE386" s="19">
        <v>0.61403508771929827</v>
      </c>
    </row>
    <row r="387" spans="1:31">
      <c r="A387">
        <v>391</v>
      </c>
      <c r="B387" t="s">
        <v>296</v>
      </c>
      <c r="C387" t="s">
        <v>297</v>
      </c>
      <c r="D387" t="s">
        <v>281</v>
      </c>
      <c r="E387" s="20">
        <v>46091</v>
      </c>
      <c r="F387" s="21" t="s">
        <v>298</v>
      </c>
      <c r="G387" s="25"/>
      <c r="H387" s="21" t="s">
        <v>118</v>
      </c>
      <c r="I387" s="22">
        <v>67000</v>
      </c>
      <c r="J387" s="21" t="s">
        <v>119</v>
      </c>
      <c r="K387" s="23">
        <v>46209.708333333336</v>
      </c>
      <c r="L387" s="21">
        <v>749</v>
      </c>
      <c r="M387" s="22">
        <v>3507</v>
      </c>
      <c r="N387" s="24">
        <v>783.05</v>
      </c>
      <c r="O387" s="24">
        <v>1433.14</v>
      </c>
      <c r="P387" s="24">
        <v>2250</v>
      </c>
      <c r="Q387" s="21">
        <v>706</v>
      </c>
      <c r="R387" s="22">
        <v>26610</v>
      </c>
      <c r="S387" s="22">
        <v>67204</v>
      </c>
      <c r="T387" s="21">
        <v>1</v>
      </c>
      <c r="U387" s="21">
        <v>4</v>
      </c>
      <c r="V387" s="21">
        <v>14</v>
      </c>
      <c r="W387" s="23">
        <v>46275.5</v>
      </c>
      <c r="X387" s="25"/>
      <c r="Y387" s="21">
        <v>0</v>
      </c>
      <c r="Z387" s="26">
        <v>67790</v>
      </c>
      <c r="AA387">
        <v>650.09000000000015</v>
      </c>
      <c r="AB387" s="18">
        <v>0.83020241363897607</v>
      </c>
      <c r="AC387" s="19">
        <v>1.8302024136389761</v>
      </c>
      <c r="AD387" s="19">
        <v>0.5</v>
      </c>
      <c r="AE387" s="19">
        <v>0.66666666666666663</v>
      </c>
    </row>
    <row r="388" spans="1:31">
      <c r="A388">
        <v>392</v>
      </c>
      <c r="B388" t="s">
        <v>299</v>
      </c>
      <c r="C388" t="s">
        <v>300</v>
      </c>
      <c r="D388" t="s">
        <v>281</v>
      </c>
      <c r="E388" s="27">
        <v>46091</v>
      </c>
      <c r="F388" s="28" t="s">
        <v>301</v>
      </c>
      <c r="G388" s="32"/>
      <c r="H388" s="28" t="s">
        <v>79</v>
      </c>
      <c r="I388" s="29">
        <v>71000</v>
      </c>
      <c r="J388" s="28" t="s">
        <v>80</v>
      </c>
      <c r="K388" s="30">
        <v>46210.5</v>
      </c>
      <c r="L388" s="28">
        <v>855</v>
      </c>
      <c r="M388" s="29">
        <v>3946</v>
      </c>
      <c r="N388" s="31">
        <v>753.2</v>
      </c>
      <c r="O388" s="31">
        <v>1318.42</v>
      </c>
      <c r="P388" s="31">
        <v>2500</v>
      </c>
      <c r="Q388" s="28">
        <v>696</v>
      </c>
      <c r="R388" s="29">
        <v>26826</v>
      </c>
      <c r="S388" s="29">
        <v>67588</v>
      </c>
      <c r="T388" s="28">
        <v>2</v>
      </c>
      <c r="U388" s="28">
        <v>7</v>
      </c>
      <c r="V388" s="28">
        <v>17</v>
      </c>
      <c r="W388" s="30">
        <v>46275.625</v>
      </c>
      <c r="X388" s="32"/>
      <c r="Y388" s="28">
        <v>0</v>
      </c>
      <c r="Z388" s="33">
        <v>68186</v>
      </c>
      <c r="AA388">
        <v>565.22</v>
      </c>
      <c r="AB388" s="18">
        <v>0.75042485395645242</v>
      </c>
      <c r="AC388" s="19">
        <v>1.7504248539564524</v>
      </c>
      <c r="AD388" s="19">
        <v>0.82352941176470595</v>
      </c>
      <c r="AE388" s="19">
        <v>0.96078431372549034</v>
      </c>
    </row>
    <row r="389" spans="1:31">
      <c r="A389">
        <v>393</v>
      </c>
      <c r="B389" t="s">
        <v>302</v>
      </c>
      <c r="C389" t="s">
        <v>303</v>
      </c>
      <c r="D389" t="s">
        <v>281</v>
      </c>
      <c r="E389" s="20">
        <v>46091</v>
      </c>
      <c r="F389" s="21" t="s">
        <v>304</v>
      </c>
      <c r="G389" s="25"/>
      <c r="H389" s="21" t="s">
        <v>164</v>
      </c>
      <c r="I389" s="22">
        <v>54500</v>
      </c>
      <c r="J389" s="21" t="s">
        <v>165</v>
      </c>
      <c r="K389" s="23">
        <v>46210.541666666664</v>
      </c>
      <c r="L389" s="21">
        <v>677</v>
      </c>
      <c r="M389" s="22">
        <v>3141</v>
      </c>
      <c r="N389" s="24">
        <v>865.8</v>
      </c>
      <c r="O389" s="24">
        <v>1635</v>
      </c>
      <c r="P389" s="24">
        <v>2526.59</v>
      </c>
      <c r="Q389" s="21">
        <v>740</v>
      </c>
      <c r="R389" s="22">
        <v>28219</v>
      </c>
      <c r="S389" s="22">
        <v>70701</v>
      </c>
      <c r="T389" s="21">
        <v>1</v>
      </c>
      <c r="U389" s="21">
        <v>3</v>
      </c>
      <c r="V389" s="21">
        <v>9</v>
      </c>
      <c r="W389" s="23">
        <v>46275.375</v>
      </c>
      <c r="X389" s="25"/>
      <c r="Y389" s="21">
        <v>0</v>
      </c>
      <c r="Z389" s="26">
        <v>71313</v>
      </c>
      <c r="AA389">
        <v>769.2</v>
      </c>
      <c r="AB389" s="18">
        <v>0.88842688842688855</v>
      </c>
      <c r="AC389" s="19">
        <v>1.8884268884268884</v>
      </c>
      <c r="AD389" s="19">
        <v>0.77777777777777768</v>
      </c>
      <c r="AE389" s="19">
        <v>0.77777777777777768</v>
      </c>
    </row>
    <row r="390" spans="1:31">
      <c r="A390">
        <v>394</v>
      </c>
      <c r="B390" t="s">
        <v>305</v>
      </c>
      <c r="C390" t="s">
        <v>306</v>
      </c>
      <c r="D390" t="s">
        <v>66</v>
      </c>
      <c r="E390" s="27">
        <v>46091</v>
      </c>
      <c r="F390" s="28" t="s">
        <v>307</v>
      </c>
      <c r="G390" s="32"/>
      <c r="H390" s="28" t="s">
        <v>127</v>
      </c>
      <c r="I390" s="29">
        <v>68756</v>
      </c>
      <c r="J390" s="28" t="s">
        <v>128</v>
      </c>
      <c r="K390" s="30">
        <v>46212.666666666664</v>
      </c>
      <c r="L390" s="28">
        <v>690</v>
      </c>
      <c r="M390" s="29">
        <v>3290</v>
      </c>
      <c r="N390" s="31">
        <v>1042.75</v>
      </c>
      <c r="O390" s="31">
        <v>1820.9</v>
      </c>
      <c r="P390" s="31">
        <v>2792.62</v>
      </c>
      <c r="Q390" s="28">
        <v>330</v>
      </c>
      <c r="R390" s="29">
        <v>10828</v>
      </c>
      <c r="S390" s="29">
        <v>26275</v>
      </c>
      <c r="T390" s="28">
        <v>3</v>
      </c>
      <c r="U390" s="28">
        <v>7</v>
      </c>
      <c r="V390" s="28">
        <v>12</v>
      </c>
      <c r="W390" s="30">
        <v>46275.625</v>
      </c>
      <c r="X390" s="32"/>
      <c r="Y390" s="28">
        <v>0</v>
      </c>
      <c r="Z390" s="33">
        <v>26459</v>
      </c>
      <c r="AA390">
        <v>778.15000000000009</v>
      </c>
      <c r="AB390" s="18">
        <v>0.74624790218173109</v>
      </c>
      <c r="AC390" s="19">
        <v>1.746247902181731</v>
      </c>
      <c r="AD390" s="19">
        <v>1.75</v>
      </c>
      <c r="AE390" s="19">
        <v>1.3611111111111114</v>
      </c>
    </row>
    <row r="391" spans="1:31">
      <c r="A391">
        <v>395</v>
      </c>
      <c r="B391" t="s">
        <v>311</v>
      </c>
      <c r="C391" t="s">
        <v>312</v>
      </c>
      <c r="D391" t="s">
        <v>66</v>
      </c>
      <c r="E391" s="20">
        <v>46091</v>
      </c>
      <c r="F391" s="21" t="s">
        <v>313</v>
      </c>
      <c r="G391" s="25"/>
      <c r="H391" s="21" t="s">
        <v>85</v>
      </c>
      <c r="I391" s="22">
        <v>76100</v>
      </c>
      <c r="J391" s="21" t="s">
        <v>86</v>
      </c>
      <c r="K391" s="23">
        <v>46214.708333333336</v>
      </c>
      <c r="L391" s="21">
        <v>742</v>
      </c>
      <c r="M391" s="22">
        <v>3419</v>
      </c>
      <c r="N391" s="24">
        <v>1500</v>
      </c>
      <c r="O391" s="24">
        <v>2282.84</v>
      </c>
      <c r="P391" s="24">
        <v>3352.36</v>
      </c>
      <c r="Q391" s="22">
        <v>1216</v>
      </c>
      <c r="R391" s="22">
        <v>46012</v>
      </c>
      <c r="S391" s="22">
        <v>115958</v>
      </c>
      <c r="T391" s="21">
        <v>1</v>
      </c>
      <c r="U391" s="21">
        <v>3</v>
      </c>
      <c r="V391" s="21">
        <v>13</v>
      </c>
      <c r="W391" s="23">
        <v>46275.625</v>
      </c>
      <c r="X391" s="25"/>
      <c r="Y391" s="21">
        <v>0</v>
      </c>
      <c r="Z391" s="26">
        <v>116989</v>
      </c>
      <c r="AA391">
        <v>782.84000000000015</v>
      </c>
      <c r="AB391" s="18">
        <v>0.52189333333333343</v>
      </c>
      <c r="AC391" s="19">
        <v>1.5218933333333333</v>
      </c>
      <c r="AD391" s="19">
        <v>0.53846153846153844</v>
      </c>
      <c r="AE391" s="19">
        <v>0.53846153846153844</v>
      </c>
    </row>
    <row r="392" spans="1:31">
      <c r="A392">
        <v>396</v>
      </c>
      <c r="B392" t="s">
        <v>64</v>
      </c>
      <c r="C392" t="s">
        <v>65</v>
      </c>
      <c r="D392" t="s">
        <v>66</v>
      </c>
      <c r="E392" s="27">
        <v>46091</v>
      </c>
      <c r="F392" s="28" t="s">
        <v>67</v>
      </c>
      <c r="G392" s="32"/>
      <c r="H392" s="28" t="s">
        <v>68</v>
      </c>
      <c r="I392" s="29">
        <v>76416</v>
      </c>
      <c r="J392" s="28" t="s">
        <v>69</v>
      </c>
      <c r="K392" s="30">
        <v>46214.833333333336</v>
      </c>
      <c r="L392" s="28">
        <v>659</v>
      </c>
      <c r="M392" s="29">
        <v>3076</v>
      </c>
      <c r="N392" s="31">
        <v>1273.02</v>
      </c>
      <c r="O392" s="31">
        <v>2360.6</v>
      </c>
      <c r="P392" s="31">
        <v>3288.75</v>
      </c>
      <c r="Q392" s="29">
        <v>1146</v>
      </c>
      <c r="R392" s="29">
        <v>44574</v>
      </c>
      <c r="S392" s="29">
        <v>112898</v>
      </c>
      <c r="T392" s="28">
        <v>0</v>
      </c>
      <c r="U392" s="28">
        <v>2</v>
      </c>
      <c r="V392" s="28">
        <v>4</v>
      </c>
      <c r="W392" s="30">
        <v>46275.583333333336</v>
      </c>
      <c r="X392" s="32"/>
      <c r="Y392" s="28">
        <v>0</v>
      </c>
      <c r="Z392" s="33">
        <v>113909</v>
      </c>
      <c r="AA392">
        <v>1087.58</v>
      </c>
      <c r="AB392" s="18">
        <v>0.85433064680837689</v>
      </c>
      <c r="AC392" s="19">
        <v>1.8543306468083769</v>
      </c>
      <c r="AD392" s="19">
        <v>0</v>
      </c>
      <c r="AE392" s="19">
        <v>1.1666666666666667</v>
      </c>
    </row>
    <row r="393" spans="1:31">
      <c r="A393">
        <v>397</v>
      </c>
      <c r="B393" t="s">
        <v>70</v>
      </c>
      <c r="C393" t="s">
        <v>71</v>
      </c>
      <c r="D393" t="s">
        <v>72</v>
      </c>
      <c r="E393" s="20">
        <v>46091</v>
      </c>
      <c r="F393" s="21" t="s">
        <v>73</v>
      </c>
      <c r="G393" s="25"/>
      <c r="H393" s="21" t="s">
        <v>74</v>
      </c>
      <c r="I393" s="22">
        <v>80000</v>
      </c>
      <c r="J393" s="21" t="s">
        <v>75</v>
      </c>
      <c r="K393" s="23">
        <v>46217.583333333336</v>
      </c>
      <c r="L393" s="21">
        <v>723</v>
      </c>
      <c r="M393" s="22">
        <v>3469</v>
      </c>
      <c r="N393" s="24">
        <v>1840.5</v>
      </c>
      <c r="O393" s="24">
        <v>3153.35</v>
      </c>
      <c r="P393" s="24">
        <v>5251.42</v>
      </c>
      <c r="Q393" s="22">
        <v>1188</v>
      </c>
      <c r="R393" s="22">
        <v>46180</v>
      </c>
      <c r="S393" s="22">
        <v>116208</v>
      </c>
      <c r="T393" s="21">
        <v>1</v>
      </c>
      <c r="U393" s="21">
        <v>3</v>
      </c>
      <c r="V393" s="21">
        <v>5</v>
      </c>
      <c r="W393" s="23">
        <v>46275.583333333336</v>
      </c>
      <c r="X393" s="25"/>
      <c r="Y393" s="21">
        <v>0</v>
      </c>
      <c r="Z393" s="26">
        <v>117236</v>
      </c>
      <c r="AA393">
        <v>1312.85</v>
      </c>
      <c r="AB393" s="18">
        <v>0.71331160010866612</v>
      </c>
      <c r="AC393" s="19">
        <v>1.7133116001086661</v>
      </c>
      <c r="AD393" s="19">
        <v>1.4</v>
      </c>
      <c r="AE393" s="19">
        <v>1.4</v>
      </c>
    </row>
    <row r="394" spans="1:31">
      <c r="A394">
        <v>398</v>
      </c>
      <c r="B394" t="s">
        <v>76</v>
      </c>
      <c r="C394" t="s">
        <v>77</v>
      </c>
      <c r="D394" t="s">
        <v>72</v>
      </c>
      <c r="E394" s="27">
        <v>46091</v>
      </c>
      <c r="F394" s="28" t="s">
        <v>78</v>
      </c>
      <c r="G394" s="32"/>
      <c r="H394" s="28" t="s">
        <v>79</v>
      </c>
      <c r="I394" s="29">
        <v>71000</v>
      </c>
      <c r="J394" s="28" t="s">
        <v>80</v>
      </c>
      <c r="K394" s="30">
        <v>46218.625</v>
      </c>
      <c r="L394" s="28">
        <v>759</v>
      </c>
      <c r="M394" s="29">
        <v>3524</v>
      </c>
      <c r="N394" s="31">
        <v>1743.32</v>
      </c>
      <c r="O394" s="31">
        <v>3173</v>
      </c>
      <c r="P394" s="31">
        <v>5060</v>
      </c>
      <c r="Q394" s="29">
        <v>1127</v>
      </c>
      <c r="R394" s="29">
        <v>44815</v>
      </c>
      <c r="S394" s="29">
        <v>113968</v>
      </c>
      <c r="T394" s="28">
        <v>1</v>
      </c>
      <c r="U394" s="28">
        <v>11</v>
      </c>
      <c r="V394" s="28">
        <v>19</v>
      </c>
      <c r="W394" s="30">
        <v>46275.625</v>
      </c>
      <c r="X394" s="32"/>
      <c r="Y394" s="28">
        <v>0</v>
      </c>
      <c r="Z394" s="33">
        <v>115013</v>
      </c>
      <c r="AA394">
        <v>1429.68</v>
      </c>
      <c r="AB394" s="18">
        <v>0.82009040222104956</v>
      </c>
      <c r="AC394" s="19">
        <v>1.8200904022210496</v>
      </c>
      <c r="AD394" s="19">
        <v>0.36842105263157893</v>
      </c>
      <c r="AE394" s="19">
        <v>1.3508771929824561</v>
      </c>
    </row>
    <row r="395" spans="1:31">
      <c r="A395">
        <v>399</v>
      </c>
      <c r="B395" t="s">
        <v>81</v>
      </c>
      <c r="C395" t="s">
        <v>82</v>
      </c>
      <c r="D395" t="s">
        <v>83</v>
      </c>
      <c r="E395" s="20">
        <v>46091</v>
      </c>
      <c r="F395" s="21" t="s">
        <v>84</v>
      </c>
      <c r="G395" s="25"/>
      <c r="H395" s="21" t="s">
        <v>85</v>
      </c>
      <c r="I395" s="22">
        <v>76100</v>
      </c>
      <c r="J395" s="21" t="s">
        <v>86</v>
      </c>
      <c r="K395" s="23">
        <v>46221.708333333336</v>
      </c>
      <c r="L395" s="21">
        <v>786</v>
      </c>
      <c r="M395" s="22">
        <v>3506</v>
      </c>
      <c r="N395" s="24">
        <v>899.1</v>
      </c>
      <c r="O395" s="24">
        <v>1347.39</v>
      </c>
      <c r="P395" s="24">
        <v>2271.4299999999998</v>
      </c>
      <c r="Q395" s="22">
        <v>1295</v>
      </c>
      <c r="R395" s="22">
        <v>57839</v>
      </c>
      <c r="S395" s="22">
        <v>145759</v>
      </c>
      <c r="T395" s="21">
        <v>1</v>
      </c>
      <c r="U395" s="21">
        <v>3</v>
      </c>
      <c r="V395" s="21">
        <v>10</v>
      </c>
      <c r="W395" s="23">
        <v>46275.625</v>
      </c>
      <c r="X395" s="25"/>
      <c r="Y395" s="21">
        <v>0</v>
      </c>
      <c r="Z395" s="26">
        <v>147204</v>
      </c>
      <c r="AA395">
        <v>448.29000000000008</v>
      </c>
      <c r="AB395" s="18">
        <v>0.49859859859859867</v>
      </c>
      <c r="AC395" s="19">
        <v>1.4985985985985986</v>
      </c>
      <c r="AD395" s="19">
        <v>0.7</v>
      </c>
      <c r="AE395" s="19">
        <v>0.7</v>
      </c>
    </row>
    <row r="396" spans="1:31">
      <c r="A396">
        <v>400</v>
      </c>
      <c r="B396" t="s">
        <v>87</v>
      </c>
      <c r="C396" t="s">
        <v>88</v>
      </c>
      <c r="D396" t="s">
        <v>89</v>
      </c>
      <c r="E396" s="27">
        <v>46091</v>
      </c>
      <c r="F396" s="28" t="s">
        <v>90</v>
      </c>
      <c r="G396" s="32"/>
      <c r="H396" s="28" t="s">
        <v>91</v>
      </c>
      <c r="I396" s="29">
        <v>82500</v>
      </c>
      <c r="J396" s="28" t="s">
        <v>92</v>
      </c>
      <c r="K396" s="30">
        <v>46222.625</v>
      </c>
      <c r="L396" s="28">
        <v>538</v>
      </c>
      <c r="M396" s="29">
        <v>2423</v>
      </c>
      <c r="N396" s="31">
        <v>6854.4</v>
      </c>
      <c r="O396" s="31">
        <v>11786.2</v>
      </c>
      <c r="P396" s="31">
        <v>15888.6</v>
      </c>
      <c r="Q396" s="29">
        <v>1243</v>
      </c>
      <c r="R396" s="29">
        <v>49073</v>
      </c>
      <c r="S396" s="29">
        <v>123340</v>
      </c>
      <c r="T396" s="28">
        <v>2</v>
      </c>
      <c r="U396" s="28">
        <v>5</v>
      </c>
      <c r="V396" s="28">
        <v>11</v>
      </c>
      <c r="W396" s="30">
        <v>46275.625</v>
      </c>
      <c r="X396" s="32"/>
      <c r="Y396" s="28">
        <v>0</v>
      </c>
      <c r="Z396" s="33">
        <v>124433</v>
      </c>
      <c r="AA396">
        <v>4931.8000000000011</v>
      </c>
      <c r="AB396" s="18">
        <v>0.71950863678804877</v>
      </c>
      <c r="AC396" s="19">
        <v>1.7195086367880488</v>
      </c>
      <c r="AD396" s="19">
        <v>1.2727272727272727</v>
      </c>
      <c r="AE396" s="19">
        <v>1.0606060606060608</v>
      </c>
    </row>
    <row r="397" spans="1:31">
      <c r="A397">
        <v>401</v>
      </c>
      <c r="B397" t="s">
        <v>270</v>
      </c>
      <c r="C397" t="s">
        <v>271</v>
      </c>
      <c r="D397" t="s">
        <v>231</v>
      </c>
      <c r="E397" s="20">
        <v>46091</v>
      </c>
      <c r="F397" s="21" t="s">
        <v>272</v>
      </c>
      <c r="G397" s="25"/>
      <c r="H397" s="21" t="s">
        <v>85</v>
      </c>
      <c r="I397" s="22">
        <v>76100</v>
      </c>
      <c r="J397" s="21" t="s">
        <v>86</v>
      </c>
      <c r="K397" s="23">
        <v>46206.75</v>
      </c>
      <c r="L397" s="21">
        <v>774</v>
      </c>
      <c r="M397" s="22">
        <v>4104</v>
      </c>
      <c r="N397" s="24">
        <v>1439.48</v>
      </c>
      <c r="O397" s="24">
        <v>2250</v>
      </c>
      <c r="P397" s="24">
        <v>3978</v>
      </c>
      <c r="Q397" s="21">
        <v>731</v>
      </c>
      <c r="R397" s="22">
        <v>28491</v>
      </c>
      <c r="S397" s="22">
        <v>71252</v>
      </c>
      <c r="T397" s="21">
        <v>0</v>
      </c>
      <c r="U397" s="21">
        <v>4</v>
      </c>
      <c r="V397" s="21">
        <v>8</v>
      </c>
      <c r="W397" s="23">
        <v>46275.625</v>
      </c>
      <c r="X397" s="25"/>
      <c r="Y397" s="21">
        <v>0</v>
      </c>
      <c r="Z397" s="26">
        <v>71854</v>
      </c>
      <c r="AA397">
        <v>810.52</v>
      </c>
      <c r="AB397" s="18">
        <v>0.56306443993664379</v>
      </c>
      <c r="AC397" s="19">
        <v>1.5630644399366438</v>
      </c>
      <c r="AD397" s="19">
        <v>0</v>
      </c>
      <c r="AE397" s="19">
        <v>1.1666666666666667</v>
      </c>
    </row>
    <row r="398" spans="1:31">
      <c r="A398">
        <v>402</v>
      </c>
      <c r="B398" t="s">
        <v>276</v>
      </c>
      <c r="C398" t="s">
        <v>277</v>
      </c>
      <c r="D398" t="s">
        <v>231</v>
      </c>
      <c r="E398" s="27">
        <v>46091</v>
      </c>
      <c r="F398" s="28" t="s">
        <v>278</v>
      </c>
      <c r="G398" s="32"/>
      <c r="H398" s="28" t="s">
        <v>74</v>
      </c>
      <c r="I398" s="29">
        <v>80000</v>
      </c>
      <c r="J398" s="28" t="s">
        <v>75</v>
      </c>
      <c r="K398" s="30">
        <v>46206.541666666664</v>
      </c>
      <c r="L398" s="28">
        <v>762</v>
      </c>
      <c r="M398" s="29">
        <v>3484</v>
      </c>
      <c r="N398" s="31">
        <v>514.73</v>
      </c>
      <c r="O398" s="31">
        <v>862.08</v>
      </c>
      <c r="P398" s="31">
        <v>1324.19</v>
      </c>
      <c r="Q398" s="28">
        <v>750</v>
      </c>
      <c r="R398" s="29">
        <v>28246</v>
      </c>
      <c r="S398" s="29">
        <v>70462</v>
      </c>
      <c r="T398" s="28">
        <v>2</v>
      </c>
      <c r="U398" s="28">
        <v>5</v>
      </c>
      <c r="V398" s="28">
        <v>13</v>
      </c>
      <c r="W398" s="30">
        <v>46275.583333333336</v>
      </c>
      <c r="X398" s="32"/>
      <c r="Y398" s="28">
        <v>0</v>
      </c>
      <c r="Z398" s="33">
        <v>71066</v>
      </c>
      <c r="AA398">
        <v>347.35</v>
      </c>
      <c r="AB398" s="18">
        <v>0.6748198084432615</v>
      </c>
      <c r="AC398" s="19">
        <v>1.6748198084432615</v>
      </c>
      <c r="AD398" s="19">
        <v>1.0769230769230769</v>
      </c>
      <c r="AE398" s="19">
        <v>0.89743589743589747</v>
      </c>
    </row>
    <row r="399" spans="1:31">
      <c r="A399">
        <v>403</v>
      </c>
      <c r="B399" t="s">
        <v>279</v>
      </c>
      <c r="C399" t="s">
        <v>280</v>
      </c>
      <c r="D399" t="s">
        <v>281</v>
      </c>
      <c r="E399" s="20">
        <v>46091</v>
      </c>
      <c r="F399" s="21" t="s">
        <v>282</v>
      </c>
      <c r="G399" s="25"/>
      <c r="H399" s="21" t="s">
        <v>171</v>
      </c>
      <c r="I399" s="22">
        <v>69176</v>
      </c>
      <c r="J399" s="21" t="s">
        <v>172</v>
      </c>
      <c r="K399" s="23">
        <v>46207.708333333336</v>
      </c>
      <c r="L399" s="21">
        <v>732</v>
      </c>
      <c r="M399" s="22">
        <v>3370</v>
      </c>
      <c r="N399" s="24">
        <v>846.53</v>
      </c>
      <c r="O399" s="24">
        <v>1600.56</v>
      </c>
      <c r="P399" s="24">
        <v>2517.9299999999998</v>
      </c>
      <c r="Q399" s="21">
        <v>755</v>
      </c>
      <c r="R399" s="22">
        <v>28558</v>
      </c>
      <c r="S399" s="22">
        <v>71383</v>
      </c>
      <c r="T399" s="21">
        <v>2</v>
      </c>
      <c r="U399" s="21">
        <v>6</v>
      </c>
      <c r="V399" s="21">
        <v>14</v>
      </c>
      <c r="W399" s="23">
        <v>46275.625</v>
      </c>
      <c r="X399" s="25"/>
      <c r="Y399" s="21">
        <v>0</v>
      </c>
      <c r="Z399" s="26">
        <v>72012</v>
      </c>
      <c r="AA399">
        <v>754.03</v>
      </c>
      <c r="AB399" s="18">
        <v>0.89073039348871275</v>
      </c>
      <c r="AC399" s="19">
        <v>1.8907303934887127</v>
      </c>
      <c r="AD399" s="19">
        <v>1</v>
      </c>
      <c r="AE399" s="19">
        <v>1</v>
      </c>
    </row>
    <row r="400" spans="1:31">
      <c r="A400">
        <v>404</v>
      </c>
      <c r="B400" t="s">
        <v>284</v>
      </c>
      <c r="C400" t="s">
        <v>285</v>
      </c>
      <c r="D400" t="s">
        <v>281</v>
      </c>
      <c r="E400" s="27">
        <v>46091</v>
      </c>
      <c r="F400" s="28" t="s">
        <v>286</v>
      </c>
      <c r="G400" s="32"/>
      <c r="H400" s="28" t="s">
        <v>62</v>
      </c>
      <c r="I400" s="29">
        <v>71500</v>
      </c>
      <c r="J400" s="28" t="s">
        <v>63</v>
      </c>
      <c r="K400" s="30">
        <v>46207.5</v>
      </c>
      <c r="L400" s="28">
        <v>874</v>
      </c>
      <c r="M400" s="29">
        <v>4025</v>
      </c>
      <c r="N400" s="31">
        <v>679</v>
      </c>
      <c r="O400" s="31">
        <v>1314.74</v>
      </c>
      <c r="P400" s="31">
        <v>2384.0700000000002</v>
      </c>
      <c r="Q400" s="28">
        <v>749</v>
      </c>
      <c r="R400" s="29">
        <v>28304</v>
      </c>
      <c r="S400" s="29">
        <v>71044</v>
      </c>
      <c r="T400" s="28">
        <v>3</v>
      </c>
      <c r="U400" s="28">
        <v>10</v>
      </c>
      <c r="V400" s="28">
        <v>16</v>
      </c>
      <c r="W400" s="30">
        <v>46275.583333333336</v>
      </c>
      <c r="X400" s="32"/>
      <c r="Y400" s="28">
        <v>0</v>
      </c>
      <c r="Z400" s="33">
        <v>71647</v>
      </c>
      <c r="AA400">
        <v>635.74</v>
      </c>
      <c r="AB400" s="18">
        <v>0.93628865979381448</v>
      </c>
      <c r="AC400" s="19">
        <v>1.9362886597938145</v>
      </c>
      <c r="AD400" s="19">
        <v>1.3125</v>
      </c>
      <c r="AE400" s="19">
        <v>1.4583333333333335</v>
      </c>
    </row>
    <row r="401" spans="1:31">
      <c r="A401">
        <v>405</v>
      </c>
      <c r="B401" t="s">
        <v>287</v>
      </c>
      <c r="C401" t="s">
        <v>288</v>
      </c>
      <c r="D401" t="s">
        <v>281</v>
      </c>
      <c r="E401" s="20">
        <v>46091</v>
      </c>
      <c r="F401" s="21" t="s">
        <v>289</v>
      </c>
      <c r="G401" s="25"/>
      <c r="H401" s="21" t="s">
        <v>91</v>
      </c>
      <c r="I401" s="22">
        <v>82500</v>
      </c>
      <c r="J401" s="21" t="s">
        <v>92</v>
      </c>
      <c r="K401" s="23">
        <v>46208.666666666664</v>
      </c>
      <c r="L401" s="21">
        <v>789</v>
      </c>
      <c r="M401" s="22">
        <v>3588</v>
      </c>
      <c r="N401" s="24">
        <v>881.05</v>
      </c>
      <c r="O401" s="24">
        <v>1530</v>
      </c>
      <c r="P401" s="24">
        <v>2326.6999999999998</v>
      </c>
      <c r="Q401" s="21">
        <v>738</v>
      </c>
      <c r="R401" s="22">
        <v>28552</v>
      </c>
      <c r="S401" s="22">
        <v>71394</v>
      </c>
      <c r="T401" s="21">
        <v>2</v>
      </c>
      <c r="U401" s="21">
        <v>4</v>
      </c>
      <c r="V401" s="21">
        <v>14</v>
      </c>
      <c r="W401" s="23">
        <v>46275.625</v>
      </c>
      <c r="X401" s="25"/>
      <c r="Y401" s="21">
        <v>0</v>
      </c>
      <c r="Z401" s="26">
        <v>72026</v>
      </c>
      <c r="AA401">
        <v>648.95000000000005</v>
      </c>
      <c r="AB401" s="18">
        <v>0.73656432665569505</v>
      </c>
      <c r="AC401" s="19">
        <v>1.7365643266556949</v>
      </c>
      <c r="AD401" s="19">
        <v>1</v>
      </c>
      <c r="AE401" s="19">
        <v>0.66666666666666663</v>
      </c>
    </row>
    <row r="402" spans="1:31">
      <c r="A402">
        <v>406</v>
      </c>
      <c r="B402" t="s">
        <v>293</v>
      </c>
      <c r="C402" t="s">
        <v>294</v>
      </c>
      <c r="D402" t="s">
        <v>281</v>
      </c>
      <c r="E402" s="27">
        <v>46091</v>
      </c>
      <c r="F402" s="28" t="s">
        <v>295</v>
      </c>
      <c r="G402" s="32"/>
      <c r="H402" s="28" t="s">
        <v>74</v>
      </c>
      <c r="I402" s="29">
        <v>80000</v>
      </c>
      <c r="J402" s="28" t="s">
        <v>75</v>
      </c>
      <c r="K402" s="30">
        <v>46209.583333333336</v>
      </c>
      <c r="L402" s="28">
        <v>801</v>
      </c>
      <c r="M402" s="29">
        <v>3645</v>
      </c>
      <c r="N402" s="31">
        <v>783.05</v>
      </c>
      <c r="O402" s="31">
        <v>1412.77</v>
      </c>
      <c r="P402" s="31">
        <v>2134.08</v>
      </c>
      <c r="Q402" s="28">
        <v>746</v>
      </c>
      <c r="R402" s="29">
        <v>28236</v>
      </c>
      <c r="S402" s="29">
        <v>70446</v>
      </c>
      <c r="T402" s="28">
        <v>4</v>
      </c>
      <c r="U402" s="28">
        <v>8</v>
      </c>
      <c r="V402" s="28">
        <v>12</v>
      </c>
      <c r="W402" s="30">
        <v>46275.583333333336</v>
      </c>
      <c r="X402" s="32"/>
      <c r="Y402" s="28">
        <v>0</v>
      </c>
      <c r="Z402" s="33">
        <v>71029</v>
      </c>
      <c r="AA402">
        <v>629.72</v>
      </c>
      <c r="AB402" s="18">
        <v>0.80418874912202298</v>
      </c>
      <c r="AC402" s="19">
        <v>1.804188749122023</v>
      </c>
      <c r="AD402" s="19">
        <v>2.3333333333333335</v>
      </c>
      <c r="AE402" s="19">
        <v>1.5555555555555556</v>
      </c>
    </row>
    <row r="403" spans="1:31">
      <c r="A403">
        <v>407</v>
      </c>
      <c r="B403" t="s">
        <v>308</v>
      </c>
      <c r="C403" t="s">
        <v>309</v>
      </c>
      <c r="D403" t="s">
        <v>66</v>
      </c>
      <c r="E403" s="20">
        <v>46091</v>
      </c>
      <c r="F403" s="21" t="s">
        <v>310</v>
      </c>
      <c r="G403" s="25"/>
      <c r="H403" s="21" t="s">
        <v>113</v>
      </c>
      <c r="I403" s="22">
        <v>70240</v>
      </c>
      <c r="J403" s="21" t="s">
        <v>114</v>
      </c>
      <c r="K403" s="23">
        <v>46213.5</v>
      </c>
      <c r="L403" s="21">
        <v>813</v>
      </c>
      <c r="M403" s="22">
        <v>3710</v>
      </c>
      <c r="N403" s="24">
        <v>1280.3699999999999</v>
      </c>
      <c r="O403" s="24">
        <v>2183.4</v>
      </c>
      <c r="P403" s="24">
        <v>3310.47</v>
      </c>
      <c r="Q403" s="22">
        <v>1194</v>
      </c>
      <c r="R403" s="22">
        <v>46200</v>
      </c>
      <c r="S403" s="22">
        <v>116303</v>
      </c>
      <c r="T403" s="21">
        <v>2</v>
      </c>
      <c r="U403" s="21">
        <v>6</v>
      </c>
      <c r="V403" s="21">
        <v>17</v>
      </c>
      <c r="W403" s="23">
        <v>46275.5</v>
      </c>
      <c r="X403" s="25"/>
      <c r="Y403" s="21">
        <v>0</v>
      </c>
      <c r="Z403" s="26">
        <v>117338</v>
      </c>
      <c r="AA403">
        <v>903.0300000000002</v>
      </c>
      <c r="AB403" s="18">
        <v>0.70528831509641765</v>
      </c>
      <c r="AC403" s="19">
        <v>1.7052883150964178</v>
      </c>
      <c r="AD403" s="19">
        <v>0.82352941176470595</v>
      </c>
      <c r="AE403" s="19">
        <v>0.82352941176470595</v>
      </c>
    </row>
    <row r="404" spans="1:31">
      <c r="A404">
        <v>408</v>
      </c>
      <c r="B404" t="s">
        <v>51</v>
      </c>
      <c r="C404" t="s">
        <v>52</v>
      </c>
      <c r="D404" t="s">
        <v>53</v>
      </c>
      <c r="E404" s="36">
        <v>46095</v>
      </c>
      <c r="F404" s="28" t="s">
        <v>54</v>
      </c>
      <c r="G404" s="28" t="s">
        <v>314</v>
      </c>
      <c r="H404" s="28" t="s">
        <v>56</v>
      </c>
      <c r="I404" s="29">
        <v>98500</v>
      </c>
      <c r="J404" s="28" t="s">
        <v>57</v>
      </c>
      <c r="K404" s="30">
        <v>46184.583333333336</v>
      </c>
      <c r="L404" s="28">
        <v>539</v>
      </c>
      <c r="M404" s="29">
        <v>3300</v>
      </c>
      <c r="N404" s="31">
        <v>2295.75</v>
      </c>
      <c r="O404" s="31">
        <v>4171.3999999999996</v>
      </c>
      <c r="P404" s="31">
        <v>6329.9</v>
      </c>
      <c r="Q404" s="28">
        <v>163</v>
      </c>
      <c r="R404" s="29">
        <v>11912</v>
      </c>
      <c r="S404" s="29">
        <v>39790</v>
      </c>
      <c r="T404" s="28">
        <v>2</v>
      </c>
      <c r="U404" s="28">
        <v>6</v>
      </c>
      <c r="V404" s="28">
        <v>13</v>
      </c>
      <c r="W404" s="30">
        <v>46275.541666666664</v>
      </c>
      <c r="X404" s="32"/>
      <c r="Y404" s="28">
        <v>0</v>
      </c>
      <c r="Z404" s="33">
        <v>40277</v>
      </c>
      <c r="AA404">
        <v>1875.6499999999996</v>
      </c>
      <c r="AB404" s="18">
        <v>0.81700969182184457</v>
      </c>
      <c r="AC404" s="19">
        <v>1.8170096918218446</v>
      </c>
      <c r="AD404" s="19">
        <v>1.0769230769230769</v>
      </c>
      <c r="AE404" s="19">
        <v>1.0769230769230769</v>
      </c>
    </row>
    <row r="405" spans="1:31">
      <c r="A405">
        <v>409</v>
      </c>
      <c r="B405" t="s">
        <v>133</v>
      </c>
      <c r="C405" t="s">
        <v>124</v>
      </c>
      <c r="D405" t="s">
        <v>53</v>
      </c>
      <c r="E405" s="37">
        <v>46095</v>
      </c>
      <c r="F405" s="21" t="s">
        <v>134</v>
      </c>
      <c r="G405" s="21" t="s">
        <v>314</v>
      </c>
      <c r="H405" s="21" t="s">
        <v>135</v>
      </c>
      <c r="I405" s="22">
        <v>49800</v>
      </c>
      <c r="J405" s="21" t="s">
        <v>136</v>
      </c>
      <c r="K405" s="23">
        <v>46184.875</v>
      </c>
      <c r="L405" s="21">
        <v>402</v>
      </c>
      <c r="M405" s="22">
        <v>2069</v>
      </c>
      <c r="N405" s="24">
        <v>364.31</v>
      </c>
      <c r="O405" s="24">
        <v>588.5</v>
      </c>
      <c r="P405" s="24">
        <v>954.5</v>
      </c>
      <c r="Q405" s="21">
        <v>166</v>
      </c>
      <c r="R405" s="22">
        <v>9416</v>
      </c>
      <c r="S405" s="22">
        <v>32870</v>
      </c>
      <c r="T405" s="21">
        <v>2</v>
      </c>
      <c r="U405" s="21">
        <v>7</v>
      </c>
      <c r="V405" s="21">
        <v>14</v>
      </c>
      <c r="W405" s="23">
        <v>46275.541666666664</v>
      </c>
      <c r="X405" s="25"/>
      <c r="Y405" s="21">
        <v>0</v>
      </c>
      <c r="Z405" s="26">
        <v>33400</v>
      </c>
      <c r="AA405">
        <v>224.19</v>
      </c>
      <c r="AB405" s="18">
        <v>0.61538250391150395</v>
      </c>
      <c r="AC405" s="19">
        <v>1.615382503911504</v>
      </c>
      <c r="AD405" s="19">
        <v>1</v>
      </c>
      <c r="AE405" s="19">
        <v>1.1666666666666667</v>
      </c>
    </row>
    <row r="406" spans="1:31">
      <c r="A406">
        <v>410</v>
      </c>
      <c r="B406" t="s">
        <v>161</v>
      </c>
      <c r="C406" t="s">
        <v>124</v>
      </c>
      <c r="D406" t="s">
        <v>159</v>
      </c>
      <c r="E406" s="36">
        <v>46095</v>
      </c>
      <c r="F406" s="28" t="s">
        <v>173</v>
      </c>
      <c r="G406" s="28" t="s">
        <v>314</v>
      </c>
      <c r="H406" s="28" t="s">
        <v>146</v>
      </c>
      <c r="I406" s="29">
        <v>30000</v>
      </c>
      <c r="J406" s="28" t="s">
        <v>147</v>
      </c>
      <c r="K406" s="30">
        <v>46185.625</v>
      </c>
      <c r="L406" s="28">
        <v>453</v>
      </c>
      <c r="M406" s="29">
        <v>2162</v>
      </c>
      <c r="N406" s="31">
        <v>1246.3699999999999</v>
      </c>
      <c r="O406" s="31">
        <v>1971.22</v>
      </c>
      <c r="P406" s="31">
        <v>2796.3</v>
      </c>
      <c r="Q406" s="28">
        <v>72</v>
      </c>
      <c r="R406" s="29">
        <v>5514</v>
      </c>
      <c r="S406" s="29">
        <v>23578</v>
      </c>
      <c r="T406" s="28">
        <v>2</v>
      </c>
      <c r="U406" s="28">
        <v>5</v>
      </c>
      <c r="V406" s="28">
        <v>12</v>
      </c>
      <c r="W406" s="30">
        <v>46275.5</v>
      </c>
      <c r="X406" s="32"/>
      <c r="Y406" s="28">
        <v>0</v>
      </c>
      <c r="Z406" s="33">
        <v>23986</v>
      </c>
      <c r="AA406">
        <v>724.85000000000014</v>
      </c>
      <c r="AB406" s="18">
        <v>0.58156887601595053</v>
      </c>
      <c r="AC406" s="19">
        <v>1.5815688760159505</v>
      </c>
      <c r="AD406" s="19">
        <v>1.1666666666666667</v>
      </c>
      <c r="AE406" s="19">
        <v>0.97222222222222232</v>
      </c>
    </row>
    <row r="407" spans="1:31">
      <c r="A407">
        <v>411</v>
      </c>
      <c r="B407" t="s">
        <v>180</v>
      </c>
      <c r="C407" t="s">
        <v>177</v>
      </c>
      <c r="D407" t="s">
        <v>178</v>
      </c>
      <c r="E407" s="37">
        <v>46095</v>
      </c>
      <c r="F407" s="21" t="s">
        <v>192</v>
      </c>
      <c r="G407" s="21" t="s">
        <v>315</v>
      </c>
      <c r="H407" s="21" t="s">
        <v>113</v>
      </c>
      <c r="I407" s="22">
        <v>70240</v>
      </c>
      <c r="J407" s="21" t="s">
        <v>114</v>
      </c>
      <c r="K407" s="23">
        <v>46185.75</v>
      </c>
      <c r="L407" s="21">
        <v>793</v>
      </c>
      <c r="M407" s="22">
        <v>3355</v>
      </c>
      <c r="N407" s="24">
        <v>1147.5</v>
      </c>
      <c r="O407" s="24">
        <v>2007</v>
      </c>
      <c r="P407" s="24">
        <v>2902.5</v>
      </c>
      <c r="Q407" s="21">
        <v>183</v>
      </c>
      <c r="R407" s="22">
        <v>11768</v>
      </c>
      <c r="S407" s="22">
        <v>39291</v>
      </c>
      <c r="T407" s="21">
        <v>6</v>
      </c>
      <c r="U407" s="21">
        <v>11</v>
      </c>
      <c r="V407" s="21">
        <v>24</v>
      </c>
      <c r="W407" s="23">
        <v>46275.5</v>
      </c>
      <c r="X407" s="25"/>
      <c r="Y407" s="21">
        <v>0</v>
      </c>
      <c r="Z407" s="26">
        <v>39782</v>
      </c>
      <c r="AA407">
        <v>859.5</v>
      </c>
      <c r="AB407" s="18">
        <v>0.74901960784313726</v>
      </c>
      <c r="AC407" s="19">
        <v>1.7490196078431373</v>
      </c>
      <c r="AD407" s="19">
        <v>1.75</v>
      </c>
      <c r="AE407" s="19">
        <v>1.0694444444444444</v>
      </c>
    </row>
    <row r="408" spans="1:31">
      <c r="A408">
        <v>412</v>
      </c>
      <c r="B408" t="s">
        <v>168</v>
      </c>
      <c r="C408" t="s">
        <v>174</v>
      </c>
      <c r="D408" t="s">
        <v>169</v>
      </c>
      <c r="E408" s="36">
        <v>46095</v>
      </c>
      <c r="F408" s="28" t="s">
        <v>203</v>
      </c>
      <c r="G408" s="28" t="s">
        <v>315</v>
      </c>
      <c r="H408" s="28" t="s">
        <v>127</v>
      </c>
      <c r="I408" s="29">
        <v>68756</v>
      </c>
      <c r="J408" s="28" t="s">
        <v>128</v>
      </c>
      <c r="K408" s="30">
        <v>46186.875</v>
      </c>
      <c r="L408" s="28">
        <v>719</v>
      </c>
      <c r="M408" s="29">
        <v>3131</v>
      </c>
      <c r="N408" s="31">
        <v>450</v>
      </c>
      <c r="O408" s="31">
        <v>808.52</v>
      </c>
      <c r="P408" s="31">
        <v>1100</v>
      </c>
      <c r="Q408" s="28">
        <v>75</v>
      </c>
      <c r="R408" s="29">
        <v>4543</v>
      </c>
      <c r="S408" s="29">
        <v>19509</v>
      </c>
      <c r="T408" s="28">
        <v>3</v>
      </c>
      <c r="U408" s="28">
        <v>10</v>
      </c>
      <c r="V408" s="28">
        <v>17</v>
      </c>
      <c r="W408" s="30">
        <v>46275.625</v>
      </c>
      <c r="X408" s="32"/>
      <c r="Y408" s="28">
        <v>0</v>
      </c>
      <c r="Z408" s="33">
        <v>19878</v>
      </c>
      <c r="AA408">
        <v>358.52</v>
      </c>
      <c r="AB408" s="18">
        <v>0.79671111111111104</v>
      </c>
      <c r="AC408" s="19">
        <v>1.7967111111111111</v>
      </c>
      <c r="AD408" s="19">
        <v>1.2352941176470589</v>
      </c>
      <c r="AE408" s="19">
        <v>1.3725490196078434</v>
      </c>
    </row>
    <row r="409" spans="1:31">
      <c r="A409">
        <v>413</v>
      </c>
      <c r="B409" t="s">
        <v>181</v>
      </c>
      <c r="C409" t="s">
        <v>124</v>
      </c>
      <c r="D409" t="s">
        <v>178</v>
      </c>
      <c r="E409" s="37">
        <v>46095</v>
      </c>
      <c r="F409" s="21" t="s">
        <v>214</v>
      </c>
      <c r="G409" s="21" t="s">
        <v>314</v>
      </c>
      <c r="H409" s="21" t="s">
        <v>164</v>
      </c>
      <c r="I409" s="22">
        <v>54500</v>
      </c>
      <c r="J409" s="21" t="s">
        <v>165</v>
      </c>
      <c r="K409" s="23">
        <v>46186.875</v>
      </c>
      <c r="L409" s="21">
        <v>510</v>
      </c>
      <c r="M409" s="22">
        <v>2396</v>
      </c>
      <c r="N409" s="24">
        <v>361.56</v>
      </c>
      <c r="O409" s="24">
        <v>565.04999999999995</v>
      </c>
      <c r="P409" s="24">
        <v>1117.8</v>
      </c>
      <c r="Q409" s="21">
        <v>88</v>
      </c>
      <c r="R409" s="22">
        <v>5658</v>
      </c>
      <c r="S409" s="22">
        <v>24441</v>
      </c>
      <c r="T409" s="21">
        <v>2</v>
      </c>
      <c r="U409" s="21">
        <v>8</v>
      </c>
      <c r="V409" s="21">
        <v>20</v>
      </c>
      <c r="W409" s="23">
        <v>46275.375</v>
      </c>
      <c r="X409" s="25"/>
      <c r="Y409" s="21">
        <v>0</v>
      </c>
      <c r="Z409" s="26">
        <v>24826</v>
      </c>
      <c r="AA409">
        <v>203.48999999999995</v>
      </c>
      <c r="AB409" s="18">
        <v>0.56281115167607021</v>
      </c>
      <c r="AC409" s="19">
        <v>1.5628111516760703</v>
      </c>
      <c r="AD409" s="19">
        <v>0.7</v>
      </c>
      <c r="AE409" s="19">
        <v>0.93333333333333324</v>
      </c>
    </row>
    <row r="410" spans="1:31">
      <c r="A410">
        <v>414</v>
      </c>
      <c r="B410" t="s">
        <v>167</v>
      </c>
      <c r="C410" t="s">
        <v>175</v>
      </c>
      <c r="D410" t="s">
        <v>169</v>
      </c>
      <c r="E410" s="36">
        <v>46095</v>
      </c>
      <c r="F410" s="28" t="s">
        <v>225</v>
      </c>
      <c r="G410" s="28" t="s">
        <v>315</v>
      </c>
      <c r="H410" s="28" t="s">
        <v>91</v>
      </c>
      <c r="I410" s="29">
        <v>82500</v>
      </c>
      <c r="J410" s="28" t="s">
        <v>92</v>
      </c>
      <c r="K410" s="30">
        <v>46186.75</v>
      </c>
      <c r="L410" s="28">
        <v>949</v>
      </c>
      <c r="M410" s="29">
        <v>4631</v>
      </c>
      <c r="N410" s="31">
        <v>813.56</v>
      </c>
      <c r="O410" s="31">
        <v>1549.16</v>
      </c>
      <c r="P410" s="31">
        <v>2349.85</v>
      </c>
      <c r="Q410" s="28">
        <v>199</v>
      </c>
      <c r="R410" s="29">
        <v>14047</v>
      </c>
      <c r="S410" s="29">
        <v>47306</v>
      </c>
      <c r="T410" s="28">
        <v>8</v>
      </c>
      <c r="U410" s="28">
        <v>20</v>
      </c>
      <c r="V410" s="28">
        <v>47</v>
      </c>
      <c r="W410" s="30">
        <v>46275.625</v>
      </c>
      <c r="X410" s="32"/>
      <c r="Y410" s="28">
        <v>0</v>
      </c>
      <c r="Z410" s="33">
        <v>47875</v>
      </c>
      <c r="AA410">
        <v>735.60000000000014</v>
      </c>
      <c r="AB410" s="18">
        <v>0.9041742465214615</v>
      </c>
      <c r="AC410" s="19">
        <v>1.9041742465214615</v>
      </c>
      <c r="AD410" s="19">
        <v>1.1914893617021276</v>
      </c>
      <c r="AE410" s="19">
        <v>0.99290780141843971</v>
      </c>
    </row>
    <row r="411" spans="1:31">
      <c r="A411">
        <v>415</v>
      </c>
      <c r="B411" t="s">
        <v>162</v>
      </c>
      <c r="C411" t="s">
        <v>158</v>
      </c>
      <c r="D411" t="s">
        <v>159</v>
      </c>
      <c r="E411" s="37">
        <v>46095</v>
      </c>
      <c r="F411" s="21" t="s">
        <v>251</v>
      </c>
      <c r="G411" s="21" t="s">
        <v>315</v>
      </c>
      <c r="H411" s="21" t="s">
        <v>140</v>
      </c>
      <c r="I411" s="22">
        <v>75000</v>
      </c>
      <c r="J411" s="21" t="s">
        <v>141</v>
      </c>
      <c r="K411" s="23">
        <v>46186.5</v>
      </c>
      <c r="L411" s="21">
        <v>757</v>
      </c>
      <c r="M411" s="22">
        <v>3318</v>
      </c>
      <c r="N411" s="24">
        <v>274.67</v>
      </c>
      <c r="O411" s="24">
        <v>490</v>
      </c>
      <c r="P411" s="24">
        <v>780.1</v>
      </c>
      <c r="Q411" s="21">
        <v>153</v>
      </c>
      <c r="R411" s="22">
        <v>8320</v>
      </c>
      <c r="S411" s="22">
        <v>30066</v>
      </c>
      <c r="T411" s="21">
        <v>2</v>
      </c>
      <c r="U411" s="21">
        <v>19</v>
      </c>
      <c r="V411" s="21">
        <v>50</v>
      </c>
      <c r="W411" s="23">
        <v>46275.5</v>
      </c>
      <c r="X411" s="25"/>
      <c r="Y411" s="21">
        <v>0</v>
      </c>
      <c r="Z411" s="26">
        <v>30509</v>
      </c>
      <c r="AA411">
        <v>215.32999999999998</v>
      </c>
      <c r="AB411" s="18">
        <v>0.78395893253722637</v>
      </c>
      <c r="AC411" s="19">
        <v>1.7839589325372265</v>
      </c>
      <c r="AD411" s="19">
        <v>0.27999999999999997</v>
      </c>
      <c r="AE411" s="19">
        <v>0.8866666666666666</v>
      </c>
    </row>
    <row r="412" spans="1:31">
      <c r="A412">
        <v>416</v>
      </c>
      <c r="B412" t="s">
        <v>183</v>
      </c>
      <c r="C412" t="s">
        <v>185</v>
      </c>
      <c r="D412" t="s">
        <v>60</v>
      </c>
      <c r="E412" s="36">
        <v>46095</v>
      </c>
      <c r="F412" s="28" t="s">
        <v>283</v>
      </c>
      <c r="G412" s="28" t="s">
        <v>315</v>
      </c>
      <c r="H412" s="28" t="s">
        <v>171</v>
      </c>
      <c r="I412" s="29">
        <v>69176</v>
      </c>
      <c r="J412" s="28" t="s">
        <v>172</v>
      </c>
      <c r="K412" s="30">
        <v>46187.791666666664</v>
      </c>
      <c r="L412" s="28">
        <v>700</v>
      </c>
      <c r="M412" s="29">
        <v>3098</v>
      </c>
      <c r="N412" s="31">
        <v>442.33</v>
      </c>
      <c r="O412" s="31">
        <v>728.78</v>
      </c>
      <c r="P412" s="31">
        <v>998.65</v>
      </c>
      <c r="Q412" s="28">
        <v>113</v>
      </c>
      <c r="R412" s="29">
        <v>6258</v>
      </c>
      <c r="S412" s="29">
        <v>26056</v>
      </c>
      <c r="T412" s="28">
        <v>3</v>
      </c>
      <c r="U412" s="28">
        <v>13</v>
      </c>
      <c r="V412" s="28">
        <v>32</v>
      </c>
      <c r="W412" s="30">
        <v>46275.625</v>
      </c>
      <c r="X412" s="32"/>
      <c r="Y412" s="28">
        <v>0</v>
      </c>
      <c r="Z412" s="33">
        <v>26441</v>
      </c>
      <c r="AA412">
        <v>286.45</v>
      </c>
      <c r="AB412" s="18">
        <v>0.64759342572287659</v>
      </c>
      <c r="AC412" s="19">
        <v>1.6475934257228766</v>
      </c>
      <c r="AD412" s="19">
        <v>0.65625</v>
      </c>
      <c r="AE412" s="19">
        <v>0.94791666666666663</v>
      </c>
    </row>
    <row r="413" spans="1:31">
      <c r="A413">
        <v>417</v>
      </c>
      <c r="B413" t="s">
        <v>58</v>
      </c>
      <c r="C413" t="s">
        <v>59</v>
      </c>
      <c r="D413" t="s">
        <v>60</v>
      </c>
      <c r="E413" s="37">
        <v>46095</v>
      </c>
      <c r="F413" s="21" t="s">
        <v>61</v>
      </c>
      <c r="G413" s="21" t="s">
        <v>315</v>
      </c>
      <c r="H413" s="21" t="s">
        <v>62</v>
      </c>
      <c r="I413" s="22">
        <v>71500</v>
      </c>
      <c r="J413" s="21" t="s">
        <v>63</v>
      </c>
      <c r="K413" s="23">
        <v>46187.5</v>
      </c>
      <c r="L413" s="21">
        <v>819</v>
      </c>
      <c r="M413" s="22">
        <v>3618</v>
      </c>
      <c r="N413" s="24">
        <v>387.99</v>
      </c>
      <c r="O413" s="24">
        <v>607.5</v>
      </c>
      <c r="P413" s="24">
        <v>926.93</v>
      </c>
      <c r="Q413" s="21">
        <v>93</v>
      </c>
      <c r="R413" s="22">
        <v>6529</v>
      </c>
      <c r="S413" s="22">
        <v>26495</v>
      </c>
      <c r="T413" s="21">
        <v>5</v>
      </c>
      <c r="U413" s="21">
        <v>12</v>
      </c>
      <c r="V413" s="21">
        <v>40</v>
      </c>
      <c r="W413" s="23">
        <v>46275.583333333336</v>
      </c>
      <c r="X413" s="25"/>
      <c r="Y413" s="21">
        <v>0</v>
      </c>
      <c r="Z413" s="26">
        <v>26893</v>
      </c>
      <c r="AA413">
        <v>219.51</v>
      </c>
      <c r="AB413" s="18">
        <v>0.56576200417536526</v>
      </c>
      <c r="AC413" s="19">
        <v>1.5657620041753653</v>
      </c>
      <c r="AD413" s="19">
        <v>0.875</v>
      </c>
      <c r="AE413" s="19">
        <v>0.7</v>
      </c>
    </row>
    <row r="414" spans="1:31">
      <c r="A414">
        <v>418</v>
      </c>
      <c r="B414" t="s">
        <v>93</v>
      </c>
      <c r="C414" t="s">
        <v>94</v>
      </c>
      <c r="D414" t="s">
        <v>95</v>
      </c>
      <c r="E414" s="36">
        <v>46095</v>
      </c>
      <c r="F414" s="28" t="s">
        <v>96</v>
      </c>
      <c r="G414" s="28" t="s">
        <v>315</v>
      </c>
      <c r="H414" s="28" t="s">
        <v>74</v>
      </c>
      <c r="I414" s="29">
        <v>80000</v>
      </c>
      <c r="J414" s="28" t="s">
        <v>75</v>
      </c>
      <c r="K414" s="30">
        <v>46187.625</v>
      </c>
      <c r="L414" s="28">
        <v>581</v>
      </c>
      <c r="M414" s="29">
        <v>2656</v>
      </c>
      <c r="N414" s="31">
        <v>617.85</v>
      </c>
      <c r="O414" s="31">
        <v>935.02</v>
      </c>
      <c r="P414" s="31">
        <v>1367.1</v>
      </c>
      <c r="Q414" s="28">
        <v>111</v>
      </c>
      <c r="R414" s="29">
        <v>6818</v>
      </c>
      <c r="S414" s="29">
        <v>27301</v>
      </c>
      <c r="T414" s="28">
        <v>13</v>
      </c>
      <c r="U414" s="28">
        <v>33</v>
      </c>
      <c r="V414" s="28">
        <v>62</v>
      </c>
      <c r="W414" s="30">
        <v>46275.583333333336</v>
      </c>
      <c r="X414" s="32"/>
      <c r="Y414" s="28">
        <v>0</v>
      </c>
      <c r="Z414" s="33">
        <v>27683</v>
      </c>
      <c r="AA414">
        <v>317.16999999999996</v>
      </c>
      <c r="AB414" s="18">
        <v>0.51334466294408021</v>
      </c>
      <c r="AC414" s="19">
        <v>1.5133446629440801</v>
      </c>
      <c r="AD414" s="19">
        <v>1.4677419354838708</v>
      </c>
      <c r="AE414" s="19">
        <v>1.2419354838709677</v>
      </c>
    </row>
    <row r="415" spans="1:31">
      <c r="A415">
        <v>419</v>
      </c>
      <c r="B415" t="s">
        <v>97</v>
      </c>
      <c r="C415" t="s">
        <v>98</v>
      </c>
      <c r="D415" t="s">
        <v>95</v>
      </c>
      <c r="E415" s="37">
        <v>46095</v>
      </c>
      <c r="F415" s="21" t="s">
        <v>99</v>
      </c>
      <c r="G415" s="21" t="s">
        <v>314</v>
      </c>
      <c r="H415" s="21" t="s">
        <v>100</v>
      </c>
      <c r="I415" s="22">
        <v>52237</v>
      </c>
      <c r="J415" s="21" t="s">
        <v>101</v>
      </c>
      <c r="K415" s="23">
        <v>46187.875</v>
      </c>
      <c r="L415" s="21">
        <v>420</v>
      </c>
      <c r="M415" s="22">
        <v>2131</v>
      </c>
      <c r="N415" s="24">
        <v>186.99</v>
      </c>
      <c r="O415" s="24">
        <v>348.58</v>
      </c>
      <c r="P415" s="24">
        <v>673.13</v>
      </c>
      <c r="Q415" s="21">
        <v>97</v>
      </c>
      <c r="R415" s="22">
        <v>5212</v>
      </c>
      <c r="S415" s="22">
        <v>22834</v>
      </c>
      <c r="T415" s="21">
        <v>2</v>
      </c>
      <c r="U415" s="21">
        <v>5</v>
      </c>
      <c r="V415" s="21">
        <v>11</v>
      </c>
      <c r="W415" s="23">
        <v>46275.541666666664</v>
      </c>
      <c r="X415" s="25"/>
      <c r="Y415" s="21">
        <v>0</v>
      </c>
      <c r="Z415" s="26">
        <v>23220</v>
      </c>
      <c r="AA415">
        <v>161.58999999999997</v>
      </c>
      <c r="AB415" s="18">
        <v>0.86416385902989445</v>
      </c>
      <c r="AC415" s="19">
        <v>1.8641638590298946</v>
      </c>
      <c r="AD415" s="19">
        <v>1.2727272727272727</v>
      </c>
      <c r="AE415" s="19">
        <v>1.0606060606060608</v>
      </c>
    </row>
    <row r="416" spans="1:31">
      <c r="A416">
        <v>420</v>
      </c>
      <c r="B416" t="s">
        <v>102</v>
      </c>
      <c r="C416" t="s">
        <v>103</v>
      </c>
      <c r="D416" t="s">
        <v>104</v>
      </c>
      <c r="E416" s="36">
        <v>46095</v>
      </c>
      <c r="F416" s="28" t="s">
        <v>105</v>
      </c>
      <c r="G416" s="28" t="s">
        <v>315</v>
      </c>
      <c r="H416" s="28" t="s">
        <v>85</v>
      </c>
      <c r="I416" s="29">
        <v>76100</v>
      </c>
      <c r="J416" s="28" t="s">
        <v>86</v>
      </c>
      <c r="K416" s="30">
        <v>46188.75</v>
      </c>
      <c r="L416" s="28">
        <v>880</v>
      </c>
      <c r="M416" s="29">
        <v>3853</v>
      </c>
      <c r="N416" s="31">
        <v>302.39999999999998</v>
      </c>
      <c r="O416" s="31">
        <v>500</v>
      </c>
      <c r="P416" s="31">
        <v>764.55</v>
      </c>
      <c r="Q416" s="28">
        <v>164</v>
      </c>
      <c r="R416" s="29">
        <v>9285</v>
      </c>
      <c r="S416" s="29">
        <v>32097</v>
      </c>
      <c r="T416" s="28">
        <v>6</v>
      </c>
      <c r="U416" s="28">
        <v>16</v>
      </c>
      <c r="V416" s="28">
        <v>41</v>
      </c>
      <c r="W416" s="30">
        <v>46275.625</v>
      </c>
      <c r="X416" s="32"/>
      <c r="Y416" s="28">
        <v>0</v>
      </c>
      <c r="Z416" s="33">
        <v>32621</v>
      </c>
      <c r="AA416">
        <v>197.60000000000002</v>
      </c>
      <c r="AB416" s="18">
        <v>0.6534391534391536</v>
      </c>
      <c r="AC416" s="19">
        <v>1.6534391534391535</v>
      </c>
      <c r="AD416" s="19">
        <v>1.024390243902439</v>
      </c>
      <c r="AE416" s="19">
        <v>0.91056910569105687</v>
      </c>
    </row>
    <row r="417" spans="1:31">
      <c r="A417">
        <v>421</v>
      </c>
      <c r="B417" t="s">
        <v>106</v>
      </c>
      <c r="C417" t="s">
        <v>107</v>
      </c>
      <c r="D417" t="s">
        <v>104</v>
      </c>
      <c r="E417" s="37">
        <v>46095</v>
      </c>
      <c r="F417" s="21" t="s">
        <v>108</v>
      </c>
      <c r="G417" s="21" t="s">
        <v>315</v>
      </c>
      <c r="H417" s="21" t="s">
        <v>79</v>
      </c>
      <c r="I417" s="22">
        <v>71000</v>
      </c>
      <c r="J417" s="21" t="s">
        <v>80</v>
      </c>
      <c r="K417" s="23">
        <v>46188.5</v>
      </c>
      <c r="L417" s="21">
        <v>839</v>
      </c>
      <c r="M417" s="22">
        <v>3666</v>
      </c>
      <c r="N417" s="24">
        <v>296.70999999999998</v>
      </c>
      <c r="O417" s="24">
        <v>585</v>
      </c>
      <c r="P417" s="24">
        <v>874.16</v>
      </c>
      <c r="Q417" s="21">
        <v>143</v>
      </c>
      <c r="R417" s="22">
        <v>8617</v>
      </c>
      <c r="S417" s="22">
        <v>31370</v>
      </c>
      <c r="T417" s="21">
        <v>3</v>
      </c>
      <c r="U417" s="21">
        <v>15</v>
      </c>
      <c r="V417" s="21">
        <v>50</v>
      </c>
      <c r="W417" s="23">
        <v>46275.625</v>
      </c>
      <c r="X417" s="25"/>
      <c r="Y417" s="21">
        <v>0</v>
      </c>
      <c r="Z417" s="26">
        <v>31830</v>
      </c>
      <c r="AA417">
        <v>288.29000000000002</v>
      </c>
      <c r="AB417" s="18">
        <v>0.9716221226113041</v>
      </c>
      <c r="AC417" s="19">
        <v>1.9716221226113042</v>
      </c>
      <c r="AD417" s="19">
        <v>0.42</v>
      </c>
      <c r="AE417" s="19">
        <v>0.7</v>
      </c>
    </row>
    <row r="418" spans="1:31">
      <c r="A418">
        <v>422</v>
      </c>
      <c r="B418" t="s">
        <v>109</v>
      </c>
      <c r="C418" t="s">
        <v>110</v>
      </c>
      <c r="D418" t="s">
        <v>111</v>
      </c>
      <c r="E418" s="36">
        <v>46095</v>
      </c>
      <c r="F418" s="28" t="s">
        <v>112</v>
      </c>
      <c r="G418" s="28" t="s">
        <v>315</v>
      </c>
      <c r="H418" s="28" t="s">
        <v>113</v>
      </c>
      <c r="I418" s="29">
        <v>70240</v>
      </c>
      <c r="J418" s="28" t="s">
        <v>114</v>
      </c>
      <c r="K418" s="30">
        <v>46188.75</v>
      </c>
      <c r="L418" s="28">
        <v>982</v>
      </c>
      <c r="M418" s="29">
        <v>4210</v>
      </c>
      <c r="N418" s="31">
        <v>215.99</v>
      </c>
      <c r="O418" s="31">
        <v>518.64</v>
      </c>
      <c r="P418" s="31">
        <v>848.86</v>
      </c>
      <c r="Q418" s="28">
        <v>160</v>
      </c>
      <c r="R418" s="29">
        <v>9145</v>
      </c>
      <c r="S418" s="29">
        <v>32132</v>
      </c>
      <c r="T418" s="28">
        <v>0</v>
      </c>
      <c r="U418" s="28">
        <v>3</v>
      </c>
      <c r="V418" s="28">
        <v>12</v>
      </c>
      <c r="W418" s="30">
        <v>46275.5</v>
      </c>
      <c r="X418" s="32"/>
      <c r="Y418" s="28">
        <v>0</v>
      </c>
      <c r="Z418" s="33">
        <v>32628</v>
      </c>
      <c r="AA418">
        <v>302.64999999999998</v>
      </c>
      <c r="AB418" s="18">
        <v>1.4012222788092039</v>
      </c>
      <c r="AC418" s="19">
        <v>2.4012222788092039</v>
      </c>
      <c r="AD418" s="19">
        <v>0</v>
      </c>
      <c r="AE418" s="19">
        <v>0.58333333333333337</v>
      </c>
    </row>
    <row r="419" spans="1:31">
      <c r="A419">
        <v>423</v>
      </c>
      <c r="B419" t="s">
        <v>115</v>
      </c>
      <c r="C419" t="s">
        <v>116</v>
      </c>
      <c r="D419" t="s">
        <v>111</v>
      </c>
      <c r="E419" s="37">
        <v>46095</v>
      </c>
      <c r="F419" s="21" t="s">
        <v>117</v>
      </c>
      <c r="G419" s="21" t="s">
        <v>315</v>
      </c>
      <c r="H419" s="21" t="s">
        <v>118</v>
      </c>
      <c r="I419" s="22">
        <v>67000</v>
      </c>
      <c r="J419" s="21" t="s">
        <v>119</v>
      </c>
      <c r="K419" s="23">
        <v>46188.5</v>
      </c>
      <c r="L419" s="21">
        <v>659</v>
      </c>
      <c r="M419" s="22">
        <v>2907</v>
      </c>
      <c r="N419" s="24">
        <v>360.46</v>
      </c>
      <c r="O419" s="24">
        <v>626.84</v>
      </c>
      <c r="P419" s="24">
        <v>950</v>
      </c>
      <c r="Q419" s="21">
        <v>170</v>
      </c>
      <c r="R419" s="22">
        <v>9206</v>
      </c>
      <c r="S419" s="22">
        <v>32466</v>
      </c>
      <c r="T419" s="21">
        <v>5</v>
      </c>
      <c r="U419" s="21">
        <v>11</v>
      </c>
      <c r="V419" s="21">
        <v>35</v>
      </c>
      <c r="W419" s="23">
        <v>46275.5</v>
      </c>
      <c r="X419" s="25"/>
      <c r="Y419" s="21">
        <v>0</v>
      </c>
      <c r="Z419" s="26">
        <v>32991</v>
      </c>
      <c r="AA419">
        <v>266.38000000000005</v>
      </c>
      <c r="AB419" s="18">
        <v>0.7390001664539757</v>
      </c>
      <c r="AC419" s="19">
        <v>1.7390001664539756</v>
      </c>
      <c r="AD419" s="19">
        <v>1</v>
      </c>
      <c r="AE419" s="19">
        <v>0.73333333333333328</v>
      </c>
    </row>
    <row r="420" spans="1:31">
      <c r="A420">
        <v>424</v>
      </c>
      <c r="B420" t="s">
        <v>120</v>
      </c>
      <c r="C420" t="s">
        <v>121</v>
      </c>
      <c r="D420" t="s">
        <v>122</v>
      </c>
      <c r="E420" s="36">
        <v>46095</v>
      </c>
      <c r="F420" s="28" t="s">
        <v>123</v>
      </c>
      <c r="G420" s="28" t="s">
        <v>315</v>
      </c>
      <c r="H420" s="28" t="s">
        <v>91</v>
      </c>
      <c r="I420" s="29">
        <v>82500</v>
      </c>
      <c r="J420" s="28" t="s">
        <v>92</v>
      </c>
      <c r="K420" s="30">
        <v>46189.625</v>
      </c>
      <c r="L420" s="28">
        <v>818</v>
      </c>
      <c r="M420" s="29">
        <v>3693</v>
      </c>
      <c r="N420" s="31">
        <v>513</v>
      </c>
      <c r="O420" s="31">
        <v>938.43</v>
      </c>
      <c r="P420" s="31">
        <v>1359.9</v>
      </c>
      <c r="Q420" s="28">
        <v>181</v>
      </c>
      <c r="R420" s="29">
        <v>10239</v>
      </c>
      <c r="S420" s="29">
        <v>34790</v>
      </c>
      <c r="T420" s="28">
        <v>2</v>
      </c>
      <c r="U420" s="28">
        <v>10</v>
      </c>
      <c r="V420" s="28">
        <v>33</v>
      </c>
      <c r="W420" s="30">
        <v>46275.625</v>
      </c>
      <c r="X420" s="32"/>
      <c r="Y420" s="28">
        <v>0</v>
      </c>
      <c r="Z420" s="33">
        <v>35299</v>
      </c>
      <c r="AA420">
        <v>425.42999999999995</v>
      </c>
      <c r="AB420" s="18">
        <v>0.82929824561403498</v>
      </c>
      <c r="AC420" s="19">
        <v>1.829298245614035</v>
      </c>
      <c r="AD420" s="19">
        <v>0.42424242424242425</v>
      </c>
      <c r="AE420" s="19">
        <v>0.70707070707070707</v>
      </c>
    </row>
    <row r="421" spans="1:31">
      <c r="A421">
        <v>425</v>
      </c>
      <c r="B421" t="s">
        <v>124</v>
      </c>
      <c r="C421" t="s">
        <v>125</v>
      </c>
      <c r="D421" t="s">
        <v>122</v>
      </c>
      <c r="E421" s="37">
        <v>46095</v>
      </c>
      <c r="F421" s="21" t="s">
        <v>126</v>
      </c>
      <c r="G421" s="21" t="s">
        <v>315</v>
      </c>
      <c r="H421" s="21" t="s">
        <v>127</v>
      </c>
      <c r="I421" s="22">
        <v>68756</v>
      </c>
      <c r="J421" s="21" t="s">
        <v>128</v>
      </c>
      <c r="K421" s="23">
        <v>46189.75</v>
      </c>
      <c r="L421" s="21">
        <v>661</v>
      </c>
      <c r="M421" s="22">
        <v>3125</v>
      </c>
      <c r="N421" s="24">
        <v>396</v>
      </c>
      <c r="O421" s="24">
        <v>644</v>
      </c>
      <c r="P421" s="24">
        <v>1034.1199999999999</v>
      </c>
      <c r="Q421" s="21">
        <v>158</v>
      </c>
      <c r="R421" s="22">
        <v>8749</v>
      </c>
      <c r="S421" s="22">
        <v>30916</v>
      </c>
      <c r="T421" s="21">
        <v>5</v>
      </c>
      <c r="U421" s="21">
        <v>8</v>
      </c>
      <c r="V421" s="21">
        <v>18</v>
      </c>
      <c r="W421" s="23">
        <v>46275.625</v>
      </c>
      <c r="X421" s="25"/>
      <c r="Y421" s="21">
        <v>0</v>
      </c>
      <c r="Z421" s="26">
        <v>31422</v>
      </c>
      <c r="AA421">
        <v>248</v>
      </c>
      <c r="AB421" s="18">
        <v>0.6262626262626263</v>
      </c>
      <c r="AC421" s="19">
        <v>1.6262626262626263</v>
      </c>
      <c r="AD421" s="19">
        <v>1.9444444444444442</v>
      </c>
      <c r="AE421" s="19">
        <v>1.037037037037037</v>
      </c>
    </row>
    <row r="422" spans="1:31">
      <c r="A422">
        <v>426</v>
      </c>
      <c r="B422" t="s">
        <v>129</v>
      </c>
      <c r="C422" t="s">
        <v>130</v>
      </c>
      <c r="D422" t="s">
        <v>131</v>
      </c>
      <c r="E422" s="36">
        <v>46095</v>
      </c>
      <c r="F422" s="28" t="s">
        <v>132</v>
      </c>
      <c r="G422" s="28" t="s">
        <v>315</v>
      </c>
      <c r="H422" s="28" t="s">
        <v>68</v>
      </c>
      <c r="I422" s="29">
        <v>76416</v>
      </c>
      <c r="J422" s="28" t="s">
        <v>69</v>
      </c>
      <c r="K422" s="30">
        <v>46189.833333333336</v>
      </c>
      <c r="L422" s="28">
        <v>844</v>
      </c>
      <c r="M422" s="29">
        <v>3761</v>
      </c>
      <c r="N422" s="31">
        <v>682.5</v>
      </c>
      <c r="O422" s="31">
        <v>1080</v>
      </c>
      <c r="P422" s="31">
        <v>1847.63</v>
      </c>
      <c r="Q422" s="28">
        <v>145</v>
      </c>
      <c r="R422" s="29">
        <v>9161</v>
      </c>
      <c r="S422" s="29">
        <v>32648</v>
      </c>
      <c r="T422" s="28">
        <v>7</v>
      </c>
      <c r="U422" s="28">
        <v>16</v>
      </c>
      <c r="V422" s="28">
        <v>34</v>
      </c>
      <c r="W422" s="30">
        <v>46275.583333333336</v>
      </c>
      <c r="X422" s="32"/>
      <c r="Y422" s="28">
        <v>0</v>
      </c>
      <c r="Z422" s="33">
        <v>33149</v>
      </c>
      <c r="AA422">
        <v>397.5</v>
      </c>
      <c r="AB422" s="18">
        <v>0.58241758241758246</v>
      </c>
      <c r="AC422" s="19">
        <v>1.5824175824175823</v>
      </c>
      <c r="AD422" s="19">
        <v>1.4411764705882355</v>
      </c>
      <c r="AE422" s="19">
        <v>1.0980392156862746</v>
      </c>
    </row>
    <row r="423" spans="1:31">
      <c r="A423">
        <v>427</v>
      </c>
      <c r="B423" t="s">
        <v>137</v>
      </c>
      <c r="C423" t="s">
        <v>138</v>
      </c>
      <c r="D423" t="s">
        <v>131</v>
      </c>
      <c r="E423" s="37">
        <v>46095</v>
      </c>
      <c r="F423" s="21" t="s">
        <v>139</v>
      </c>
      <c r="G423" s="21" t="s">
        <v>315</v>
      </c>
      <c r="H423" s="21" t="s">
        <v>140</v>
      </c>
      <c r="I423" s="22">
        <v>75000</v>
      </c>
      <c r="J423" s="21" t="s">
        <v>141</v>
      </c>
      <c r="K423" s="23">
        <v>46189.875</v>
      </c>
      <c r="L423" s="21">
        <v>777</v>
      </c>
      <c r="M423" s="22">
        <v>3320</v>
      </c>
      <c r="N423" s="24">
        <v>178.72</v>
      </c>
      <c r="O423" s="24">
        <v>461.58</v>
      </c>
      <c r="P423" s="24">
        <v>700</v>
      </c>
      <c r="Q423" s="21">
        <v>160</v>
      </c>
      <c r="R423" s="22">
        <v>8866</v>
      </c>
      <c r="S423" s="22">
        <v>31259</v>
      </c>
      <c r="T423" s="21">
        <v>2</v>
      </c>
      <c r="U423" s="21">
        <v>12</v>
      </c>
      <c r="V423" s="21">
        <v>28</v>
      </c>
      <c r="W423" s="23">
        <v>46275.5</v>
      </c>
      <c r="X423" s="25"/>
      <c r="Y423" s="21">
        <v>0</v>
      </c>
      <c r="Z423" s="26">
        <v>31747</v>
      </c>
      <c r="AA423">
        <v>282.86</v>
      </c>
      <c r="AB423" s="18">
        <v>1.5826991942703672</v>
      </c>
      <c r="AC423" s="19">
        <v>2.5826991942703668</v>
      </c>
      <c r="AD423" s="19">
        <v>0.5</v>
      </c>
      <c r="AE423" s="19">
        <v>1</v>
      </c>
    </row>
    <row r="424" spans="1:31">
      <c r="A424">
        <v>428</v>
      </c>
      <c r="B424" t="s">
        <v>142</v>
      </c>
      <c r="C424" t="s">
        <v>143</v>
      </c>
      <c r="D424" t="s">
        <v>144</v>
      </c>
      <c r="E424" s="36">
        <v>46095</v>
      </c>
      <c r="F424" s="28" t="s">
        <v>145</v>
      </c>
      <c r="G424" s="28" t="s">
        <v>314</v>
      </c>
      <c r="H424" s="28" t="s">
        <v>146</v>
      </c>
      <c r="I424" s="29">
        <v>30000</v>
      </c>
      <c r="J424" s="28" t="s">
        <v>147</v>
      </c>
      <c r="K424" s="30">
        <v>46190.791666666664</v>
      </c>
      <c r="L424" s="28">
        <v>454</v>
      </c>
      <c r="M424" s="29">
        <v>2267</v>
      </c>
      <c r="N424" s="31">
        <v>401.93</v>
      </c>
      <c r="O424" s="31">
        <v>600.1</v>
      </c>
      <c r="P424" s="31">
        <v>883.14</v>
      </c>
      <c r="Q424" s="28">
        <v>177</v>
      </c>
      <c r="R424" s="29">
        <v>9179</v>
      </c>
      <c r="S424" s="29">
        <v>31006</v>
      </c>
      <c r="T424" s="28">
        <v>6</v>
      </c>
      <c r="U424" s="28">
        <v>12</v>
      </c>
      <c r="V424" s="28">
        <v>28</v>
      </c>
      <c r="W424" s="30">
        <v>46275.5</v>
      </c>
      <c r="X424" s="32"/>
      <c r="Y424" s="28">
        <v>0</v>
      </c>
      <c r="Z424" s="33">
        <v>31455</v>
      </c>
      <c r="AA424">
        <v>198.17000000000002</v>
      </c>
      <c r="AB424" s="18">
        <v>0.49304605279526287</v>
      </c>
      <c r="AC424" s="19">
        <v>1.4930460527952629</v>
      </c>
      <c r="AD424" s="19">
        <v>1.5</v>
      </c>
      <c r="AE424" s="19">
        <v>1</v>
      </c>
    </row>
    <row r="425" spans="1:31">
      <c r="A425">
        <v>429</v>
      </c>
      <c r="B425" t="s">
        <v>148</v>
      </c>
      <c r="C425" t="s">
        <v>149</v>
      </c>
      <c r="D425" t="s">
        <v>144</v>
      </c>
      <c r="E425" s="37">
        <v>46095</v>
      </c>
      <c r="F425" s="21" t="s">
        <v>150</v>
      </c>
      <c r="G425" s="21" t="s">
        <v>315</v>
      </c>
      <c r="H425" s="21" t="s">
        <v>74</v>
      </c>
      <c r="I425" s="22">
        <v>80000</v>
      </c>
      <c r="J425" s="21" t="s">
        <v>75</v>
      </c>
      <c r="K425" s="23">
        <v>46190.625</v>
      </c>
      <c r="L425" s="21">
        <v>749</v>
      </c>
      <c r="M425" s="22">
        <v>3997</v>
      </c>
      <c r="N425" s="24">
        <v>867.01</v>
      </c>
      <c r="O425" s="24">
        <v>1623.54</v>
      </c>
      <c r="P425" s="24">
        <v>2700</v>
      </c>
      <c r="Q425" s="21">
        <v>58</v>
      </c>
      <c r="R425" s="22">
        <v>4718</v>
      </c>
      <c r="S425" s="22">
        <v>18799</v>
      </c>
      <c r="T425" s="21">
        <v>8</v>
      </c>
      <c r="U425" s="21">
        <v>16</v>
      </c>
      <c r="V425" s="21">
        <v>29</v>
      </c>
      <c r="W425" s="23">
        <v>46275.583333333336</v>
      </c>
      <c r="X425" s="25"/>
      <c r="Y425" s="21">
        <v>0</v>
      </c>
      <c r="Z425" s="26">
        <v>19133</v>
      </c>
      <c r="AA425">
        <v>756.53</v>
      </c>
      <c r="AB425" s="18">
        <v>0.87257355739841524</v>
      </c>
      <c r="AC425" s="19">
        <v>1.8725735573984152</v>
      </c>
      <c r="AD425" s="19">
        <v>1.9310344827586206</v>
      </c>
      <c r="AE425" s="19">
        <v>1.2873563218390802</v>
      </c>
    </row>
    <row r="426" spans="1:31">
      <c r="A426">
        <v>430</v>
      </c>
      <c r="B426" t="s">
        <v>151</v>
      </c>
      <c r="C426" t="s">
        <v>124</v>
      </c>
      <c r="D426" t="s">
        <v>152</v>
      </c>
      <c r="E426" s="36">
        <v>46095</v>
      </c>
      <c r="F426" s="28" t="s">
        <v>153</v>
      </c>
      <c r="G426" s="28" t="s">
        <v>315</v>
      </c>
      <c r="H426" s="28" t="s">
        <v>62</v>
      </c>
      <c r="I426" s="29">
        <v>71500</v>
      </c>
      <c r="J426" s="28" t="s">
        <v>63</v>
      </c>
      <c r="K426" s="30">
        <v>46190.5</v>
      </c>
      <c r="L426" s="28">
        <v>955</v>
      </c>
      <c r="M426" s="29">
        <v>4227</v>
      </c>
      <c r="N426" s="31">
        <v>555.25</v>
      </c>
      <c r="O426" s="31">
        <v>900</v>
      </c>
      <c r="P426" s="31">
        <v>1490</v>
      </c>
      <c r="Q426" s="28">
        <v>196</v>
      </c>
      <c r="R426" s="29">
        <v>10232</v>
      </c>
      <c r="S426" s="29">
        <v>35046</v>
      </c>
      <c r="T426" s="28">
        <v>5</v>
      </c>
      <c r="U426" s="28">
        <v>19</v>
      </c>
      <c r="V426" s="28">
        <v>36</v>
      </c>
      <c r="W426" s="30">
        <v>46275.583333333336</v>
      </c>
      <c r="X426" s="32"/>
      <c r="Y426" s="28">
        <v>0</v>
      </c>
      <c r="Z426" s="33">
        <v>35571</v>
      </c>
      <c r="AA426">
        <v>344.75</v>
      </c>
      <c r="AB426" s="18">
        <v>0.62089149031967583</v>
      </c>
      <c r="AC426" s="19">
        <v>1.6208914903196758</v>
      </c>
      <c r="AD426" s="19">
        <v>0.9722222222222221</v>
      </c>
      <c r="AE426" s="19">
        <v>1.2314814814814814</v>
      </c>
    </row>
    <row r="427" spans="1:31">
      <c r="A427">
        <v>431</v>
      </c>
      <c r="B427" t="s">
        <v>154</v>
      </c>
      <c r="C427" t="s">
        <v>155</v>
      </c>
      <c r="D427" t="s">
        <v>152</v>
      </c>
      <c r="E427" s="37">
        <v>46095</v>
      </c>
      <c r="F427" s="21" t="s">
        <v>156</v>
      </c>
      <c r="G427" s="21" t="s">
        <v>314</v>
      </c>
      <c r="H427" s="21" t="s">
        <v>56</v>
      </c>
      <c r="I427" s="22">
        <v>98500</v>
      </c>
      <c r="J427" s="21" t="s">
        <v>57</v>
      </c>
      <c r="K427" s="23">
        <v>46190.875</v>
      </c>
      <c r="L427" s="21">
        <v>506</v>
      </c>
      <c r="M427" s="22">
        <v>2558</v>
      </c>
      <c r="N427" s="24">
        <v>536.54999999999995</v>
      </c>
      <c r="O427" s="24">
        <v>800.2</v>
      </c>
      <c r="P427" s="24">
        <v>1149.97</v>
      </c>
      <c r="Q427" s="21">
        <v>141</v>
      </c>
      <c r="R427" s="22">
        <v>7891</v>
      </c>
      <c r="S427" s="22">
        <v>27938</v>
      </c>
      <c r="T427" s="21">
        <v>6</v>
      </c>
      <c r="U427" s="21">
        <v>26</v>
      </c>
      <c r="V427" s="21">
        <v>55</v>
      </c>
      <c r="W427" s="23">
        <v>46275.541666666664</v>
      </c>
      <c r="X427" s="25"/>
      <c r="Y427" s="21">
        <v>0</v>
      </c>
      <c r="Z427" s="26">
        <v>28352</v>
      </c>
      <c r="AA427">
        <v>263.65000000000009</v>
      </c>
      <c r="AB427" s="18">
        <v>0.49138011368931156</v>
      </c>
      <c r="AC427" s="19">
        <v>1.4913801136893114</v>
      </c>
      <c r="AD427" s="19">
        <v>0.76363636363636367</v>
      </c>
      <c r="AE427" s="19">
        <v>1.103030303030303</v>
      </c>
    </row>
    <row r="428" spans="1:31">
      <c r="A428">
        <v>432</v>
      </c>
      <c r="B428" t="s">
        <v>124</v>
      </c>
      <c r="C428" t="s">
        <v>52</v>
      </c>
      <c r="D428" t="s">
        <v>53</v>
      </c>
      <c r="E428" s="36">
        <v>46095</v>
      </c>
      <c r="F428" s="28" t="s">
        <v>157</v>
      </c>
      <c r="G428" s="28" t="s">
        <v>315</v>
      </c>
      <c r="H428" s="28" t="s">
        <v>79</v>
      </c>
      <c r="I428" s="29">
        <v>71000</v>
      </c>
      <c r="J428" s="28" t="s">
        <v>80</v>
      </c>
      <c r="K428" s="30">
        <v>46191.5</v>
      </c>
      <c r="L428" s="28">
        <v>672</v>
      </c>
      <c r="M428" s="29">
        <v>3156</v>
      </c>
      <c r="N428" s="31">
        <v>251</v>
      </c>
      <c r="O428" s="31">
        <v>475</v>
      </c>
      <c r="P428" s="31">
        <v>862.26</v>
      </c>
      <c r="Q428" s="28">
        <v>155</v>
      </c>
      <c r="R428" s="29">
        <v>7340</v>
      </c>
      <c r="S428" s="29">
        <v>26171</v>
      </c>
      <c r="T428" s="28">
        <v>3</v>
      </c>
      <c r="U428" s="28">
        <v>10</v>
      </c>
      <c r="V428" s="28">
        <v>19</v>
      </c>
      <c r="W428" s="30">
        <v>46275.625</v>
      </c>
      <c r="X428" s="32"/>
      <c r="Y428" s="28">
        <v>0</v>
      </c>
      <c r="Z428" s="33">
        <v>26598</v>
      </c>
      <c r="AA428">
        <v>224</v>
      </c>
      <c r="AB428" s="18">
        <v>0.89243027888446214</v>
      </c>
      <c r="AC428" s="19">
        <v>1.8924302788844622</v>
      </c>
      <c r="AD428" s="19">
        <v>1.1052631578947367</v>
      </c>
      <c r="AE428" s="19">
        <v>1.2280701754385965</v>
      </c>
    </row>
    <row r="429" spans="1:31">
      <c r="A429">
        <v>433</v>
      </c>
      <c r="B429" t="s">
        <v>158</v>
      </c>
      <c r="C429" t="s">
        <v>124</v>
      </c>
      <c r="D429" t="s">
        <v>159</v>
      </c>
      <c r="E429" s="37">
        <v>46095</v>
      </c>
      <c r="F429" s="21" t="s">
        <v>160</v>
      </c>
      <c r="G429" s="21" t="s">
        <v>315</v>
      </c>
      <c r="H429" s="21" t="s">
        <v>113</v>
      </c>
      <c r="I429" s="22">
        <v>70240</v>
      </c>
      <c r="J429" s="21" t="s">
        <v>114</v>
      </c>
      <c r="K429" s="23">
        <v>46191.5</v>
      </c>
      <c r="L429" s="21">
        <v>776</v>
      </c>
      <c r="M429" s="22">
        <v>3586</v>
      </c>
      <c r="N429" s="24">
        <v>436.72</v>
      </c>
      <c r="O429" s="24">
        <v>699.13</v>
      </c>
      <c r="P429" s="24">
        <v>1185.02</v>
      </c>
      <c r="Q429" s="21">
        <v>51</v>
      </c>
      <c r="R429" s="22">
        <v>3670</v>
      </c>
      <c r="S429" s="22">
        <v>16171</v>
      </c>
      <c r="T429" s="21">
        <v>0</v>
      </c>
      <c r="U429" s="21">
        <v>7</v>
      </c>
      <c r="V429" s="21">
        <v>11</v>
      </c>
      <c r="W429" s="23">
        <v>46275.5</v>
      </c>
      <c r="X429" s="25"/>
      <c r="Y429" s="21">
        <v>0</v>
      </c>
      <c r="Z429" s="26">
        <v>16500</v>
      </c>
      <c r="AA429">
        <v>262.40999999999997</v>
      </c>
      <c r="AB429" s="18">
        <v>0.60086554313976903</v>
      </c>
      <c r="AC429" s="19">
        <v>1.6008655431397691</v>
      </c>
      <c r="AD429" s="19">
        <v>0</v>
      </c>
      <c r="AE429" s="19">
        <v>1.4848484848484849</v>
      </c>
    </row>
    <row r="430" spans="1:31">
      <c r="A430">
        <v>434</v>
      </c>
      <c r="B430" t="s">
        <v>161</v>
      </c>
      <c r="C430" t="s">
        <v>162</v>
      </c>
      <c r="D430" t="s">
        <v>159</v>
      </c>
      <c r="E430" s="36">
        <v>46095</v>
      </c>
      <c r="F430" s="28" t="s">
        <v>163</v>
      </c>
      <c r="G430" s="28" t="s">
        <v>314</v>
      </c>
      <c r="H430" s="28" t="s">
        <v>164</v>
      </c>
      <c r="I430" s="29">
        <v>54500</v>
      </c>
      <c r="J430" s="28" t="s">
        <v>165</v>
      </c>
      <c r="K430" s="30">
        <v>46191.625</v>
      </c>
      <c r="L430" s="28">
        <v>599</v>
      </c>
      <c r="M430" s="29">
        <v>2904</v>
      </c>
      <c r="N430" s="31">
        <v>464.94</v>
      </c>
      <c r="O430" s="31">
        <v>870</v>
      </c>
      <c r="P430" s="31">
        <v>1230.3900000000001</v>
      </c>
      <c r="Q430" s="28">
        <v>146</v>
      </c>
      <c r="R430" s="29">
        <v>7710</v>
      </c>
      <c r="S430" s="29">
        <v>27900</v>
      </c>
      <c r="T430" s="28">
        <v>1</v>
      </c>
      <c r="U430" s="28">
        <v>8</v>
      </c>
      <c r="V430" s="28">
        <v>27</v>
      </c>
      <c r="W430" s="30">
        <v>46275.375</v>
      </c>
      <c r="X430" s="32"/>
      <c r="Y430" s="28">
        <v>0</v>
      </c>
      <c r="Z430" s="33">
        <v>28330</v>
      </c>
      <c r="AA430">
        <v>405.06</v>
      </c>
      <c r="AB430" s="18">
        <v>0.87120918828235905</v>
      </c>
      <c r="AC430" s="19">
        <v>1.8712091882823589</v>
      </c>
      <c r="AD430" s="19">
        <v>0.25925925925925924</v>
      </c>
      <c r="AE430" s="19">
        <v>0.69135802469135799</v>
      </c>
    </row>
    <row r="431" spans="1:31">
      <c r="A431">
        <v>435</v>
      </c>
      <c r="B431" t="s">
        <v>51</v>
      </c>
      <c r="C431" t="s">
        <v>133</v>
      </c>
      <c r="D431" t="s">
        <v>53</v>
      </c>
      <c r="E431" s="37">
        <v>46095</v>
      </c>
      <c r="F431" s="21" t="s">
        <v>166</v>
      </c>
      <c r="G431" s="21" t="s">
        <v>314</v>
      </c>
      <c r="H431" s="21" t="s">
        <v>135</v>
      </c>
      <c r="I431" s="22">
        <v>49800</v>
      </c>
      <c r="J431" s="21" t="s">
        <v>136</v>
      </c>
      <c r="K431" s="23">
        <v>46191.833333333336</v>
      </c>
      <c r="L431" s="21">
        <v>449</v>
      </c>
      <c r="M431" s="22">
        <v>3093</v>
      </c>
      <c r="N431" s="24">
        <v>1275.3800000000001</v>
      </c>
      <c r="O431" s="24">
        <v>2475</v>
      </c>
      <c r="P431" s="24">
        <v>4002</v>
      </c>
      <c r="Q431" s="21">
        <v>180</v>
      </c>
      <c r="R431" s="22">
        <v>9574</v>
      </c>
      <c r="S431" s="22">
        <v>32006</v>
      </c>
      <c r="T431" s="21">
        <v>2</v>
      </c>
      <c r="U431" s="21">
        <v>9</v>
      </c>
      <c r="V431" s="21">
        <v>21</v>
      </c>
      <c r="W431" s="23">
        <v>46275.541666666664</v>
      </c>
      <c r="X431" s="25"/>
      <c r="Y431" s="21">
        <v>0</v>
      </c>
      <c r="Z431" s="26">
        <v>32468</v>
      </c>
      <c r="AA431">
        <v>1199.6199999999999</v>
      </c>
      <c r="AB431" s="18">
        <v>0.94059809625366542</v>
      </c>
      <c r="AC431" s="19">
        <v>1.9405980962536653</v>
      </c>
      <c r="AD431" s="19">
        <v>0.66666666666666663</v>
      </c>
      <c r="AE431" s="19">
        <v>1</v>
      </c>
    </row>
    <row r="432" spans="1:31">
      <c r="A432">
        <v>436</v>
      </c>
      <c r="B432" t="s">
        <v>167</v>
      </c>
      <c r="C432" t="s">
        <v>168</v>
      </c>
      <c r="D432" t="s">
        <v>169</v>
      </c>
      <c r="E432" s="36">
        <v>46095</v>
      </c>
      <c r="F432" s="28" t="s">
        <v>170</v>
      </c>
      <c r="G432" s="28" t="s">
        <v>315</v>
      </c>
      <c r="H432" s="28" t="s">
        <v>171</v>
      </c>
      <c r="I432" s="29">
        <v>69176</v>
      </c>
      <c r="J432" s="28" t="s">
        <v>172</v>
      </c>
      <c r="K432" s="30">
        <v>46192.875</v>
      </c>
      <c r="L432" s="28">
        <v>806</v>
      </c>
      <c r="M432" s="29">
        <v>3864</v>
      </c>
      <c r="N432" s="31">
        <v>675.61</v>
      </c>
      <c r="O432" s="31">
        <v>1032.98</v>
      </c>
      <c r="P432" s="31">
        <v>1502.62</v>
      </c>
      <c r="Q432" s="28">
        <v>171</v>
      </c>
      <c r="R432" s="29">
        <v>9707</v>
      </c>
      <c r="S432" s="29">
        <v>32711</v>
      </c>
      <c r="T432" s="28">
        <v>5</v>
      </c>
      <c r="U432" s="28">
        <v>14</v>
      </c>
      <c r="V432" s="28">
        <v>30</v>
      </c>
      <c r="W432" s="30">
        <v>46275.625</v>
      </c>
      <c r="X432" s="32"/>
      <c r="Y432" s="28">
        <v>0</v>
      </c>
      <c r="Z432" s="33">
        <v>33195</v>
      </c>
      <c r="AA432">
        <v>357.37</v>
      </c>
      <c r="AB432" s="18">
        <v>0.52895901481624008</v>
      </c>
      <c r="AC432" s="19">
        <v>1.5289590148162402</v>
      </c>
      <c r="AD432" s="19">
        <v>1.1666666666666667</v>
      </c>
      <c r="AE432" s="19">
        <v>1.088888888888889</v>
      </c>
    </row>
    <row r="433" spans="1:31">
      <c r="A433">
        <v>437</v>
      </c>
      <c r="B433" t="s">
        <v>174</v>
      </c>
      <c r="C433" t="s">
        <v>175</v>
      </c>
      <c r="D433" t="s">
        <v>169</v>
      </c>
      <c r="E433" s="37">
        <v>46095</v>
      </c>
      <c r="F433" s="21" t="s">
        <v>176</v>
      </c>
      <c r="G433" s="21" t="s">
        <v>315</v>
      </c>
      <c r="H433" s="21" t="s">
        <v>127</v>
      </c>
      <c r="I433" s="22">
        <v>68756</v>
      </c>
      <c r="J433" s="21" t="s">
        <v>128</v>
      </c>
      <c r="K433" s="23">
        <v>46192.75</v>
      </c>
      <c r="L433" s="21">
        <v>742</v>
      </c>
      <c r="M433" s="22">
        <v>3492</v>
      </c>
      <c r="N433" s="24">
        <v>572.34</v>
      </c>
      <c r="O433" s="24">
        <v>900</v>
      </c>
      <c r="P433" s="24">
        <v>1372.5</v>
      </c>
      <c r="Q433" s="21">
        <v>56</v>
      </c>
      <c r="R433" s="22">
        <v>3865</v>
      </c>
      <c r="S433" s="22">
        <v>16468</v>
      </c>
      <c r="T433" s="21">
        <v>3</v>
      </c>
      <c r="U433" s="21">
        <v>11</v>
      </c>
      <c r="V433" s="21">
        <v>23</v>
      </c>
      <c r="W433" s="23">
        <v>46275.625</v>
      </c>
      <c r="X433" s="25"/>
      <c r="Y433" s="21">
        <v>0</v>
      </c>
      <c r="Z433" s="26">
        <v>16800</v>
      </c>
      <c r="AA433">
        <v>327.65999999999997</v>
      </c>
      <c r="AB433" s="18">
        <v>0.57249187545864333</v>
      </c>
      <c r="AC433" s="19">
        <v>1.5724918754586434</v>
      </c>
      <c r="AD433" s="19">
        <v>0.91304347826086962</v>
      </c>
      <c r="AE433" s="19">
        <v>1.1159420289855073</v>
      </c>
    </row>
    <row r="434" spans="1:31">
      <c r="A434">
        <v>438</v>
      </c>
      <c r="B434" t="s">
        <v>124</v>
      </c>
      <c r="C434" t="s">
        <v>177</v>
      </c>
      <c r="D434" t="s">
        <v>178</v>
      </c>
      <c r="E434" s="36">
        <v>46095</v>
      </c>
      <c r="F434" s="28" t="s">
        <v>179</v>
      </c>
      <c r="G434" s="28" t="s">
        <v>315</v>
      </c>
      <c r="H434" s="28" t="s">
        <v>140</v>
      </c>
      <c r="I434" s="29">
        <v>75000</v>
      </c>
      <c r="J434" s="28" t="s">
        <v>141</v>
      </c>
      <c r="K434" s="30">
        <v>46192.875</v>
      </c>
      <c r="L434" s="28">
        <v>670</v>
      </c>
      <c r="M434" s="29">
        <v>3092</v>
      </c>
      <c r="N434" s="31">
        <v>241.96</v>
      </c>
      <c r="O434" s="31">
        <v>539.04999999999995</v>
      </c>
      <c r="P434" s="31">
        <v>965.7</v>
      </c>
      <c r="Q434" s="28">
        <v>137</v>
      </c>
      <c r="R434" s="29">
        <v>7391</v>
      </c>
      <c r="S434" s="29">
        <v>26274</v>
      </c>
      <c r="T434" s="28">
        <v>2</v>
      </c>
      <c r="U434" s="28">
        <v>14</v>
      </c>
      <c r="V434" s="28">
        <v>29</v>
      </c>
      <c r="W434" s="30">
        <v>46275.5</v>
      </c>
      <c r="X434" s="32"/>
      <c r="Y434" s="28">
        <v>0</v>
      </c>
      <c r="Z434" s="33">
        <v>26690</v>
      </c>
      <c r="AA434">
        <v>297.08999999999992</v>
      </c>
      <c r="AB434" s="18">
        <v>1.2278475781120843</v>
      </c>
      <c r="AC434" s="19">
        <v>2.2278475781120846</v>
      </c>
      <c r="AD434" s="19">
        <v>0.48275862068965514</v>
      </c>
      <c r="AE434" s="19">
        <v>1.1264367816091954</v>
      </c>
    </row>
    <row r="435" spans="1:31">
      <c r="A435">
        <v>439</v>
      </c>
      <c r="B435" t="s">
        <v>180</v>
      </c>
      <c r="C435" t="s">
        <v>181</v>
      </c>
      <c r="D435" t="s">
        <v>178</v>
      </c>
      <c r="E435" s="37">
        <v>46095</v>
      </c>
      <c r="F435" s="21" t="s">
        <v>182</v>
      </c>
      <c r="G435" s="21" t="s">
        <v>315</v>
      </c>
      <c r="H435" s="21" t="s">
        <v>118</v>
      </c>
      <c r="I435" s="22">
        <v>67000</v>
      </c>
      <c r="J435" s="21" t="s">
        <v>119</v>
      </c>
      <c r="K435" s="23">
        <v>46192.5</v>
      </c>
      <c r="L435" s="21">
        <v>711</v>
      </c>
      <c r="M435" s="22">
        <v>3645</v>
      </c>
      <c r="N435" s="24">
        <v>1044</v>
      </c>
      <c r="O435" s="24">
        <v>1838.86</v>
      </c>
      <c r="P435" s="24">
        <v>3225.89</v>
      </c>
      <c r="Q435" s="21">
        <v>163</v>
      </c>
      <c r="R435" s="22">
        <v>9645</v>
      </c>
      <c r="S435" s="22">
        <v>32501</v>
      </c>
      <c r="T435" s="21">
        <v>5</v>
      </c>
      <c r="U435" s="21">
        <v>13</v>
      </c>
      <c r="V435" s="21">
        <v>28</v>
      </c>
      <c r="W435" s="23">
        <v>46275.5</v>
      </c>
      <c r="X435" s="25"/>
      <c r="Y435" s="21">
        <v>0</v>
      </c>
      <c r="Z435" s="26">
        <v>33011</v>
      </c>
      <c r="AA435">
        <v>794.8599999999999</v>
      </c>
      <c r="AB435" s="18">
        <v>0.76136015325670492</v>
      </c>
      <c r="AC435" s="19">
        <v>1.7613601532567049</v>
      </c>
      <c r="AD435" s="19">
        <v>1.25</v>
      </c>
      <c r="AE435" s="19">
        <v>1.0833333333333333</v>
      </c>
    </row>
    <row r="436" spans="1:31">
      <c r="A436">
        <v>440</v>
      </c>
      <c r="B436" t="s">
        <v>58</v>
      </c>
      <c r="C436" t="s">
        <v>183</v>
      </c>
      <c r="D436" t="s">
        <v>60</v>
      </c>
      <c r="E436" s="36">
        <v>46095</v>
      </c>
      <c r="F436" s="28" t="s">
        <v>184</v>
      </c>
      <c r="G436" s="28" t="s">
        <v>314</v>
      </c>
      <c r="H436" s="28" t="s">
        <v>146</v>
      </c>
      <c r="I436" s="29">
        <v>30000</v>
      </c>
      <c r="J436" s="28" t="s">
        <v>147</v>
      </c>
      <c r="K436" s="30">
        <v>46193.666666666664</v>
      </c>
      <c r="L436" s="28">
        <v>488</v>
      </c>
      <c r="M436" s="29">
        <v>2621</v>
      </c>
      <c r="N436" s="31">
        <v>605.02</v>
      </c>
      <c r="O436" s="31">
        <v>930.97</v>
      </c>
      <c r="P436" s="31">
        <v>1265</v>
      </c>
      <c r="Q436" s="28">
        <v>186</v>
      </c>
      <c r="R436" s="29">
        <v>9941</v>
      </c>
      <c r="S436" s="29">
        <v>34856</v>
      </c>
      <c r="T436" s="28">
        <v>3</v>
      </c>
      <c r="U436" s="28">
        <v>11</v>
      </c>
      <c r="V436" s="28">
        <v>25</v>
      </c>
      <c r="W436" s="30">
        <v>46275.5</v>
      </c>
      <c r="X436" s="32"/>
      <c r="Y436" s="28">
        <v>0</v>
      </c>
      <c r="Z436" s="33">
        <v>35374</v>
      </c>
      <c r="AA436">
        <v>325.95000000000005</v>
      </c>
      <c r="AB436" s="18">
        <v>0.5387425209083998</v>
      </c>
      <c r="AC436" s="19">
        <v>1.5387425209083998</v>
      </c>
      <c r="AD436" s="19">
        <v>0.84</v>
      </c>
      <c r="AE436" s="19">
        <v>1.0266666666666666</v>
      </c>
    </row>
    <row r="437" spans="1:31">
      <c r="A437">
        <v>441</v>
      </c>
      <c r="B437" t="s">
        <v>185</v>
      </c>
      <c r="C437" t="s">
        <v>59</v>
      </c>
      <c r="D437" t="s">
        <v>60</v>
      </c>
      <c r="E437" s="37">
        <v>46095</v>
      </c>
      <c r="F437" s="21" t="s">
        <v>186</v>
      </c>
      <c r="G437" s="21" t="s">
        <v>315</v>
      </c>
      <c r="H437" s="21" t="s">
        <v>68</v>
      </c>
      <c r="I437" s="22">
        <v>76416</v>
      </c>
      <c r="J437" s="21" t="s">
        <v>69</v>
      </c>
      <c r="K437" s="23">
        <v>46193.791666666664</v>
      </c>
      <c r="L437" s="21">
        <v>710</v>
      </c>
      <c r="M437" s="22">
        <v>3165</v>
      </c>
      <c r="N437" s="24">
        <v>304.99</v>
      </c>
      <c r="O437" s="24">
        <v>528.12</v>
      </c>
      <c r="P437" s="24">
        <v>808.8</v>
      </c>
      <c r="Q437" s="21">
        <v>139</v>
      </c>
      <c r="R437" s="22">
        <v>7464</v>
      </c>
      <c r="S437" s="22">
        <v>26724</v>
      </c>
      <c r="T437" s="21">
        <v>3</v>
      </c>
      <c r="U437" s="21">
        <v>9</v>
      </c>
      <c r="V437" s="21">
        <v>32</v>
      </c>
      <c r="W437" s="23">
        <v>46275.583333333336</v>
      </c>
      <c r="X437" s="25"/>
      <c r="Y437" s="21">
        <v>0</v>
      </c>
      <c r="Z437" s="26">
        <v>27134</v>
      </c>
      <c r="AA437">
        <v>223.13</v>
      </c>
      <c r="AB437" s="18">
        <v>0.73159775730351806</v>
      </c>
      <c r="AC437" s="19">
        <v>1.7315977573035182</v>
      </c>
      <c r="AD437" s="19">
        <v>0.65625</v>
      </c>
      <c r="AE437" s="19">
        <v>0.65625</v>
      </c>
    </row>
    <row r="438" spans="1:31">
      <c r="A438">
        <v>442</v>
      </c>
      <c r="B438" t="s">
        <v>93</v>
      </c>
      <c r="C438" t="s">
        <v>97</v>
      </c>
      <c r="D438" t="s">
        <v>95</v>
      </c>
      <c r="E438" s="36">
        <v>46095</v>
      </c>
      <c r="F438" s="28" t="s">
        <v>187</v>
      </c>
      <c r="G438" s="28" t="s">
        <v>315</v>
      </c>
      <c r="H438" s="28" t="s">
        <v>62</v>
      </c>
      <c r="I438" s="29">
        <v>71500</v>
      </c>
      <c r="J438" s="28" t="s">
        <v>63</v>
      </c>
      <c r="K438" s="30">
        <v>46193.5</v>
      </c>
      <c r="L438" s="28">
        <v>673</v>
      </c>
      <c r="M438" s="29">
        <v>3140</v>
      </c>
      <c r="N438" s="31">
        <v>377.48</v>
      </c>
      <c r="O438" s="31">
        <v>705</v>
      </c>
      <c r="P438" s="31">
        <v>1131.92</v>
      </c>
      <c r="Q438" s="28">
        <v>161</v>
      </c>
      <c r="R438" s="29">
        <v>7452</v>
      </c>
      <c r="S438" s="29">
        <v>26376</v>
      </c>
      <c r="T438" s="28">
        <v>7</v>
      </c>
      <c r="U438" s="28">
        <v>11</v>
      </c>
      <c r="V438" s="28">
        <v>17</v>
      </c>
      <c r="W438" s="30">
        <v>46275.583333333336</v>
      </c>
      <c r="X438" s="32"/>
      <c r="Y438" s="28">
        <v>0</v>
      </c>
      <c r="Z438" s="33">
        <v>26794</v>
      </c>
      <c r="AA438">
        <v>327.52</v>
      </c>
      <c r="AB438" s="18">
        <v>0.86764861714527908</v>
      </c>
      <c r="AC438" s="19">
        <v>1.8676486171452791</v>
      </c>
      <c r="AD438" s="19">
        <v>2.882352941176471</v>
      </c>
      <c r="AE438" s="19">
        <v>1.5098039215686274</v>
      </c>
    </row>
    <row r="439" spans="1:31">
      <c r="A439">
        <v>443</v>
      </c>
      <c r="B439" t="s">
        <v>98</v>
      </c>
      <c r="C439" t="s">
        <v>94</v>
      </c>
      <c r="D439" t="s">
        <v>95</v>
      </c>
      <c r="E439" s="37">
        <v>46095</v>
      </c>
      <c r="F439" s="21" t="s">
        <v>188</v>
      </c>
      <c r="G439" s="21" t="s">
        <v>314</v>
      </c>
      <c r="H439" s="21" t="s">
        <v>100</v>
      </c>
      <c r="I439" s="22">
        <v>52237</v>
      </c>
      <c r="J439" s="21" t="s">
        <v>101</v>
      </c>
      <c r="K439" s="23">
        <v>46193.958333333336</v>
      </c>
      <c r="L439" s="21">
        <v>391</v>
      </c>
      <c r="M439" s="22">
        <v>1853</v>
      </c>
      <c r="N439" s="24">
        <v>221.95</v>
      </c>
      <c r="O439" s="24">
        <v>352.74</v>
      </c>
      <c r="P439" s="24">
        <v>531</v>
      </c>
      <c r="Q439" s="21">
        <v>182</v>
      </c>
      <c r="R439" s="22">
        <v>8629</v>
      </c>
      <c r="S439" s="22">
        <v>29244</v>
      </c>
      <c r="T439" s="21">
        <v>1</v>
      </c>
      <c r="U439" s="21">
        <v>7</v>
      </c>
      <c r="V439" s="21">
        <v>23</v>
      </c>
      <c r="W439" s="23">
        <v>46275.541666666664</v>
      </c>
      <c r="X439" s="25"/>
      <c r="Y439" s="21">
        <v>0</v>
      </c>
      <c r="Z439" s="26">
        <v>29720</v>
      </c>
      <c r="AA439">
        <v>130.79000000000002</v>
      </c>
      <c r="AB439" s="18">
        <v>0.58927686415859437</v>
      </c>
      <c r="AC439" s="19">
        <v>1.5892768641585944</v>
      </c>
      <c r="AD439" s="19">
        <v>0.30434782608695654</v>
      </c>
      <c r="AE439" s="19">
        <v>0.71014492753623193</v>
      </c>
    </row>
    <row r="440" spans="1:31">
      <c r="A440">
        <v>444</v>
      </c>
      <c r="B440" t="s">
        <v>103</v>
      </c>
      <c r="C440" t="s">
        <v>107</v>
      </c>
      <c r="D440" t="s">
        <v>104</v>
      </c>
      <c r="E440" s="36">
        <v>46095</v>
      </c>
      <c r="F440" s="28" t="s">
        <v>189</v>
      </c>
      <c r="G440" s="28" t="s">
        <v>315</v>
      </c>
      <c r="H440" s="28" t="s">
        <v>85</v>
      </c>
      <c r="I440" s="29">
        <v>76100</v>
      </c>
      <c r="J440" s="28" t="s">
        <v>86</v>
      </c>
      <c r="K440" s="30">
        <v>46194.75</v>
      </c>
      <c r="L440" s="28">
        <v>867</v>
      </c>
      <c r="M440" s="29">
        <v>3691</v>
      </c>
      <c r="N440" s="31">
        <v>253.11</v>
      </c>
      <c r="O440" s="31">
        <v>422.31</v>
      </c>
      <c r="P440" s="31">
        <v>678.3</v>
      </c>
      <c r="Q440" s="28">
        <v>168</v>
      </c>
      <c r="R440" s="29">
        <v>8777</v>
      </c>
      <c r="S440" s="29">
        <v>30905</v>
      </c>
      <c r="T440" s="28">
        <v>4</v>
      </c>
      <c r="U440" s="28">
        <v>10</v>
      </c>
      <c r="V440" s="28">
        <v>24</v>
      </c>
      <c r="W440" s="30">
        <v>46275.625</v>
      </c>
      <c r="X440" s="32"/>
      <c r="Y440" s="28">
        <v>0</v>
      </c>
      <c r="Z440" s="33">
        <v>31395</v>
      </c>
      <c r="AA440">
        <v>169.2</v>
      </c>
      <c r="AB440" s="18">
        <v>0.6684840583145667</v>
      </c>
      <c r="AC440" s="19">
        <v>1.6684840583145668</v>
      </c>
      <c r="AD440" s="19">
        <v>1.1666666666666667</v>
      </c>
      <c r="AE440" s="19">
        <v>0.97222222222222232</v>
      </c>
    </row>
    <row r="441" spans="1:31">
      <c r="A441">
        <v>445</v>
      </c>
      <c r="B441" t="s">
        <v>106</v>
      </c>
      <c r="C441" t="s">
        <v>102</v>
      </c>
      <c r="D441" t="s">
        <v>104</v>
      </c>
      <c r="E441" s="37">
        <v>46095</v>
      </c>
      <c r="F441" s="21" t="s">
        <v>190</v>
      </c>
      <c r="G441" s="21" t="s">
        <v>315</v>
      </c>
      <c r="H441" s="21" t="s">
        <v>79</v>
      </c>
      <c r="I441" s="22">
        <v>71000</v>
      </c>
      <c r="J441" s="21" t="s">
        <v>80</v>
      </c>
      <c r="K441" s="23">
        <v>46194.5</v>
      </c>
      <c r="L441" s="21">
        <v>746</v>
      </c>
      <c r="M441" s="22">
        <v>3552</v>
      </c>
      <c r="N441" s="24">
        <v>359.1</v>
      </c>
      <c r="O441" s="24">
        <v>665.48</v>
      </c>
      <c r="P441" s="24">
        <v>1056.1099999999999</v>
      </c>
      <c r="Q441" s="21">
        <v>138</v>
      </c>
      <c r="R441" s="22">
        <v>7925</v>
      </c>
      <c r="S441" s="22">
        <v>27964</v>
      </c>
      <c r="T441" s="21">
        <v>7</v>
      </c>
      <c r="U441" s="21">
        <v>25</v>
      </c>
      <c r="V441" s="21">
        <v>56</v>
      </c>
      <c r="W441" s="23">
        <v>46275.625</v>
      </c>
      <c r="X441" s="25"/>
      <c r="Y441" s="21">
        <v>0</v>
      </c>
      <c r="Z441" s="26">
        <v>28391</v>
      </c>
      <c r="AA441">
        <v>306.38</v>
      </c>
      <c r="AB441" s="18">
        <v>0.85318852687273738</v>
      </c>
      <c r="AC441" s="19">
        <v>1.8531885268727373</v>
      </c>
      <c r="AD441" s="19">
        <v>0.875</v>
      </c>
      <c r="AE441" s="19">
        <v>1.0416666666666667</v>
      </c>
    </row>
    <row r="442" spans="1:31">
      <c r="A442">
        <v>446</v>
      </c>
      <c r="B442" t="s">
        <v>115</v>
      </c>
      <c r="C442" t="s">
        <v>109</v>
      </c>
      <c r="D442" t="s">
        <v>111</v>
      </c>
      <c r="E442" s="36">
        <v>46095</v>
      </c>
      <c r="F442" s="28" t="s">
        <v>191</v>
      </c>
      <c r="G442" s="28" t="s">
        <v>315</v>
      </c>
      <c r="H442" s="28" t="s">
        <v>113</v>
      </c>
      <c r="I442" s="29">
        <v>70240</v>
      </c>
      <c r="J442" s="28" t="s">
        <v>114</v>
      </c>
      <c r="K442" s="30">
        <v>46194.5</v>
      </c>
      <c r="L442" s="29">
        <v>1068</v>
      </c>
      <c r="M442" s="29">
        <v>4387</v>
      </c>
      <c r="N442" s="31">
        <v>270</v>
      </c>
      <c r="O442" s="31">
        <v>561.6</v>
      </c>
      <c r="P442" s="31">
        <v>935.03</v>
      </c>
      <c r="Q442" s="28">
        <v>165</v>
      </c>
      <c r="R442" s="29">
        <v>8843</v>
      </c>
      <c r="S442" s="29">
        <v>30359</v>
      </c>
      <c r="T442" s="28">
        <v>2</v>
      </c>
      <c r="U442" s="28">
        <v>11</v>
      </c>
      <c r="V442" s="28">
        <v>32</v>
      </c>
      <c r="W442" s="30">
        <v>46275.5</v>
      </c>
      <c r="X442" s="32"/>
      <c r="Y442" s="28">
        <v>0</v>
      </c>
      <c r="Z442" s="33">
        <v>30807</v>
      </c>
      <c r="AA442">
        <v>291.60000000000002</v>
      </c>
      <c r="AB442" s="18">
        <v>1.08</v>
      </c>
      <c r="AC442" s="19">
        <v>2.08</v>
      </c>
      <c r="AD442" s="19">
        <v>0.4375</v>
      </c>
      <c r="AE442" s="19">
        <v>0.80208333333333337</v>
      </c>
    </row>
    <row r="443" spans="1:31">
      <c r="A443">
        <v>447</v>
      </c>
      <c r="B443" t="s">
        <v>110</v>
      </c>
      <c r="C443" t="s">
        <v>116</v>
      </c>
      <c r="D443" t="s">
        <v>111</v>
      </c>
      <c r="E443" s="37">
        <v>46095</v>
      </c>
      <c r="F443" s="21" t="s">
        <v>193</v>
      </c>
      <c r="G443" s="21" t="s">
        <v>314</v>
      </c>
      <c r="H443" s="21" t="s">
        <v>164</v>
      </c>
      <c r="I443" s="22">
        <v>54500</v>
      </c>
      <c r="J443" s="21" t="s">
        <v>165</v>
      </c>
      <c r="K443" s="23">
        <v>46194.75</v>
      </c>
      <c r="L443" s="21">
        <v>491</v>
      </c>
      <c r="M443" s="22">
        <v>2469</v>
      </c>
      <c r="N443" s="24">
        <v>285</v>
      </c>
      <c r="O443" s="24">
        <v>438.86</v>
      </c>
      <c r="P443" s="24">
        <v>810</v>
      </c>
      <c r="Q443" s="21">
        <v>162</v>
      </c>
      <c r="R443" s="22">
        <v>8660</v>
      </c>
      <c r="S443" s="22">
        <v>30578</v>
      </c>
      <c r="T443" s="21">
        <v>0</v>
      </c>
      <c r="U443" s="21">
        <v>4</v>
      </c>
      <c r="V443" s="21">
        <v>12</v>
      </c>
      <c r="W443" s="23">
        <v>46275.375</v>
      </c>
      <c r="X443" s="25"/>
      <c r="Y443" s="21">
        <v>0</v>
      </c>
      <c r="Z443" s="26">
        <v>31072</v>
      </c>
      <c r="AA443">
        <v>153.86000000000001</v>
      </c>
      <c r="AB443" s="18">
        <v>0.53985964912280704</v>
      </c>
      <c r="AC443" s="19">
        <v>1.5398596491228072</v>
      </c>
      <c r="AD443" s="19">
        <v>0</v>
      </c>
      <c r="AE443" s="19">
        <v>0.77777777777777779</v>
      </c>
    </row>
    <row r="444" spans="1:31">
      <c r="A444">
        <v>448</v>
      </c>
      <c r="B444" t="s">
        <v>125</v>
      </c>
      <c r="C444" t="s">
        <v>121</v>
      </c>
      <c r="D444" t="s">
        <v>122</v>
      </c>
      <c r="E444" s="36">
        <v>46095</v>
      </c>
      <c r="F444" s="28" t="s">
        <v>194</v>
      </c>
      <c r="G444" s="28" t="s">
        <v>315</v>
      </c>
      <c r="H444" s="28" t="s">
        <v>91</v>
      </c>
      <c r="I444" s="29">
        <v>82500</v>
      </c>
      <c r="J444" s="28" t="s">
        <v>92</v>
      </c>
      <c r="K444" s="30">
        <v>46195.833333333336</v>
      </c>
      <c r="L444" s="28">
        <v>765</v>
      </c>
      <c r="M444" s="29">
        <v>3389</v>
      </c>
      <c r="N444" s="31">
        <v>382.5</v>
      </c>
      <c r="O444" s="31">
        <v>636.04999999999995</v>
      </c>
      <c r="P444" s="31">
        <v>955.87</v>
      </c>
      <c r="Q444" s="28">
        <v>175</v>
      </c>
      <c r="R444" s="29">
        <v>9129</v>
      </c>
      <c r="S444" s="29">
        <v>31757</v>
      </c>
      <c r="T444" s="28">
        <v>4</v>
      </c>
      <c r="U444" s="28">
        <v>8</v>
      </c>
      <c r="V444" s="28">
        <v>24</v>
      </c>
      <c r="W444" s="30">
        <v>46275.625</v>
      </c>
      <c r="X444" s="32"/>
      <c r="Y444" s="28">
        <v>0</v>
      </c>
      <c r="Z444" s="33">
        <v>32229</v>
      </c>
      <c r="AA444">
        <v>253.54999999999995</v>
      </c>
      <c r="AB444" s="18">
        <v>0.66287581699346398</v>
      </c>
      <c r="AC444" s="19">
        <v>1.6628758169934639</v>
      </c>
      <c r="AD444" s="19">
        <v>1.1666666666666667</v>
      </c>
      <c r="AE444" s="19">
        <v>0.77777777777777779</v>
      </c>
    </row>
    <row r="445" spans="1:31">
      <c r="A445">
        <v>449</v>
      </c>
      <c r="B445" t="s">
        <v>120</v>
      </c>
      <c r="C445" t="s">
        <v>124</v>
      </c>
      <c r="D445" t="s">
        <v>122</v>
      </c>
      <c r="E445" s="37">
        <v>46095</v>
      </c>
      <c r="F445" s="21" t="s">
        <v>195</v>
      </c>
      <c r="G445" s="21" t="s">
        <v>315</v>
      </c>
      <c r="H445" s="21" t="s">
        <v>171</v>
      </c>
      <c r="I445" s="22">
        <v>69176</v>
      </c>
      <c r="J445" s="21" t="s">
        <v>172</v>
      </c>
      <c r="K445" s="23">
        <v>46195.708333333336</v>
      </c>
      <c r="L445" s="21">
        <v>787</v>
      </c>
      <c r="M445" s="22">
        <v>3356</v>
      </c>
      <c r="N445" s="24">
        <v>459.78</v>
      </c>
      <c r="O445" s="24">
        <v>685</v>
      </c>
      <c r="P445" s="24">
        <v>990.08</v>
      </c>
      <c r="Q445" s="21">
        <v>170</v>
      </c>
      <c r="R445" s="22">
        <v>8990</v>
      </c>
      <c r="S445" s="22">
        <v>30363</v>
      </c>
      <c r="T445" s="21">
        <v>4</v>
      </c>
      <c r="U445" s="21">
        <v>12</v>
      </c>
      <c r="V445" s="21">
        <v>40</v>
      </c>
      <c r="W445" s="23">
        <v>46275.625</v>
      </c>
      <c r="X445" s="25"/>
      <c r="Y445" s="21">
        <v>0</v>
      </c>
      <c r="Z445" s="26">
        <v>30805</v>
      </c>
      <c r="AA445">
        <v>225.22000000000003</v>
      </c>
      <c r="AB445" s="18">
        <v>0.48984296837618002</v>
      </c>
      <c r="AC445" s="19">
        <v>1.48984296837618</v>
      </c>
      <c r="AD445" s="19">
        <v>0.7</v>
      </c>
      <c r="AE445" s="19">
        <v>0.7</v>
      </c>
    </row>
    <row r="446" spans="1:31">
      <c r="A446">
        <v>450</v>
      </c>
      <c r="B446" t="s">
        <v>129</v>
      </c>
      <c r="C446" t="s">
        <v>137</v>
      </c>
      <c r="D446" t="s">
        <v>131</v>
      </c>
      <c r="E446" s="36">
        <v>46095</v>
      </c>
      <c r="F446" s="28" t="s">
        <v>196</v>
      </c>
      <c r="G446" s="28" t="s">
        <v>315</v>
      </c>
      <c r="H446" s="28" t="s">
        <v>74</v>
      </c>
      <c r="I446" s="29">
        <v>80000</v>
      </c>
      <c r="J446" s="28" t="s">
        <v>75</v>
      </c>
      <c r="K446" s="30">
        <v>46195.5</v>
      </c>
      <c r="L446" s="28">
        <v>727</v>
      </c>
      <c r="M446" s="29">
        <v>3922</v>
      </c>
      <c r="N446" s="31">
        <v>991.9</v>
      </c>
      <c r="O446" s="31">
        <v>1709.99</v>
      </c>
      <c r="P446" s="31">
        <v>3211.73</v>
      </c>
      <c r="Q446" s="28">
        <v>180</v>
      </c>
      <c r="R446" s="29">
        <v>9816</v>
      </c>
      <c r="S446" s="29">
        <v>32500</v>
      </c>
      <c r="T446" s="28">
        <v>2</v>
      </c>
      <c r="U446" s="28">
        <v>6</v>
      </c>
      <c r="V446" s="28">
        <v>20</v>
      </c>
      <c r="W446" s="30">
        <v>46275.583333333336</v>
      </c>
      <c r="X446" s="32"/>
      <c r="Y446" s="28">
        <v>0</v>
      </c>
      <c r="Z446" s="33">
        <v>32971</v>
      </c>
      <c r="AA446">
        <v>718.09</v>
      </c>
      <c r="AB446" s="18">
        <v>0.72395402762375249</v>
      </c>
      <c r="AC446" s="19">
        <v>1.7239540276237524</v>
      </c>
      <c r="AD446" s="19">
        <v>0.7</v>
      </c>
      <c r="AE446" s="19">
        <v>0.7</v>
      </c>
    </row>
    <row r="447" spans="1:31">
      <c r="A447">
        <v>451</v>
      </c>
      <c r="B447" t="s">
        <v>138</v>
      </c>
      <c r="C447" t="s">
        <v>130</v>
      </c>
      <c r="D447" t="s">
        <v>131</v>
      </c>
      <c r="E447" s="37">
        <v>46095</v>
      </c>
      <c r="F447" s="21" t="s">
        <v>197</v>
      </c>
      <c r="G447" s="21" t="s">
        <v>315</v>
      </c>
      <c r="H447" s="21" t="s">
        <v>140</v>
      </c>
      <c r="I447" s="22">
        <v>75000</v>
      </c>
      <c r="J447" s="21" t="s">
        <v>141</v>
      </c>
      <c r="K447" s="23">
        <v>46195.833333333336</v>
      </c>
      <c r="L447" s="21">
        <v>801</v>
      </c>
      <c r="M447" s="22">
        <v>3422</v>
      </c>
      <c r="N447" s="24">
        <v>180</v>
      </c>
      <c r="O447" s="24">
        <v>407.42</v>
      </c>
      <c r="P447" s="24">
        <v>681.59</v>
      </c>
      <c r="Q447" s="21">
        <v>161</v>
      </c>
      <c r="R447" s="22">
        <v>8649</v>
      </c>
      <c r="S447" s="22">
        <v>29093</v>
      </c>
      <c r="T447" s="21">
        <v>3</v>
      </c>
      <c r="U447" s="21">
        <v>7</v>
      </c>
      <c r="V447" s="21">
        <v>18</v>
      </c>
      <c r="W447" s="23">
        <v>46275.5</v>
      </c>
      <c r="X447" s="25"/>
      <c r="Y447" s="21">
        <v>0</v>
      </c>
      <c r="Z447" s="26">
        <v>29547</v>
      </c>
      <c r="AA447">
        <v>227.42000000000002</v>
      </c>
      <c r="AB447" s="18">
        <v>1.2634444444444446</v>
      </c>
      <c r="AC447" s="19">
        <v>2.2634444444444446</v>
      </c>
      <c r="AD447" s="19">
        <v>1.1666666666666665</v>
      </c>
      <c r="AE447" s="19">
        <v>0.90740740740740744</v>
      </c>
    </row>
    <row r="448" spans="1:31">
      <c r="A448">
        <v>452</v>
      </c>
      <c r="B448" t="s">
        <v>148</v>
      </c>
      <c r="C448" t="s">
        <v>142</v>
      </c>
      <c r="D448" t="s">
        <v>144</v>
      </c>
      <c r="E448" s="36">
        <v>46095</v>
      </c>
      <c r="F448" s="28" t="s">
        <v>198</v>
      </c>
      <c r="G448" s="28" t="s">
        <v>315</v>
      </c>
      <c r="H448" s="28" t="s">
        <v>127</v>
      </c>
      <c r="I448" s="29">
        <v>68756</v>
      </c>
      <c r="J448" s="28" t="s">
        <v>128</v>
      </c>
      <c r="K448" s="30">
        <v>46196.666666666664</v>
      </c>
      <c r="L448" s="28">
        <v>627</v>
      </c>
      <c r="M448" s="29">
        <v>2924</v>
      </c>
      <c r="N448" s="31">
        <v>644</v>
      </c>
      <c r="O448" s="31">
        <v>990</v>
      </c>
      <c r="P448" s="31">
        <v>1695.75</v>
      </c>
      <c r="Q448" s="28">
        <v>55</v>
      </c>
      <c r="R448" s="29">
        <v>3981</v>
      </c>
      <c r="S448" s="29">
        <v>18163</v>
      </c>
      <c r="T448" s="28">
        <v>6</v>
      </c>
      <c r="U448" s="28">
        <v>22</v>
      </c>
      <c r="V448" s="28">
        <v>37</v>
      </c>
      <c r="W448" s="30">
        <v>46275.625</v>
      </c>
      <c r="X448" s="32"/>
      <c r="Y448" s="28">
        <v>0</v>
      </c>
      <c r="Z448" s="33">
        <v>18528</v>
      </c>
      <c r="AA448">
        <v>346</v>
      </c>
      <c r="AB448" s="18">
        <v>0.53726708074534157</v>
      </c>
      <c r="AC448" s="19">
        <v>1.5372670807453417</v>
      </c>
      <c r="AD448" s="19">
        <v>1.1351351351351351</v>
      </c>
      <c r="AE448" s="19">
        <v>1.3873873873873874</v>
      </c>
    </row>
    <row r="449" spans="1:31">
      <c r="A449">
        <v>453</v>
      </c>
      <c r="B449" t="s">
        <v>143</v>
      </c>
      <c r="C449" t="s">
        <v>149</v>
      </c>
      <c r="D449" t="s">
        <v>144</v>
      </c>
      <c r="E449" s="37">
        <v>46095</v>
      </c>
      <c r="F449" s="21" t="s">
        <v>199</v>
      </c>
      <c r="G449" s="21" t="s">
        <v>314</v>
      </c>
      <c r="H449" s="21" t="s">
        <v>146</v>
      </c>
      <c r="I449" s="22">
        <v>30000</v>
      </c>
      <c r="J449" s="21" t="s">
        <v>147</v>
      </c>
      <c r="K449" s="23">
        <v>46196.791666666664</v>
      </c>
      <c r="L449" s="21">
        <v>555</v>
      </c>
      <c r="M449" s="22">
        <v>2463</v>
      </c>
      <c r="N449" s="24">
        <v>425.12</v>
      </c>
      <c r="O449" s="24">
        <v>613.09</v>
      </c>
      <c r="P449" s="24">
        <v>911.66</v>
      </c>
      <c r="Q449" s="21">
        <v>193</v>
      </c>
      <c r="R449" s="22">
        <v>10257</v>
      </c>
      <c r="S449" s="22">
        <v>34031</v>
      </c>
      <c r="T449" s="21">
        <v>4</v>
      </c>
      <c r="U449" s="21">
        <v>12</v>
      </c>
      <c r="V449" s="21">
        <v>37</v>
      </c>
      <c r="W449" s="23">
        <v>46275.5</v>
      </c>
      <c r="X449" s="25"/>
      <c r="Y449" s="21">
        <v>0</v>
      </c>
      <c r="Z449" s="26">
        <v>34549</v>
      </c>
      <c r="AA449">
        <v>187.97000000000003</v>
      </c>
      <c r="AB449" s="18">
        <v>0.44215750846819729</v>
      </c>
      <c r="AC449" s="19">
        <v>1.4421575084681972</v>
      </c>
      <c r="AD449" s="19">
        <v>0.7567567567567568</v>
      </c>
      <c r="AE449" s="19">
        <v>0.7567567567567568</v>
      </c>
    </row>
    <row r="450" spans="1:31">
      <c r="A450">
        <v>454</v>
      </c>
      <c r="B450" t="s">
        <v>151</v>
      </c>
      <c r="C450" t="s">
        <v>154</v>
      </c>
      <c r="D450" t="s">
        <v>152</v>
      </c>
      <c r="E450" s="36">
        <v>46095</v>
      </c>
      <c r="F450" s="28" t="s">
        <v>200</v>
      </c>
      <c r="G450" s="28" t="s">
        <v>315</v>
      </c>
      <c r="H450" s="28" t="s">
        <v>62</v>
      </c>
      <c r="I450" s="29">
        <v>71500</v>
      </c>
      <c r="J450" s="28" t="s">
        <v>63</v>
      </c>
      <c r="K450" s="30">
        <v>46196.5</v>
      </c>
      <c r="L450" s="28">
        <v>953</v>
      </c>
      <c r="M450" s="29">
        <v>4258</v>
      </c>
      <c r="N450" s="31">
        <v>500.88</v>
      </c>
      <c r="O450" s="31">
        <v>825</v>
      </c>
      <c r="P450" s="31">
        <v>1272.3699999999999</v>
      </c>
      <c r="Q450" s="28">
        <v>174</v>
      </c>
      <c r="R450" s="29">
        <v>9525</v>
      </c>
      <c r="S450" s="29">
        <v>33030</v>
      </c>
      <c r="T450" s="28">
        <v>4</v>
      </c>
      <c r="U450" s="28">
        <v>16</v>
      </c>
      <c r="V450" s="28">
        <v>33</v>
      </c>
      <c r="W450" s="30">
        <v>46275.583333333336</v>
      </c>
      <c r="X450" s="32"/>
      <c r="Y450" s="28">
        <v>0</v>
      </c>
      <c r="Z450" s="33">
        <v>33527</v>
      </c>
      <c r="AA450">
        <v>324.12</v>
      </c>
      <c r="AB450" s="18">
        <v>0.64710110206037375</v>
      </c>
      <c r="AC450" s="19">
        <v>1.6471011020603739</v>
      </c>
      <c r="AD450" s="19">
        <v>0.84848484848484851</v>
      </c>
      <c r="AE450" s="19">
        <v>1.1313131313131313</v>
      </c>
    </row>
    <row r="451" spans="1:31">
      <c r="A451">
        <v>455</v>
      </c>
      <c r="B451" t="s">
        <v>155</v>
      </c>
      <c r="C451" t="s">
        <v>124</v>
      </c>
      <c r="D451" t="s">
        <v>152</v>
      </c>
      <c r="E451" s="37">
        <v>46095</v>
      </c>
      <c r="F451" s="21" t="s">
        <v>201</v>
      </c>
      <c r="G451" s="21" t="s">
        <v>314</v>
      </c>
      <c r="H451" s="21" t="s">
        <v>135</v>
      </c>
      <c r="I451" s="22">
        <v>49800</v>
      </c>
      <c r="J451" s="21" t="s">
        <v>136</v>
      </c>
      <c r="K451" s="23">
        <v>46196.875</v>
      </c>
      <c r="L451" s="21">
        <v>386</v>
      </c>
      <c r="M451" s="22">
        <v>2023</v>
      </c>
      <c r="N451" s="24">
        <v>591.26</v>
      </c>
      <c r="O451" s="24">
        <v>890.98</v>
      </c>
      <c r="P451" s="24">
        <v>1356.49</v>
      </c>
      <c r="Q451" s="21">
        <v>164</v>
      </c>
      <c r="R451" s="22">
        <v>8591</v>
      </c>
      <c r="S451" s="22">
        <v>30637</v>
      </c>
      <c r="T451" s="21">
        <v>4</v>
      </c>
      <c r="U451" s="21">
        <v>11</v>
      </c>
      <c r="V451" s="21">
        <v>18</v>
      </c>
      <c r="W451" s="23">
        <v>46275.541666666664</v>
      </c>
      <c r="X451" s="25"/>
      <c r="Y451" s="21">
        <v>0</v>
      </c>
      <c r="Z451" s="26">
        <v>31132</v>
      </c>
      <c r="AA451">
        <v>299.72000000000003</v>
      </c>
      <c r="AB451" s="18">
        <v>0.50691743057199878</v>
      </c>
      <c r="AC451" s="19">
        <v>1.5069174305719988</v>
      </c>
      <c r="AD451" s="19">
        <v>1.5555555555555554</v>
      </c>
      <c r="AE451" s="19">
        <v>1.4259259259259258</v>
      </c>
    </row>
    <row r="452" spans="1:31">
      <c r="A452">
        <v>456</v>
      </c>
      <c r="B452" t="s">
        <v>174</v>
      </c>
      <c r="C452" t="s">
        <v>167</v>
      </c>
      <c r="D452" t="s">
        <v>169</v>
      </c>
      <c r="E452" s="36">
        <v>46095</v>
      </c>
      <c r="F452" s="28" t="s">
        <v>202</v>
      </c>
      <c r="G452" s="28" t="s">
        <v>315</v>
      </c>
      <c r="H452" s="28" t="s">
        <v>85</v>
      </c>
      <c r="I452" s="29">
        <v>76100</v>
      </c>
      <c r="J452" s="28" t="s">
        <v>86</v>
      </c>
      <c r="K452" s="30">
        <v>46197.75</v>
      </c>
      <c r="L452" s="28">
        <v>822</v>
      </c>
      <c r="M452" s="29">
        <v>4338</v>
      </c>
      <c r="N452" s="31">
        <v>1096.3800000000001</v>
      </c>
      <c r="O452" s="31">
        <v>1831.99</v>
      </c>
      <c r="P452" s="31">
        <v>3260.52</v>
      </c>
      <c r="Q452" s="28">
        <v>77</v>
      </c>
      <c r="R452" s="29">
        <v>4552</v>
      </c>
      <c r="S452" s="29">
        <v>19265</v>
      </c>
      <c r="T452" s="28">
        <v>2</v>
      </c>
      <c r="U452" s="28">
        <v>9</v>
      </c>
      <c r="V452" s="28">
        <v>30</v>
      </c>
      <c r="W452" s="30">
        <v>46275.625</v>
      </c>
      <c r="X452" s="32"/>
      <c r="Y452" s="28">
        <v>0</v>
      </c>
      <c r="Z452" s="33">
        <v>19625</v>
      </c>
      <c r="AA452">
        <v>735.6099999999999</v>
      </c>
      <c r="AB452" s="18">
        <v>0.67094438059796768</v>
      </c>
      <c r="AC452" s="19">
        <v>1.6709443805979678</v>
      </c>
      <c r="AD452" s="19">
        <v>0.46666666666666667</v>
      </c>
      <c r="AE452" s="19">
        <v>0.70000000000000007</v>
      </c>
    </row>
    <row r="453" spans="1:31">
      <c r="A453">
        <v>457</v>
      </c>
      <c r="B453" t="s">
        <v>175</v>
      </c>
      <c r="C453" t="s">
        <v>168</v>
      </c>
      <c r="D453" t="s">
        <v>169</v>
      </c>
      <c r="E453" s="37">
        <v>46095</v>
      </c>
      <c r="F453" s="21" t="s">
        <v>204</v>
      </c>
      <c r="G453" s="21" t="s">
        <v>315</v>
      </c>
      <c r="H453" s="21" t="s">
        <v>79</v>
      </c>
      <c r="I453" s="22">
        <v>71000</v>
      </c>
      <c r="J453" s="21" t="s">
        <v>80</v>
      </c>
      <c r="K453" s="23">
        <v>46197.75</v>
      </c>
      <c r="L453" s="21">
        <v>905</v>
      </c>
      <c r="M453" s="22">
        <v>3885</v>
      </c>
      <c r="N453" s="24">
        <v>240.85</v>
      </c>
      <c r="O453" s="24">
        <v>474.3</v>
      </c>
      <c r="P453" s="24">
        <v>760</v>
      </c>
      <c r="Q453" s="21">
        <v>141</v>
      </c>
      <c r="R453" s="22">
        <v>7345</v>
      </c>
      <c r="S453" s="22">
        <v>27588</v>
      </c>
      <c r="T453" s="21">
        <v>3</v>
      </c>
      <c r="U453" s="21">
        <v>15</v>
      </c>
      <c r="V453" s="21">
        <v>34</v>
      </c>
      <c r="W453" s="23">
        <v>46275.625</v>
      </c>
      <c r="X453" s="25"/>
      <c r="Y453" s="21">
        <v>0</v>
      </c>
      <c r="Z453" s="26">
        <v>28027</v>
      </c>
      <c r="AA453">
        <v>233.45000000000002</v>
      </c>
      <c r="AB453" s="18">
        <v>0.96927548266555952</v>
      </c>
      <c r="AC453" s="19">
        <v>1.9692754826655596</v>
      </c>
      <c r="AD453" s="19">
        <v>0.61764705882352944</v>
      </c>
      <c r="AE453" s="19">
        <v>1.0294117647058825</v>
      </c>
    </row>
    <row r="454" spans="1:31">
      <c r="A454">
        <v>458</v>
      </c>
      <c r="B454" t="s">
        <v>158</v>
      </c>
      <c r="C454" t="s">
        <v>161</v>
      </c>
      <c r="D454" t="s">
        <v>159</v>
      </c>
      <c r="E454" s="36">
        <v>46095</v>
      </c>
      <c r="F454" s="28" t="s">
        <v>205</v>
      </c>
      <c r="G454" s="28" t="s">
        <v>314</v>
      </c>
      <c r="H454" s="28" t="s">
        <v>164</v>
      </c>
      <c r="I454" s="29">
        <v>54500</v>
      </c>
      <c r="J454" s="28" t="s">
        <v>165</v>
      </c>
      <c r="K454" s="30">
        <v>46197.5</v>
      </c>
      <c r="L454" s="28">
        <v>698</v>
      </c>
      <c r="M454" s="29">
        <v>3246</v>
      </c>
      <c r="N454" s="31">
        <v>346.5</v>
      </c>
      <c r="O454" s="31">
        <v>855</v>
      </c>
      <c r="P454" s="31">
        <v>1250.6099999999999</v>
      </c>
      <c r="Q454" s="28">
        <v>185</v>
      </c>
      <c r="R454" s="29">
        <v>9154</v>
      </c>
      <c r="S454" s="29">
        <v>31825</v>
      </c>
      <c r="T454" s="28">
        <v>1</v>
      </c>
      <c r="U454" s="28">
        <v>6</v>
      </c>
      <c r="V454" s="28">
        <v>21</v>
      </c>
      <c r="W454" s="30">
        <v>46275.375</v>
      </c>
      <c r="X454" s="32"/>
      <c r="Y454" s="28">
        <v>0</v>
      </c>
      <c r="Z454" s="33">
        <v>32308</v>
      </c>
      <c r="AA454">
        <v>508.5</v>
      </c>
      <c r="AB454" s="18">
        <v>1.4675324675324675</v>
      </c>
      <c r="AC454" s="19">
        <v>2.4675324675324677</v>
      </c>
      <c r="AD454" s="19">
        <v>0.33333333333333331</v>
      </c>
      <c r="AE454" s="19">
        <v>0.66666666666666663</v>
      </c>
    </row>
    <row r="455" spans="1:31">
      <c r="A455">
        <v>459</v>
      </c>
      <c r="B455" t="s">
        <v>124</v>
      </c>
      <c r="C455" t="s">
        <v>162</v>
      </c>
      <c r="D455" t="s">
        <v>159</v>
      </c>
      <c r="E455" s="37">
        <v>46095</v>
      </c>
      <c r="F455" s="21" t="s">
        <v>206</v>
      </c>
      <c r="G455" s="21" t="s">
        <v>315</v>
      </c>
      <c r="H455" s="21" t="s">
        <v>118</v>
      </c>
      <c r="I455" s="22">
        <v>67000</v>
      </c>
      <c r="J455" s="21" t="s">
        <v>119</v>
      </c>
      <c r="K455" s="23">
        <v>46197.5</v>
      </c>
      <c r="L455" s="21">
        <v>593</v>
      </c>
      <c r="M455" s="22">
        <v>2778</v>
      </c>
      <c r="N455" s="24">
        <v>314.99</v>
      </c>
      <c r="O455" s="24">
        <v>570</v>
      </c>
      <c r="P455" s="24">
        <v>1164.17</v>
      </c>
      <c r="Q455" s="21">
        <v>52</v>
      </c>
      <c r="R455" s="22">
        <v>3273</v>
      </c>
      <c r="S455" s="22">
        <v>15969</v>
      </c>
      <c r="T455" s="21">
        <v>2</v>
      </c>
      <c r="U455" s="21">
        <v>4</v>
      </c>
      <c r="V455" s="21">
        <v>12</v>
      </c>
      <c r="W455" s="23">
        <v>46275.5</v>
      </c>
      <c r="X455" s="25"/>
      <c r="Y455" s="21">
        <v>0</v>
      </c>
      <c r="Z455" s="26">
        <v>16328</v>
      </c>
      <c r="AA455">
        <v>255.01</v>
      </c>
      <c r="AB455" s="18">
        <v>0.80958125654782687</v>
      </c>
      <c r="AC455" s="19">
        <v>1.8095812565478269</v>
      </c>
      <c r="AD455" s="19">
        <v>1.1666666666666667</v>
      </c>
      <c r="AE455" s="19">
        <v>0.77777777777777779</v>
      </c>
    </row>
    <row r="456" spans="1:31">
      <c r="A456">
        <v>460</v>
      </c>
      <c r="B456" t="s">
        <v>124</v>
      </c>
      <c r="C456" t="s">
        <v>51</v>
      </c>
      <c r="D456" t="s">
        <v>53</v>
      </c>
      <c r="E456" s="36">
        <v>46095</v>
      </c>
      <c r="F456" s="28" t="s">
        <v>207</v>
      </c>
      <c r="G456" s="28" t="s">
        <v>314</v>
      </c>
      <c r="H456" s="28" t="s">
        <v>56</v>
      </c>
      <c r="I456" s="29">
        <v>98500</v>
      </c>
      <c r="J456" s="28" t="s">
        <v>57</v>
      </c>
      <c r="K456" s="30">
        <v>46197.833333333336</v>
      </c>
      <c r="L456" s="28">
        <v>437</v>
      </c>
      <c r="M456" s="29">
        <v>2839</v>
      </c>
      <c r="N456" s="31">
        <v>1297.75</v>
      </c>
      <c r="O456" s="31">
        <v>2014.55</v>
      </c>
      <c r="P456" s="31">
        <v>3806.38</v>
      </c>
      <c r="Q456" s="28">
        <v>136</v>
      </c>
      <c r="R456" s="29">
        <v>7532</v>
      </c>
      <c r="S456" s="29">
        <v>27931</v>
      </c>
      <c r="T456" s="28">
        <v>1</v>
      </c>
      <c r="U456" s="28">
        <v>4</v>
      </c>
      <c r="V456" s="28">
        <v>10</v>
      </c>
      <c r="W456" s="30">
        <v>46275.541666666664</v>
      </c>
      <c r="X456" s="32"/>
      <c r="Y456" s="28">
        <v>0</v>
      </c>
      <c r="Z456" s="33">
        <v>28363</v>
      </c>
      <c r="AA456">
        <v>716.8</v>
      </c>
      <c r="AB456" s="18">
        <v>0.55234058948179543</v>
      </c>
      <c r="AC456" s="19">
        <v>1.5523405894817954</v>
      </c>
      <c r="AD456" s="19">
        <v>0.7</v>
      </c>
      <c r="AE456" s="19">
        <v>0.93333333333333324</v>
      </c>
    </row>
    <row r="457" spans="1:31">
      <c r="A457">
        <v>461</v>
      </c>
      <c r="B457" t="s">
        <v>52</v>
      </c>
      <c r="C457" t="s">
        <v>133</v>
      </c>
      <c r="D457" t="s">
        <v>53</v>
      </c>
      <c r="E457" s="37">
        <v>46095</v>
      </c>
      <c r="F457" s="21" t="s">
        <v>208</v>
      </c>
      <c r="G457" s="21" t="s">
        <v>314</v>
      </c>
      <c r="H457" s="21" t="s">
        <v>100</v>
      </c>
      <c r="I457" s="22">
        <v>52237</v>
      </c>
      <c r="J457" s="21" t="s">
        <v>101</v>
      </c>
      <c r="K457" s="23">
        <v>46197.833333333336</v>
      </c>
      <c r="L457" s="21">
        <v>379</v>
      </c>
      <c r="M457" s="22">
        <v>1849</v>
      </c>
      <c r="N457" s="24">
        <v>186.75</v>
      </c>
      <c r="O457" s="24">
        <v>299.81</v>
      </c>
      <c r="P457" s="24">
        <v>520</v>
      </c>
      <c r="Q457" s="21">
        <v>165</v>
      </c>
      <c r="R457" s="22">
        <v>8286</v>
      </c>
      <c r="S457" s="22">
        <v>29644</v>
      </c>
      <c r="T457" s="21">
        <v>1</v>
      </c>
      <c r="U457" s="21">
        <v>7</v>
      </c>
      <c r="V457" s="21">
        <v>13</v>
      </c>
      <c r="W457" s="23">
        <v>46275.541666666664</v>
      </c>
      <c r="X457" s="25"/>
      <c r="Y457" s="21">
        <v>0</v>
      </c>
      <c r="Z457" s="26">
        <v>30121</v>
      </c>
      <c r="AA457">
        <v>113.06</v>
      </c>
      <c r="AB457" s="18">
        <v>0.60540829986613121</v>
      </c>
      <c r="AC457" s="19">
        <v>1.6054082998661312</v>
      </c>
      <c r="AD457" s="19">
        <v>0.53846153846153844</v>
      </c>
      <c r="AE457" s="19">
        <v>1.2564102564102564</v>
      </c>
    </row>
    <row r="458" spans="1:31">
      <c r="A458">
        <v>462</v>
      </c>
      <c r="B458" t="s">
        <v>59</v>
      </c>
      <c r="C458" t="s">
        <v>183</v>
      </c>
      <c r="D458" t="s">
        <v>60</v>
      </c>
      <c r="E458" s="36">
        <v>46095</v>
      </c>
      <c r="F458" s="28" t="s">
        <v>209</v>
      </c>
      <c r="G458" s="28" t="s">
        <v>315</v>
      </c>
      <c r="H458" s="28" t="s">
        <v>171</v>
      </c>
      <c r="I458" s="29">
        <v>69176</v>
      </c>
      <c r="J458" s="28" t="s">
        <v>172</v>
      </c>
      <c r="K458" s="30">
        <v>46198.666666666664</v>
      </c>
      <c r="L458" s="28">
        <v>682</v>
      </c>
      <c r="M458" s="29">
        <v>3064</v>
      </c>
      <c r="N458" s="31">
        <v>223.2</v>
      </c>
      <c r="O458" s="31">
        <v>391.16</v>
      </c>
      <c r="P458" s="31">
        <v>809.26</v>
      </c>
      <c r="Q458" s="28">
        <v>158</v>
      </c>
      <c r="R458" s="29">
        <v>8383</v>
      </c>
      <c r="S458" s="29">
        <v>30071</v>
      </c>
      <c r="T458" s="28">
        <v>6</v>
      </c>
      <c r="U458" s="28">
        <v>8</v>
      </c>
      <c r="V458" s="28">
        <v>19</v>
      </c>
      <c r="W458" s="30">
        <v>46275.625</v>
      </c>
      <c r="X458" s="32"/>
      <c r="Y458" s="28">
        <v>0</v>
      </c>
      <c r="Z458" s="33">
        <v>30550</v>
      </c>
      <c r="AA458">
        <v>167.96000000000004</v>
      </c>
      <c r="AB458" s="18">
        <v>0.75250896057347694</v>
      </c>
      <c r="AC458" s="19">
        <v>1.7525089605734769</v>
      </c>
      <c r="AD458" s="19">
        <v>2.2105263157894735</v>
      </c>
      <c r="AE458" s="19">
        <v>0.98245614035087714</v>
      </c>
    </row>
    <row r="459" spans="1:31">
      <c r="A459">
        <v>463</v>
      </c>
      <c r="B459" t="s">
        <v>185</v>
      </c>
      <c r="C459" t="s">
        <v>58</v>
      </c>
      <c r="D459" t="s">
        <v>60</v>
      </c>
      <c r="E459" s="37">
        <v>46095</v>
      </c>
      <c r="F459" s="21" t="s">
        <v>210</v>
      </c>
      <c r="G459" s="21" t="s">
        <v>315</v>
      </c>
      <c r="H459" s="21" t="s">
        <v>91</v>
      </c>
      <c r="I459" s="22">
        <v>82500</v>
      </c>
      <c r="J459" s="21" t="s">
        <v>92</v>
      </c>
      <c r="K459" s="23">
        <v>46198.666666666664</v>
      </c>
      <c r="L459" s="21">
        <v>971</v>
      </c>
      <c r="M459" s="22">
        <v>4751</v>
      </c>
      <c r="N459" s="24">
        <v>776</v>
      </c>
      <c r="O459" s="24">
        <v>1333.8</v>
      </c>
      <c r="P459" s="24">
        <v>2351.8200000000002</v>
      </c>
      <c r="Q459" s="21">
        <v>167</v>
      </c>
      <c r="R459" s="22">
        <v>10005</v>
      </c>
      <c r="S459" s="22">
        <v>34340</v>
      </c>
      <c r="T459" s="21">
        <v>4</v>
      </c>
      <c r="U459" s="21">
        <v>12</v>
      </c>
      <c r="V459" s="21">
        <v>44</v>
      </c>
      <c r="W459" s="23">
        <v>46275.625</v>
      </c>
      <c r="X459" s="25"/>
      <c r="Y459" s="21">
        <v>0</v>
      </c>
      <c r="Z459" s="26">
        <v>34819</v>
      </c>
      <c r="AA459">
        <v>557.79999999999995</v>
      </c>
      <c r="AB459" s="18">
        <v>0.71881443298969061</v>
      </c>
      <c r="AC459" s="19">
        <v>1.7188144329896906</v>
      </c>
      <c r="AD459" s="19">
        <v>0.63636363636363635</v>
      </c>
      <c r="AE459" s="19">
        <v>0.63636363636363635</v>
      </c>
    </row>
    <row r="460" spans="1:31">
      <c r="A460">
        <v>464</v>
      </c>
      <c r="B460" t="s">
        <v>94</v>
      </c>
      <c r="C460" t="s">
        <v>124</v>
      </c>
      <c r="D460" t="s">
        <v>95</v>
      </c>
      <c r="E460" s="36">
        <v>46095</v>
      </c>
      <c r="F460" s="28" t="s">
        <v>211</v>
      </c>
      <c r="G460" s="28" t="s">
        <v>315</v>
      </c>
      <c r="H460" s="28" t="s">
        <v>74</v>
      </c>
      <c r="I460" s="29">
        <v>80000</v>
      </c>
      <c r="J460" s="28" t="s">
        <v>75</v>
      </c>
      <c r="K460" s="30">
        <v>46198.75</v>
      </c>
      <c r="L460" s="28">
        <v>566</v>
      </c>
      <c r="M460" s="29">
        <v>2658</v>
      </c>
      <c r="N460" s="31">
        <v>395.62</v>
      </c>
      <c r="O460" s="31">
        <v>671.37</v>
      </c>
      <c r="P460" s="31">
        <v>1059.68</v>
      </c>
      <c r="Q460" s="28">
        <v>143</v>
      </c>
      <c r="R460" s="29">
        <v>7223</v>
      </c>
      <c r="S460" s="29">
        <v>27117</v>
      </c>
      <c r="T460" s="28">
        <v>6</v>
      </c>
      <c r="U460" s="28">
        <v>13</v>
      </c>
      <c r="V460" s="28">
        <v>23</v>
      </c>
      <c r="W460" s="30">
        <v>46275.583333333336</v>
      </c>
      <c r="X460" s="32"/>
      <c r="Y460" s="28">
        <v>0</v>
      </c>
      <c r="Z460" s="33">
        <v>27563</v>
      </c>
      <c r="AA460">
        <v>275.75</v>
      </c>
      <c r="AB460" s="18">
        <v>0.69700722915929425</v>
      </c>
      <c r="AC460" s="19">
        <v>1.6970072291592944</v>
      </c>
      <c r="AD460" s="19">
        <v>1.8260869565217392</v>
      </c>
      <c r="AE460" s="19">
        <v>1.3188405797101448</v>
      </c>
    </row>
    <row r="461" spans="1:31">
      <c r="A461">
        <v>465</v>
      </c>
      <c r="B461" t="s">
        <v>98</v>
      </c>
      <c r="C461" t="s">
        <v>93</v>
      </c>
      <c r="D461" t="s">
        <v>95</v>
      </c>
      <c r="E461" s="37">
        <v>46095</v>
      </c>
      <c r="F461" s="21" t="s">
        <v>212</v>
      </c>
      <c r="G461" s="21" t="s">
        <v>315</v>
      </c>
      <c r="H461" s="21" t="s">
        <v>68</v>
      </c>
      <c r="I461" s="22">
        <v>76416</v>
      </c>
      <c r="J461" s="21" t="s">
        <v>69</v>
      </c>
      <c r="K461" s="23">
        <v>46198.75</v>
      </c>
      <c r="L461" s="21">
        <v>639</v>
      </c>
      <c r="M461" s="22">
        <v>2976</v>
      </c>
      <c r="N461" s="24">
        <v>321.58999999999997</v>
      </c>
      <c r="O461" s="24">
        <v>539.5</v>
      </c>
      <c r="P461" s="24">
        <v>1117.8</v>
      </c>
      <c r="Q461" s="21">
        <v>137</v>
      </c>
      <c r="R461" s="22">
        <v>7221</v>
      </c>
      <c r="S461" s="22">
        <v>27189</v>
      </c>
      <c r="T461" s="21">
        <v>3</v>
      </c>
      <c r="U461" s="21">
        <v>13</v>
      </c>
      <c r="V461" s="21">
        <v>21</v>
      </c>
      <c r="W461" s="23">
        <v>46275.583333333336</v>
      </c>
      <c r="X461" s="25"/>
      <c r="Y461" s="21">
        <v>0</v>
      </c>
      <c r="Z461" s="26">
        <v>27614</v>
      </c>
      <c r="AA461">
        <v>217.91000000000003</v>
      </c>
      <c r="AB461" s="18">
        <v>0.67760191548244675</v>
      </c>
      <c r="AC461" s="19">
        <v>1.6776019154824466</v>
      </c>
      <c r="AD461" s="19">
        <v>1</v>
      </c>
      <c r="AE461" s="19">
        <v>1.4444444444444444</v>
      </c>
    </row>
    <row r="462" spans="1:31">
      <c r="A462">
        <v>466</v>
      </c>
      <c r="B462" t="s">
        <v>124</v>
      </c>
      <c r="C462" t="s">
        <v>180</v>
      </c>
      <c r="D462" t="s">
        <v>178</v>
      </c>
      <c r="E462" s="36">
        <v>46095</v>
      </c>
      <c r="F462" s="28" t="s">
        <v>213</v>
      </c>
      <c r="G462" s="28" t="s">
        <v>315</v>
      </c>
      <c r="H462" s="28" t="s">
        <v>113</v>
      </c>
      <c r="I462" s="29">
        <v>70240</v>
      </c>
      <c r="J462" s="28" t="s">
        <v>114</v>
      </c>
      <c r="K462" s="30">
        <v>46198.791666666664</v>
      </c>
      <c r="L462" s="28">
        <v>675</v>
      </c>
      <c r="M462" s="29">
        <v>3142</v>
      </c>
      <c r="N462" s="31">
        <v>845.78</v>
      </c>
      <c r="O462" s="31">
        <v>1530.95</v>
      </c>
      <c r="P462" s="31">
        <v>2678.19</v>
      </c>
      <c r="Q462" s="28">
        <v>161</v>
      </c>
      <c r="R462" s="29">
        <v>9216</v>
      </c>
      <c r="S462" s="29">
        <v>31615</v>
      </c>
      <c r="T462" s="28">
        <v>2</v>
      </c>
      <c r="U462" s="28">
        <v>8</v>
      </c>
      <c r="V462" s="28">
        <v>17</v>
      </c>
      <c r="W462" s="30">
        <v>46275.5</v>
      </c>
      <c r="X462" s="32"/>
      <c r="Y462" s="28">
        <v>0</v>
      </c>
      <c r="Z462" s="33">
        <v>32094</v>
      </c>
      <c r="AA462">
        <v>685.17000000000007</v>
      </c>
      <c r="AB462" s="18">
        <v>0.81010428243751342</v>
      </c>
      <c r="AC462" s="19">
        <v>1.8101042824375133</v>
      </c>
      <c r="AD462" s="19">
        <v>0.82352941176470595</v>
      </c>
      <c r="AE462" s="19">
        <v>1.0980392156862746</v>
      </c>
    </row>
    <row r="463" spans="1:31">
      <c r="A463">
        <v>467</v>
      </c>
      <c r="B463" t="s">
        <v>177</v>
      </c>
      <c r="C463" t="s">
        <v>181</v>
      </c>
      <c r="D463" t="s">
        <v>178</v>
      </c>
      <c r="E463" s="37">
        <v>46095</v>
      </c>
      <c r="F463" s="21" t="s">
        <v>215</v>
      </c>
      <c r="G463" s="21" t="s">
        <v>315</v>
      </c>
      <c r="H463" s="21" t="s">
        <v>140</v>
      </c>
      <c r="I463" s="22">
        <v>75000</v>
      </c>
      <c r="J463" s="21" t="s">
        <v>141</v>
      </c>
      <c r="K463" s="23">
        <v>46198.791666666664</v>
      </c>
      <c r="L463" s="21">
        <v>689</v>
      </c>
      <c r="M463" s="22">
        <v>3113</v>
      </c>
      <c r="N463" s="24">
        <v>335</v>
      </c>
      <c r="O463" s="24">
        <v>594.91999999999996</v>
      </c>
      <c r="P463" s="24">
        <v>1117.8</v>
      </c>
      <c r="Q463" s="21">
        <v>137</v>
      </c>
      <c r="R463" s="22">
        <v>7269</v>
      </c>
      <c r="S463" s="22">
        <v>27006</v>
      </c>
      <c r="T463" s="21">
        <v>0</v>
      </c>
      <c r="U463" s="21">
        <v>5</v>
      </c>
      <c r="V463" s="21">
        <v>17</v>
      </c>
      <c r="W463" s="23">
        <v>46275.5</v>
      </c>
      <c r="X463" s="25"/>
      <c r="Y463" s="21">
        <v>0</v>
      </c>
      <c r="Z463" s="26">
        <v>27436</v>
      </c>
      <c r="AA463">
        <v>259.91999999999996</v>
      </c>
      <c r="AB463" s="18">
        <v>0.77588059701492529</v>
      </c>
      <c r="AC463" s="19">
        <v>1.7758805970149252</v>
      </c>
      <c r="AD463" s="19">
        <v>0</v>
      </c>
      <c r="AE463" s="19">
        <v>0.68627450980392168</v>
      </c>
    </row>
    <row r="464" spans="1:31">
      <c r="A464">
        <v>468</v>
      </c>
      <c r="B464" t="s">
        <v>125</v>
      </c>
      <c r="C464" t="s">
        <v>120</v>
      </c>
      <c r="D464" t="s">
        <v>122</v>
      </c>
      <c r="E464" s="36">
        <v>46095</v>
      </c>
      <c r="F464" s="28" t="s">
        <v>216</v>
      </c>
      <c r="G464" s="28" t="s">
        <v>315</v>
      </c>
      <c r="H464" s="28" t="s">
        <v>127</v>
      </c>
      <c r="I464" s="29">
        <v>68756</v>
      </c>
      <c r="J464" s="28" t="s">
        <v>128</v>
      </c>
      <c r="K464" s="30">
        <v>46199.625</v>
      </c>
      <c r="L464" s="28">
        <v>871</v>
      </c>
      <c r="M464" s="29">
        <v>4386</v>
      </c>
      <c r="N464" s="31">
        <v>689.47</v>
      </c>
      <c r="O464" s="31">
        <v>1187.75</v>
      </c>
      <c r="P464" s="31">
        <v>2070</v>
      </c>
      <c r="Q464" s="28">
        <v>161</v>
      </c>
      <c r="R464" s="29">
        <v>9085</v>
      </c>
      <c r="S464" s="29">
        <v>31908</v>
      </c>
      <c r="T464" s="28">
        <v>5</v>
      </c>
      <c r="U464" s="28">
        <v>11</v>
      </c>
      <c r="V464" s="28">
        <v>26</v>
      </c>
      <c r="W464" s="30">
        <v>46275.625</v>
      </c>
      <c r="X464" s="32"/>
      <c r="Y464" s="28">
        <v>0</v>
      </c>
      <c r="Z464" s="33">
        <v>32396</v>
      </c>
      <c r="AA464">
        <v>498.28</v>
      </c>
      <c r="AB464" s="18">
        <v>0.7227000449620723</v>
      </c>
      <c r="AC464" s="19">
        <v>1.7227000449620722</v>
      </c>
      <c r="AD464" s="19">
        <v>1.346153846153846</v>
      </c>
      <c r="AE464" s="19">
        <v>0.98717948717948711</v>
      </c>
    </row>
    <row r="465" spans="1:31">
      <c r="A465">
        <v>469</v>
      </c>
      <c r="B465" t="s">
        <v>121</v>
      </c>
      <c r="C465" t="s">
        <v>124</v>
      </c>
      <c r="D465" t="s">
        <v>122</v>
      </c>
      <c r="E465" s="37">
        <v>46095</v>
      </c>
      <c r="F465" s="21" t="s">
        <v>217</v>
      </c>
      <c r="G465" s="21" t="s">
        <v>314</v>
      </c>
      <c r="H465" s="21" t="s">
        <v>146</v>
      </c>
      <c r="I465" s="22">
        <v>30000</v>
      </c>
      <c r="J465" s="21" t="s">
        <v>147</v>
      </c>
      <c r="K465" s="23">
        <v>46199.625</v>
      </c>
      <c r="L465" s="21">
        <v>408</v>
      </c>
      <c r="M465" s="22">
        <v>1977</v>
      </c>
      <c r="N465" s="24">
        <v>400.96</v>
      </c>
      <c r="O465" s="24">
        <v>587.08000000000004</v>
      </c>
      <c r="P465" s="24">
        <v>810.43</v>
      </c>
      <c r="Q465" s="21">
        <v>156</v>
      </c>
      <c r="R465" s="22">
        <v>8370</v>
      </c>
      <c r="S465" s="22">
        <v>29963</v>
      </c>
      <c r="T465" s="21">
        <v>1</v>
      </c>
      <c r="U465" s="21">
        <v>6</v>
      </c>
      <c r="V465" s="21">
        <v>8</v>
      </c>
      <c r="W465" s="23">
        <v>46275.5</v>
      </c>
      <c r="X465" s="25"/>
      <c r="Y465" s="21">
        <v>0</v>
      </c>
      <c r="Z465" s="26">
        <v>30439</v>
      </c>
      <c r="AA465">
        <v>186.12000000000006</v>
      </c>
      <c r="AB465" s="18">
        <v>0.46418595371109356</v>
      </c>
      <c r="AC465" s="19">
        <v>1.4641859537110935</v>
      </c>
      <c r="AD465" s="19">
        <v>0.875</v>
      </c>
      <c r="AE465" s="19">
        <v>1.75</v>
      </c>
    </row>
    <row r="466" spans="1:31">
      <c r="A466">
        <v>470</v>
      </c>
      <c r="B466" t="s">
        <v>116</v>
      </c>
      <c r="C466" t="s">
        <v>109</v>
      </c>
      <c r="D466" t="s">
        <v>111</v>
      </c>
      <c r="E466" s="36">
        <v>46095</v>
      </c>
      <c r="F466" s="28" t="s">
        <v>218</v>
      </c>
      <c r="G466" s="28" t="s">
        <v>315</v>
      </c>
      <c r="H466" s="28" t="s">
        <v>118</v>
      </c>
      <c r="I466" s="29">
        <v>67000</v>
      </c>
      <c r="J466" s="28" t="s">
        <v>119</v>
      </c>
      <c r="K466" s="30">
        <v>46199.833333333336</v>
      </c>
      <c r="L466" s="28">
        <v>750</v>
      </c>
      <c r="M466" s="29">
        <v>3470</v>
      </c>
      <c r="N466" s="31">
        <v>235</v>
      </c>
      <c r="O466" s="31">
        <v>458.23</v>
      </c>
      <c r="P466" s="31">
        <v>899.55</v>
      </c>
      <c r="Q466" s="28">
        <v>159</v>
      </c>
      <c r="R466" s="29">
        <v>8660</v>
      </c>
      <c r="S466" s="29">
        <v>30721</v>
      </c>
      <c r="T466" s="28">
        <v>0</v>
      </c>
      <c r="U466" s="28">
        <v>5</v>
      </c>
      <c r="V466" s="28">
        <v>12</v>
      </c>
      <c r="W466" s="30">
        <v>46275.5</v>
      </c>
      <c r="X466" s="32"/>
      <c r="Y466" s="28">
        <v>0</v>
      </c>
      <c r="Z466" s="33">
        <v>31198</v>
      </c>
      <c r="AA466">
        <v>223.23000000000002</v>
      </c>
      <c r="AB466" s="18">
        <v>0.94991489361702131</v>
      </c>
      <c r="AC466" s="19">
        <v>1.9499148936170214</v>
      </c>
      <c r="AD466" s="19">
        <v>0</v>
      </c>
      <c r="AE466" s="19">
        <v>0.97222222222222232</v>
      </c>
    </row>
    <row r="467" spans="1:31">
      <c r="A467">
        <v>471</v>
      </c>
      <c r="B467" t="s">
        <v>110</v>
      </c>
      <c r="C467" t="s">
        <v>115</v>
      </c>
      <c r="D467" t="s">
        <v>111</v>
      </c>
      <c r="E467" s="37">
        <v>46095</v>
      </c>
      <c r="F467" s="21" t="s">
        <v>219</v>
      </c>
      <c r="G467" s="21" t="s">
        <v>314</v>
      </c>
      <c r="H467" s="21" t="s">
        <v>164</v>
      </c>
      <c r="I467" s="22">
        <v>54500</v>
      </c>
      <c r="J467" s="21" t="s">
        <v>165</v>
      </c>
      <c r="K467" s="23">
        <v>46199.833333333336</v>
      </c>
      <c r="L467" s="21">
        <v>545</v>
      </c>
      <c r="M467" s="22">
        <v>2671</v>
      </c>
      <c r="N467" s="24">
        <v>319.31</v>
      </c>
      <c r="O467" s="24">
        <v>528.72</v>
      </c>
      <c r="P467" s="24">
        <v>1007.39</v>
      </c>
      <c r="Q467" s="21">
        <v>161</v>
      </c>
      <c r="R467" s="22">
        <v>8792</v>
      </c>
      <c r="S467" s="22">
        <v>30407</v>
      </c>
      <c r="T467" s="21">
        <v>4</v>
      </c>
      <c r="U467" s="21">
        <v>10</v>
      </c>
      <c r="V467" s="21">
        <v>28</v>
      </c>
      <c r="W467" s="23">
        <v>46275.375</v>
      </c>
      <c r="X467" s="25"/>
      <c r="Y467" s="21">
        <v>0</v>
      </c>
      <c r="Z467" s="26">
        <v>30899</v>
      </c>
      <c r="AA467">
        <v>209.41000000000003</v>
      </c>
      <c r="AB467" s="18">
        <v>0.65582036265697918</v>
      </c>
      <c r="AC467" s="19">
        <v>1.6558203626569792</v>
      </c>
      <c r="AD467" s="19">
        <v>1</v>
      </c>
      <c r="AE467" s="19">
        <v>0.83333333333333337</v>
      </c>
    </row>
    <row r="468" spans="1:31">
      <c r="A468">
        <v>472</v>
      </c>
      <c r="B468" t="s">
        <v>107</v>
      </c>
      <c r="C468" t="s">
        <v>102</v>
      </c>
      <c r="D468" t="s">
        <v>104</v>
      </c>
      <c r="E468" s="36">
        <v>46095</v>
      </c>
      <c r="F468" s="28" t="s">
        <v>220</v>
      </c>
      <c r="G468" s="28" t="s">
        <v>315</v>
      </c>
      <c r="H468" s="28" t="s">
        <v>62</v>
      </c>
      <c r="I468" s="29">
        <v>71500</v>
      </c>
      <c r="J468" s="28" t="s">
        <v>63</v>
      </c>
      <c r="K468" s="30">
        <v>46199.791666666664</v>
      </c>
      <c r="L468" s="28">
        <v>877</v>
      </c>
      <c r="M468" s="29">
        <v>4024</v>
      </c>
      <c r="N468" s="31">
        <v>149.4</v>
      </c>
      <c r="O468" s="31">
        <v>349.32</v>
      </c>
      <c r="P468" s="31">
        <v>926.93</v>
      </c>
      <c r="Q468" s="28">
        <v>153</v>
      </c>
      <c r="R468" s="29">
        <v>8388</v>
      </c>
      <c r="S468" s="29">
        <v>29959</v>
      </c>
      <c r="T468" s="28">
        <v>2</v>
      </c>
      <c r="U468" s="28">
        <v>10</v>
      </c>
      <c r="V468" s="28">
        <v>20</v>
      </c>
      <c r="W468" s="30">
        <v>46275.583333333336</v>
      </c>
      <c r="X468" s="32"/>
      <c r="Y468" s="28">
        <v>0</v>
      </c>
      <c r="Z468" s="33">
        <v>30417</v>
      </c>
      <c r="AA468">
        <v>199.92</v>
      </c>
      <c r="AB468" s="18">
        <v>1.3381526104417669</v>
      </c>
      <c r="AC468" s="19">
        <v>2.3381526104417669</v>
      </c>
      <c r="AD468" s="19">
        <v>0.7</v>
      </c>
      <c r="AE468" s="19">
        <v>1.1666666666666667</v>
      </c>
    </row>
    <row r="469" spans="1:31">
      <c r="A469">
        <v>473</v>
      </c>
      <c r="B469" t="s">
        <v>103</v>
      </c>
      <c r="C469" t="s">
        <v>106</v>
      </c>
      <c r="D469" t="s">
        <v>104</v>
      </c>
      <c r="E469" s="37">
        <v>46095</v>
      </c>
      <c r="F469" s="21" t="s">
        <v>221</v>
      </c>
      <c r="G469" s="21" t="s">
        <v>314</v>
      </c>
      <c r="H469" s="21" t="s">
        <v>135</v>
      </c>
      <c r="I469" s="22">
        <v>49800</v>
      </c>
      <c r="J469" s="21" t="s">
        <v>136</v>
      </c>
      <c r="K469" s="23">
        <v>46199.791666666664</v>
      </c>
      <c r="L469" s="21">
        <v>545</v>
      </c>
      <c r="M469" s="22">
        <v>3139</v>
      </c>
      <c r="N469" s="24">
        <v>878.15</v>
      </c>
      <c r="O469" s="24">
        <v>1380</v>
      </c>
      <c r="P469" s="24">
        <v>2222.2199999999998</v>
      </c>
      <c r="Q469" s="21">
        <v>153</v>
      </c>
      <c r="R469" s="22">
        <v>9003</v>
      </c>
      <c r="S469" s="22">
        <v>31383</v>
      </c>
      <c r="T469" s="21">
        <v>3</v>
      </c>
      <c r="U469" s="21">
        <v>11</v>
      </c>
      <c r="V469" s="21">
        <v>29</v>
      </c>
      <c r="W469" s="23">
        <v>46275.541666666664</v>
      </c>
      <c r="X469" s="25"/>
      <c r="Y469" s="21">
        <v>0</v>
      </c>
      <c r="Z469" s="26">
        <v>31859</v>
      </c>
      <c r="AA469">
        <v>501.85</v>
      </c>
      <c r="AB469" s="18">
        <v>0.5714855093093435</v>
      </c>
      <c r="AC469" s="19">
        <v>1.5714855093093436</v>
      </c>
      <c r="AD469" s="19">
        <v>0.72413793103448265</v>
      </c>
      <c r="AE469" s="19">
        <v>0.88505747126436773</v>
      </c>
    </row>
    <row r="470" spans="1:31">
      <c r="A470">
        <v>474</v>
      </c>
      <c r="B470" t="s">
        <v>143</v>
      </c>
      <c r="C470" t="s">
        <v>148</v>
      </c>
      <c r="D470" t="s">
        <v>144</v>
      </c>
      <c r="E470" s="36">
        <v>46095</v>
      </c>
      <c r="F470" s="28" t="s">
        <v>222</v>
      </c>
      <c r="G470" s="28" t="s">
        <v>315</v>
      </c>
      <c r="H470" s="28" t="s">
        <v>91</v>
      </c>
      <c r="I470" s="29">
        <v>82500</v>
      </c>
      <c r="J470" s="28" t="s">
        <v>92</v>
      </c>
      <c r="K470" s="30">
        <v>46200.708333333336</v>
      </c>
      <c r="L470" s="28">
        <v>960</v>
      </c>
      <c r="M470" s="29">
        <v>4790</v>
      </c>
      <c r="N470" s="31">
        <v>600</v>
      </c>
      <c r="O470" s="31">
        <v>1175.05</v>
      </c>
      <c r="P470" s="31">
        <v>1833.64</v>
      </c>
      <c r="Q470" s="28">
        <v>50</v>
      </c>
      <c r="R470" s="29">
        <v>4039</v>
      </c>
      <c r="S470" s="29">
        <v>18176</v>
      </c>
      <c r="T470" s="28">
        <v>4</v>
      </c>
      <c r="U470" s="28">
        <v>15</v>
      </c>
      <c r="V470" s="28">
        <v>36</v>
      </c>
      <c r="W470" s="30">
        <v>46275.625</v>
      </c>
      <c r="X470" s="32"/>
      <c r="Y470" s="28">
        <v>0</v>
      </c>
      <c r="Z470" s="33">
        <v>18524</v>
      </c>
      <c r="AA470">
        <v>575.04999999999995</v>
      </c>
      <c r="AB470" s="18">
        <v>0.95841666666666658</v>
      </c>
      <c r="AC470" s="19">
        <v>1.9584166666666667</v>
      </c>
      <c r="AD470" s="19">
        <v>0.77777777777777768</v>
      </c>
      <c r="AE470" s="19">
        <v>0.9722222222222221</v>
      </c>
    </row>
    <row r="471" spans="1:31">
      <c r="A471">
        <v>475</v>
      </c>
      <c r="B471" t="s">
        <v>149</v>
      </c>
      <c r="C471" t="s">
        <v>142</v>
      </c>
      <c r="D471" t="s">
        <v>144</v>
      </c>
      <c r="E471" s="37">
        <v>46095</v>
      </c>
      <c r="F471" s="21" t="s">
        <v>223</v>
      </c>
      <c r="G471" s="21" t="s">
        <v>315</v>
      </c>
      <c r="H471" s="21" t="s">
        <v>171</v>
      </c>
      <c r="I471" s="22">
        <v>69176</v>
      </c>
      <c r="J471" s="21" t="s">
        <v>172</v>
      </c>
      <c r="K471" s="23">
        <v>46200.708333333336</v>
      </c>
      <c r="L471" s="21">
        <v>732</v>
      </c>
      <c r="M471" s="22">
        <v>3374</v>
      </c>
      <c r="N471" s="24">
        <v>426.88</v>
      </c>
      <c r="O471" s="24">
        <v>674.09</v>
      </c>
      <c r="P471" s="24">
        <v>1191.6300000000001</v>
      </c>
      <c r="Q471" s="21">
        <v>150</v>
      </c>
      <c r="R471" s="22">
        <v>8673</v>
      </c>
      <c r="S471" s="22">
        <v>30813</v>
      </c>
      <c r="T471" s="21">
        <v>4</v>
      </c>
      <c r="U471" s="21">
        <v>12</v>
      </c>
      <c r="V471" s="21">
        <v>41</v>
      </c>
      <c r="W471" s="23">
        <v>46275.625</v>
      </c>
      <c r="X471" s="25"/>
      <c r="Y471" s="21">
        <v>0</v>
      </c>
      <c r="Z471" s="26">
        <v>31298</v>
      </c>
      <c r="AA471">
        <v>247.21000000000004</v>
      </c>
      <c r="AB471" s="18">
        <v>0.57910888305847086</v>
      </c>
      <c r="AC471" s="19">
        <v>1.5791088830584707</v>
      </c>
      <c r="AD471" s="19">
        <v>0.68292682926829273</v>
      </c>
      <c r="AE471" s="19">
        <v>0.68292682926829273</v>
      </c>
    </row>
    <row r="472" spans="1:31">
      <c r="A472">
        <v>476</v>
      </c>
      <c r="B472" t="s">
        <v>130</v>
      </c>
      <c r="C472" t="s">
        <v>137</v>
      </c>
      <c r="D472" t="s">
        <v>131</v>
      </c>
      <c r="E472" s="36">
        <v>46095</v>
      </c>
      <c r="F472" s="28" t="s">
        <v>224</v>
      </c>
      <c r="G472" s="28" t="s">
        <v>315</v>
      </c>
      <c r="H472" s="28" t="s">
        <v>68</v>
      </c>
      <c r="I472" s="29">
        <v>76416</v>
      </c>
      <c r="J472" s="28" t="s">
        <v>69</v>
      </c>
      <c r="K472" s="30">
        <v>46200.875</v>
      </c>
      <c r="L472" s="28">
        <v>615</v>
      </c>
      <c r="M472" s="29">
        <v>3017</v>
      </c>
      <c r="N472" s="31">
        <v>274.5</v>
      </c>
      <c r="O472" s="31">
        <v>522.34</v>
      </c>
      <c r="P472" s="31">
        <v>1530</v>
      </c>
      <c r="Q472" s="28">
        <v>126</v>
      </c>
      <c r="R472" s="29">
        <v>7089</v>
      </c>
      <c r="S472" s="29">
        <v>26609</v>
      </c>
      <c r="T472" s="28">
        <v>2</v>
      </c>
      <c r="U472" s="28">
        <v>5</v>
      </c>
      <c r="V472" s="28">
        <v>12</v>
      </c>
      <c r="W472" s="30">
        <v>46275.583333333336</v>
      </c>
      <c r="X472" s="32"/>
      <c r="Y472" s="28">
        <v>0</v>
      </c>
      <c r="Z472" s="33">
        <v>27080</v>
      </c>
      <c r="AA472">
        <v>247.84000000000003</v>
      </c>
      <c r="AB472" s="18">
        <v>0.90287795992714037</v>
      </c>
      <c r="AC472" s="19">
        <v>1.9028779599271404</v>
      </c>
      <c r="AD472" s="19">
        <v>1.1666666666666667</v>
      </c>
      <c r="AE472" s="19">
        <v>0.97222222222222232</v>
      </c>
    </row>
    <row r="473" spans="1:31">
      <c r="A473">
        <v>477</v>
      </c>
      <c r="B473" t="s">
        <v>138</v>
      </c>
      <c r="C473" t="s">
        <v>129</v>
      </c>
      <c r="D473" t="s">
        <v>131</v>
      </c>
      <c r="E473" s="37">
        <v>46095</v>
      </c>
      <c r="F473" s="21" t="s">
        <v>226</v>
      </c>
      <c r="G473" s="21" t="s">
        <v>315</v>
      </c>
      <c r="H473" s="21" t="s">
        <v>74</v>
      </c>
      <c r="I473" s="22">
        <v>80000</v>
      </c>
      <c r="J473" s="21" t="s">
        <v>75</v>
      </c>
      <c r="K473" s="23">
        <v>46200.875</v>
      </c>
      <c r="L473" s="21">
        <v>708</v>
      </c>
      <c r="M473" s="22">
        <v>3238</v>
      </c>
      <c r="N473" s="24">
        <v>734.99</v>
      </c>
      <c r="O473" s="24">
        <v>1192.72</v>
      </c>
      <c r="P473" s="24">
        <v>1926.1</v>
      </c>
      <c r="Q473" s="21">
        <v>156</v>
      </c>
      <c r="R473" s="22">
        <v>8871</v>
      </c>
      <c r="S473" s="22">
        <v>31443</v>
      </c>
      <c r="T473" s="21">
        <v>2</v>
      </c>
      <c r="U473" s="21">
        <v>9</v>
      </c>
      <c r="V473" s="21">
        <v>26</v>
      </c>
      <c r="W473" s="23">
        <v>46275.583333333336</v>
      </c>
      <c r="X473" s="25"/>
      <c r="Y473" s="21">
        <v>0</v>
      </c>
      <c r="Z473" s="26">
        <v>31971</v>
      </c>
      <c r="AA473">
        <v>457.73</v>
      </c>
      <c r="AB473" s="18">
        <v>0.62277037782826983</v>
      </c>
      <c r="AC473" s="19">
        <v>1.6227703778282698</v>
      </c>
      <c r="AD473" s="19">
        <v>0.53846153846153844</v>
      </c>
      <c r="AE473" s="19">
        <v>0.80769230769230771</v>
      </c>
    </row>
    <row r="474" spans="1:31">
      <c r="A474">
        <v>478</v>
      </c>
      <c r="B474" t="s">
        <v>155</v>
      </c>
      <c r="C474" t="s">
        <v>151</v>
      </c>
      <c r="D474" t="s">
        <v>152</v>
      </c>
      <c r="E474" s="36">
        <v>46095</v>
      </c>
      <c r="F474" s="28" t="s">
        <v>227</v>
      </c>
      <c r="G474" s="28" t="s">
        <v>315</v>
      </c>
      <c r="H474" s="28" t="s">
        <v>85</v>
      </c>
      <c r="I474" s="29">
        <v>76100</v>
      </c>
      <c r="J474" s="28" t="s">
        <v>86</v>
      </c>
      <c r="K474" s="30">
        <v>46200.8125</v>
      </c>
      <c r="L474" s="29">
        <v>1018</v>
      </c>
      <c r="M474" s="29">
        <v>5796</v>
      </c>
      <c r="N474" s="31">
        <v>1471.79</v>
      </c>
      <c r="O474" s="31">
        <v>3050.29</v>
      </c>
      <c r="P474" s="31">
        <v>6253.85</v>
      </c>
      <c r="Q474" s="28">
        <v>170</v>
      </c>
      <c r="R474" s="29">
        <v>11500</v>
      </c>
      <c r="S474" s="29">
        <v>38600</v>
      </c>
      <c r="T474" s="28">
        <v>9</v>
      </c>
      <c r="U474" s="28">
        <v>24</v>
      </c>
      <c r="V474" s="28">
        <v>46</v>
      </c>
      <c r="W474" s="30">
        <v>46275.625</v>
      </c>
      <c r="X474" s="32"/>
      <c r="Y474" s="28">
        <v>0</v>
      </c>
      <c r="Z474" s="33">
        <v>39126</v>
      </c>
      <c r="AA474">
        <v>1578.5</v>
      </c>
      <c r="AB474" s="18">
        <v>1.0725035500988593</v>
      </c>
      <c r="AC474" s="19">
        <v>2.0725035500988591</v>
      </c>
      <c r="AD474" s="19">
        <v>1.3695652173913044</v>
      </c>
      <c r="AE474" s="19">
        <v>1.2173913043478262</v>
      </c>
    </row>
    <row r="475" spans="1:31">
      <c r="A475">
        <v>479</v>
      </c>
      <c r="B475" t="s">
        <v>124</v>
      </c>
      <c r="C475" t="s">
        <v>154</v>
      </c>
      <c r="D475" t="s">
        <v>152</v>
      </c>
      <c r="E475" s="37">
        <v>46095</v>
      </c>
      <c r="F475" s="21" t="s">
        <v>228</v>
      </c>
      <c r="G475" s="21" t="s">
        <v>315</v>
      </c>
      <c r="H475" s="21" t="s">
        <v>79</v>
      </c>
      <c r="I475" s="22">
        <v>71000</v>
      </c>
      <c r="J475" s="21" t="s">
        <v>80</v>
      </c>
      <c r="K475" s="23">
        <v>46200.8125</v>
      </c>
      <c r="L475" s="21">
        <v>736</v>
      </c>
      <c r="M475" s="22">
        <v>3376</v>
      </c>
      <c r="N475" s="24">
        <v>217.12</v>
      </c>
      <c r="O475" s="24">
        <v>421.47</v>
      </c>
      <c r="P475" s="24">
        <v>900</v>
      </c>
      <c r="Q475" s="21">
        <v>126</v>
      </c>
      <c r="R475" s="22">
        <v>6794</v>
      </c>
      <c r="S475" s="22">
        <v>26262</v>
      </c>
      <c r="T475" s="21">
        <v>1</v>
      </c>
      <c r="U475" s="21">
        <v>9</v>
      </c>
      <c r="V475" s="21">
        <v>18</v>
      </c>
      <c r="W475" s="23">
        <v>46275.625</v>
      </c>
      <c r="X475" s="25"/>
      <c r="Y475" s="21">
        <v>0</v>
      </c>
      <c r="Z475" s="26">
        <v>26690</v>
      </c>
      <c r="AA475">
        <v>204.35000000000002</v>
      </c>
      <c r="AB475" s="18">
        <v>0.94118459837877677</v>
      </c>
      <c r="AC475" s="19">
        <v>1.9411845983787768</v>
      </c>
      <c r="AD475" s="19">
        <v>0.38888888888888884</v>
      </c>
      <c r="AE475" s="19">
        <v>1.1666666666666665</v>
      </c>
    </row>
    <row r="476" spans="1:31">
      <c r="A476">
        <v>480</v>
      </c>
      <c r="B476" t="s">
        <v>229</v>
      </c>
      <c r="C476" t="s">
        <v>230</v>
      </c>
      <c r="D476" t="s">
        <v>231</v>
      </c>
      <c r="E476" s="36">
        <v>46095</v>
      </c>
      <c r="F476" s="28" t="s">
        <v>232</v>
      </c>
      <c r="G476" s="28" t="s">
        <v>315</v>
      </c>
      <c r="H476" s="28" t="s">
        <v>113</v>
      </c>
      <c r="I476" s="29">
        <v>70240</v>
      </c>
      <c r="J476" s="28" t="s">
        <v>114</v>
      </c>
      <c r="K476" s="30">
        <v>46201.5</v>
      </c>
      <c r="L476" s="28">
        <v>844</v>
      </c>
      <c r="M476" s="29">
        <v>3864</v>
      </c>
      <c r="N476" s="31">
        <v>611.1</v>
      </c>
      <c r="O476" s="31">
        <v>1030.8</v>
      </c>
      <c r="P476" s="31">
        <v>1743.28</v>
      </c>
      <c r="Q476" s="28">
        <v>44</v>
      </c>
      <c r="R476" s="29">
        <v>3296</v>
      </c>
      <c r="S476" s="29">
        <v>16402</v>
      </c>
      <c r="T476" s="28">
        <v>2</v>
      </c>
      <c r="U476" s="28">
        <v>4</v>
      </c>
      <c r="V476" s="28">
        <v>13</v>
      </c>
      <c r="W476" s="30">
        <v>46275.5</v>
      </c>
      <c r="X476" s="32"/>
      <c r="Y476" s="28">
        <v>0</v>
      </c>
      <c r="Z476" s="33">
        <v>16770</v>
      </c>
      <c r="AA476">
        <v>419.69999999999993</v>
      </c>
      <c r="AB476" s="18">
        <v>0.68679430535100627</v>
      </c>
      <c r="AC476" s="19">
        <v>1.6867943053510062</v>
      </c>
      <c r="AD476" s="19">
        <v>1.0769230769230769</v>
      </c>
      <c r="AE476" s="19">
        <v>0.71794871794871784</v>
      </c>
    </row>
    <row r="477" spans="1:31">
      <c r="A477">
        <v>481</v>
      </c>
      <c r="B477" t="s">
        <v>233</v>
      </c>
      <c r="C477" t="s">
        <v>234</v>
      </c>
      <c r="D477" t="s">
        <v>231</v>
      </c>
      <c r="E477" s="37">
        <v>46095</v>
      </c>
      <c r="F477" s="21" t="s">
        <v>235</v>
      </c>
      <c r="G477" s="21" t="s">
        <v>315</v>
      </c>
      <c r="H477" s="21" t="s">
        <v>127</v>
      </c>
      <c r="I477" s="22">
        <v>68756</v>
      </c>
      <c r="J477" s="21" t="s">
        <v>128</v>
      </c>
      <c r="K477" s="23">
        <v>46202.6875</v>
      </c>
      <c r="L477" s="21">
        <v>736</v>
      </c>
      <c r="M477" s="22">
        <v>3389</v>
      </c>
      <c r="N477" s="24">
        <v>537.47</v>
      </c>
      <c r="O477" s="24">
        <v>855.46</v>
      </c>
      <c r="P477" s="24">
        <v>1524.6</v>
      </c>
      <c r="Q477" s="21">
        <v>36</v>
      </c>
      <c r="R477" s="22">
        <v>3041</v>
      </c>
      <c r="S477" s="22">
        <v>15646</v>
      </c>
      <c r="T477" s="21">
        <v>1</v>
      </c>
      <c r="U477" s="21">
        <v>5</v>
      </c>
      <c r="V477" s="21">
        <v>11</v>
      </c>
      <c r="W477" s="23">
        <v>46275.625</v>
      </c>
      <c r="X477" s="25"/>
      <c r="Y477" s="21">
        <v>0</v>
      </c>
      <c r="Z477" s="26">
        <v>15994</v>
      </c>
      <c r="AA477">
        <v>317.99</v>
      </c>
      <c r="AB477" s="18">
        <v>0.59164232422274732</v>
      </c>
      <c r="AC477" s="19">
        <v>1.5916423242227473</v>
      </c>
      <c r="AD477" s="19">
        <v>0.63636363636363635</v>
      </c>
      <c r="AE477" s="19">
        <v>1.0606060606060608</v>
      </c>
    </row>
    <row r="478" spans="1:31">
      <c r="A478">
        <v>482</v>
      </c>
      <c r="B478" t="s">
        <v>236</v>
      </c>
      <c r="C478" t="s">
        <v>237</v>
      </c>
      <c r="D478" t="s">
        <v>231</v>
      </c>
      <c r="E478" s="36">
        <v>46095</v>
      </c>
      <c r="F478" s="28" t="s">
        <v>238</v>
      </c>
      <c r="G478" s="28" t="s">
        <v>314</v>
      </c>
      <c r="H478" s="28" t="s">
        <v>100</v>
      </c>
      <c r="I478" s="29">
        <v>52237</v>
      </c>
      <c r="J478" s="28" t="s">
        <v>101</v>
      </c>
      <c r="K478" s="30">
        <v>46202.833333333336</v>
      </c>
      <c r="L478" s="28">
        <v>415</v>
      </c>
      <c r="M478" s="29">
        <v>2108</v>
      </c>
      <c r="N478" s="31">
        <v>436.38</v>
      </c>
      <c r="O478" s="31">
        <v>713.56</v>
      </c>
      <c r="P478" s="31">
        <v>1111.1099999999999</v>
      </c>
      <c r="Q478" s="28">
        <v>33</v>
      </c>
      <c r="R478" s="29">
        <v>2842</v>
      </c>
      <c r="S478" s="29">
        <v>15199</v>
      </c>
      <c r="T478" s="28">
        <v>1</v>
      </c>
      <c r="U478" s="28">
        <v>7</v>
      </c>
      <c r="V478" s="28">
        <v>13</v>
      </c>
      <c r="W478" s="30">
        <v>46275.541666666664</v>
      </c>
      <c r="X478" s="32"/>
      <c r="Y478" s="28">
        <v>0</v>
      </c>
      <c r="Z478" s="33">
        <v>15561</v>
      </c>
      <c r="AA478">
        <v>277.17999999999995</v>
      </c>
      <c r="AB478" s="18">
        <v>0.63518034740363893</v>
      </c>
      <c r="AC478" s="19">
        <v>1.6351803474036388</v>
      </c>
      <c r="AD478" s="19">
        <v>0.53846153846153844</v>
      </c>
      <c r="AE478" s="19">
        <v>1.2564102564102564</v>
      </c>
    </row>
    <row r="479" spans="1:31">
      <c r="A479">
        <v>483</v>
      </c>
      <c r="B479" t="s">
        <v>239</v>
      </c>
      <c r="C479" t="s">
        <v>240</v>
      </c>
      <c r="D479" t="s">
        <v>231</v>
      </c>
      <c r="E479" s="37">
        <v>46095</v>
      </c>
      <c r="F479" s="21" t="s">
        <v>241</v>
      </c>
      <c r="G479" s="21" t="s">
        <v>315</v>
      </c>
      <c r="H479" s="21" t="s">
        <v>62</v>
      </c>
      <c r="I479" s="22">
        <v>71500</v>
      </c>
      <c r="J479" s="21" t="s">
        <v>63</v>
      </c>
      <c r="K479" s="23">
        <v>46202.5</v>
      </c>
      <c r="L479" s="21">
        <v>811</v>
      </c>
      <c r="M479" s="22">
        <v>3755</v>
      </c>
      <c r="N479" s="24">
        <v>581.99</v>
      </c>
      <c r="O479" s="24">
        <v>960.95</v>
      </c>
      <c r="P479" s="24">
        <v>1697.87</v>
      </c>
      <c r="Q479" s="21">
        <v>35</v>
      </c>
      <c r="R479" s="22">
        <v>3020</v>
      </c>
      <c r="S479" s="22">
        <v>15608</v>
      </c>
      <c r="T479" s="21">
        <v>3</v>
      </c>
      <c r="U479" s="21">
        <v>6</v>
      </c>
      <c r="V479" s="21">
        <v>13</v>
      </c>
      <c r="W479" s="23">
        <v>46275.583333333336</v>
      </c>
      <c r="X479" s="25"/>
      <c r="Y479" s="21">
        <v>0</v>
      </c>
      <c r="Z479" s="26">
        <v>15993</v>
      </c>
      <c r="AA479">
        <v>378.96000000000004</v>
      </c>
      <c r="AB479" s="18">
        <v>0.65114520868056158</v>
      </c>
      <c r="AC479" s="19">
        <v>1.6511452086805616</v>
      </c>
      <c r="AD479" s="19">
        <v>1.6153846153846154</v>
      </c>
      <c r="AE479" s="19">
        <v>1.0769230769230769</v>
      </c>
    </row>
    <row r="480" spans="1:31">
      <c r="A480">
        <v>484</v>
      </c>
      <c r="B480" t="s">
        <v>242</v>
      </c>
      <c r="C480" t="s">
        <v>243</v>
      </c>
      <c r="D480" t="s">
        <v>231</v>
      </c>
      <c r="E480" s="36">
        <v>46095</v>
      </c>
      <c r="F480" s="28" t="s">
        <v>244</v>
      </c>
      <c r="G480" s="28" t="s">
        <v>315</v>
      </c>
      <c r="H480" s="28" t="s">
        <v>91</v>
      </c>
      <c r="I480" s="29">
        <v>82500</v>
      </c>
      <c r="J480" s="28" t="s">
        <v>92</v>
      </c>
      <c r="K480" s="30">
        <v>46203.708333333336</v>
      </c>
      <c r="L480" s="28">
        <v>817</v>
      </c>
      <c r="M480" s="29">
        <v>3633</v>
      </c>
      <c r="N480" s="31">
        <v>570.87</v>
      </c>
      <c r="O480" s="31">
        <v>968.48</v>
      </c>
      <c r="P480" s="31">
        <v>1532.7</v>
      </c>
      <c r="Q480" s="28">
        <v>52</v>
      </c>
      <c r="R480" s="29">
        <v>3151</v>
      </c>
      <c r="S480" s="29">
        <v>16068</v>
      </c>
      <c r="T480" s="28">
        <v>2</v>
      </c>
      <c r="U480" s="28">
        <v>8</v>
      </c>
      <c r="V480" s="28">
        <v>14</v>
      </c>
      <c r="W480" s="30">
        <v>46275.625</v>
      </c>
      <c r="X480" s="32"/>
      <c r="Y480" s="28">
        <v>0</v>
      </c>
      <c r="Z480" s="33">
        <v>16425</v>
      </c>
      <c r="AA480">
        <v>397.61</v>
      </c>
      <c r="AB480" s="18">
        <v>0.69649832711475468</v>
      </c>
      <c r="AC480" s="19">
        <v>1.6964983271147547</v>
      </c>
      <c r="AD480" s="19">
        <v>1</v>
      </c>
      <c r="AE480" s="19">
        <v>1.3333333333333333</v>
      </c>
    </row>
    <row r="481" spans="1:31">
      <c r="A481">
        <v>485</v>
      </c>
      <c r="B481" t="s">
        <v>245</v>
      </c>
      <c r="C481" t="s">
        <v>246</v>
      </c>
      <c r="D481" t="s">
        <v>231</v>
      </c>
      <c r="E481" s="37">
        <v>46095</v>
      </c>
      <c r="F481" s="21" t="s">
        <v>247</v>
      </c>
      <c r="G481" s="21" t="s">
        <v>315</v>
      </c>
      <c r="H481" s="21" t="s">
        <v>74</v>
      </c>
      <c r="I481" s="22">
        <v>80000</v>
      </c>
      <c r="J481" s="21" t="s">
        <v>75</v>
      </c>
      <c r="K481" s="23">
        <v>46203.5</v>
      </c>
      <c r="L481" s="21">
        <v>821</v>
      </c>
      <c r="M481" s="22">
        <v>3755</v>
      </c>
      <c r="N481" s="24">
        <v>441.35</v>
      </c>
      <c r="O481" s="24">
        <v>824.5</v>
      </c>
      <c r="P481" s="24">
        <v>1397.65</v>
      </c>
      <c r="Q481" s="21">
        <v>24</v>
      </c>
      <c r="R481" s="22">
        <v>2928</v>
      </c>
      <c r="S481" s="22">
        <v>15294</v>
      </c>
      <c r="T481" s="21">
        <v>1</v>
      </c>
      <c r="U481" s="21">
        <v>5</v>
      </c>
      <c r="V481" s="21">
        <v>15</v>
      </c>
      <c r="W481" s="23">
        <v>46275.583333333336</v>
      </c>
      <c r="X481" s="25"/>
      <c r="Y481" s="21">
        <v>0</v>
      </c>
      <c r="Z481" s="26">
        <v>15644</v>
      </c>
      <c r="AA481">
        <v>383.15</v>
      </c>
      <c r="AB481" s="18">
        <v>0.86813186813186805</v>
      </c>
      <c r="AC481" s="19">
        <v>1.8681318681318679</v>
      </c>
      <c r="AD481" s="19">
        <v>0.46666666666666667</v>
      </c>
      <c r="AE481" s="19">
        <v>0.77777777777777779</v>
      </c>
    </row>
    <row r="482" spans="1:31">
      <c r="A482">
        <v>486</v>
      </c>
      <c r="B482" t="s">
        <v>248</v>
      </c>
      <c r="C482" t="s">
        <v>249</v>
      </c>
      <c r="D482" t="s">
        <v>231</v>
      </c>
      <c r="E482" s="36">
        <v>46095</v>
      </c>
      <c r="F482" s="28" t="s">
        <v>250</v>
      </c>
      <c r="G482" s="28" t="s">
        <v>314</v>
      </c>
      <c r="H482" s="28" t="s">
        <v>56</v>
      </c>
      <c r="I482" s="29">
        <v>98500</v>
      </c>
      <c r="J482" s="28" t="s">
        <v>57</v>
      </c>
      <c r="K482" s="30">
        <v>46203.833333333336</v>
      </c>
      <c r="L482" s="28">
        <v>373</v>
      </c>
      <c r="M482" s="29">
        <v>2065</v>
      </c>
      <c r="N482" s="31">
        <v>632.45000000000005</v>
      </c>
      <c r="O482" s="31">
        <v>1032.8499999999999</v>
      </c>
      <c r="P482" s="31">
        <v>1530</v>
      </c>
      <c r="Q482" s="28">
        <v>29</v>
      </c>
      <c r="R482" s="29">
        <v>2843</v>
      </c>
      <c r="S482" s="29">
        <v>15251</v>
      </c>
      <c r="T482" s="28">
        <v>3</v>
      </c>
      <c r="U482" s="28">
        <v>10</v>
      </c>
      <c r="V482" s="28">
        <v>17</v>
      </c>
      <c r="W482" s="30">
        <v>46275.541666666664</v>
      </c>
      <c r="X482" s="32"/>
      <c r="Y482" s="28">
        <v>0</v>
      </c>
      <c r="Z482" s="33">
        <v>15626</v>
      </c>
      <c r="AA482">
        <v>400.39999999999986</v>
      </c>
      <c r="AB482" s="18">
        <v>0.63309352517985584</v>
      </c>
      <c r="AC482" s="19">
        <v>1.633093525179856</v>
      </c>
      <c r="AD482" s="19">
        <v>1.2352941176470589</v>
      </c>
      <c r="AE482" s="19">
        <v>1.3725490196078434</v>
      </c>
    </row>
    <row r="483" spans="1:31">
      <c r="A483">
        <v>487</v>
      </c>
      <c r="B483" t="s">
        <v>252</v>
      </c>
      <c r="C483" t="s">
        <v>253</v>
      </c>
      <c r="D483" t="s">
        <v>231</v>
      </c>
      <c r="E483" s="37">
        <v>46095</v>
      </c>
      <c r="F483" s="21" t="s">
        <v>254</v>
      </c>
      <c r="G483" s="21" t="s">
        <v>315</v>
      </c>
      <c r="H483" s="21" t="s">
        <v>79</v>
      </c>
      <c r="I483" s="22">
        <v>71000</v>
      </c>
      <c r="J483" s="21" t="s">
        <v>80</v>
      </c>
      <c r="K483" s="23">
        <v>46204.5</v>
      </c>
      <c r="L483" s="21">
        <v>781</v>
      </c>
      <c r="M483" s="22">
        <v>3656</v>
      </c>
      <c r="N483" s="24">
        <v>433.96</v>
      </c>
      <c r="O483" s="24">
        <v>892.69</v>
      </c>
      <c r="P483" s="24">
        <v>1666.67</v>
      </c>
      <c r="Q483" s="21">
        <v>39</v>
      </c>
      <c r="R483" s="22">
        <v>2938</v>
      </c>
      <c r="S483" s="22">
        <v>15453</v>
      </c>
      <c r="T483" s="21">
        <v>3</v>
      </c>
      <c r="U483" s="21">
        <v>9</v>
      </c>
      <c r="V483" s="21">
        <v>14</v>
      </c>
      <c r="W483" s="23">
        <v>46275.625</v>
      </c>
      <c r="X483" s="25"/>
      <c r="Y483" s="21">
        <v>0</v>
      </c>
      <c r="Z483" s="26">
        <v>15816</v>
      </c>
      <c r="AA483">
        <v>458.73000000000008</v>
      </c>
      <c r="AB483" s="18">
        <v>1.0570789934556182</v>
      </c>
      <c r="AC483" s="19">
        <v>2.0570789934556184</v>
      </c>
      <c r="AD483" s="19">
        <v>1.5</v>
      </c>
      <c r="AE483" s="19">
        <v>1.5</v>
      </c>
    </row>
    <row r="484" spans="1:31">
      <c r="A484">
        <v>488</v>
      </c>
      <c r="B484" t="s">
        <v>255</v>
      </c>
      <c r="C484" t="s">
        <v>256</v>
      </c>
      <c r="D484" t="s">
        <v>231</v>
      </c>
      <c r="E484" s="36">
        <v>46095</v>
      </c>
      <c r="F484" s="28" t="s">
        <v>257</v>
      </c>
      <c r="G484" s="28" t="s">
        <v>315</v>
      </c>
      <c r="H484" s="28" t="s">
        <v>140</v>
      </c>
      <c r="I484" s="29">
        <v>75000</v>
      </c>
      <c r="J484" s="28" t="s">
        <v>141</v>
      </c>
      <c r="K484" s="30">
        <v>46204.708333333336</v>
      </c>
      <c r="L484" s="28">
        <v>936</v>
      </c>
      <c r="M484" s="29">
        <v>4169</v>
      </c>
      <c r="N484" s="31">
        <v>554.23</v>
      </c>
      <c r="O484" s="31">
        <v>1005.2</v>
      </c>
      <c r="P484" s="31">
        <v>1715.04</v>
      </c>
      <c r="Q484" s="28">
        <v>20</v>
      </c>
      <c r="R484" s="29">
        <v>3170</v>
      </c>
      <c r="S484" s="29">
        <v>15828</v>
      </c>
      <c r="T484" s="28">
        <v>1</v>
      </c>
      <c r="U484" s="28">
        <v>8</v>
      </c>
      <c r="V484" s="28">
        <v>20</v>
      </c>
      <c r="W484" s="30">
        <v>46275.5</v>
      </c>
      <c r="X484" s="32"/>
      <c r="Y484" s="28">
        <v>0</v>
      </c>
      <c r="Z484" s="33">
        <v>16184</v>
      </c>
      <c r="AA484">
        <v>450.97</v>
      </c>
      <c r="AB484" s="18">
        <v>0.8136874582754452</v>
      </c>
      <c r="AC484" s="19">
        <v>1.8136874582754452</v>
      </c>
      <c r="AD484" s="19">
        <v>0.35</v>
      </c>
      <c r="AE484" s="19">
        <v>0.93333333333333324</v>
      </c>
    </row>
    <row r="485" spans="1:31">
      <c r="A485">
        <v>489</v>
      </c>
      <c r="B485" t="s">
        <v>258</v>
      </c>
      <c r="C485" t="s">
        <v>259</v>
      </c>
      <c r="D485" t="s">
        <v>231</v>
      </c>
      <c r="E485" s="37">
        <v>46095</v>
      </c>
      <c r="F485" s="21" t="s">
        <v>260</v>
      </c>
      <c r="G485" s="21" t="s">
        <v>315</v>
      </c>
      <c r="H485" s="21" t="s">
        <v>118</v>
      </c>
      <c r="I485" s="22">
        <v>67000</v>
      </c>
      <c r="J485" s="21" t="s">
        <v>119</v>
      </c>
      <c r="K485" s="23">
        <v>46204.541666666664</v>
      </c>
      <c r="L485" s="21">
        <v>766</v>
      </c>
      <c r="M485" s="22">
        <v>3563</v>
      </c>
      <c r="N485" s="24">
        <v>399.06</v>
      </c>
      <c r="O485" s="24">
        <v>765.75</v>
      </c>
      <c r="P485" s="24">
        <v>1421.67</v>
      </c>
      <c r="Q485" s="21">
        <v>22</v>
      </c>
      <c r="R485" s="22">
        <v>2863</v>
      </c>
      <c r="S485" s="22">
        <v>15094</v>
      </c>
      <c r="T485" s="21">
        <v>2</v>
      </c>
      <c r="U485" s="21">
        <v>6</v>
      </c>
      <c r="V485" s="21">
        <v>8</v>
      </c>
      <c r="W485" s="23">
        <v>46275.5</v>
      </c>
      <c r="X485" s="25"/>
      <c r="Y485" s="21">
        <v>0</v>
      </c>
      <c r="Z485" s="26">
        <v>15451</v>
      </c>
      <c r="AA485">
        <v>366.69</v>
      </c>
      <c r="AB485" s="18">
        <v>0.91888437828897906</v>
      </c>
      <c r="AC485" s="19">
        <v>1.9188843782889791</v>
      </c>
      <c r="AD485" s="19">
        <v>1.75</v>
      </c>
      <c r="AE485" s="19">
        <v>1.75</v>
      </c>
    </row>
    <row r="486" spans="1:31">
      <c r="A486">
        <v>490</v>
      </c>
      <c r="B486" t="s">
        <v>261</v>
      </c>
      <c r="C486" t="s">
        <v>262</v>
      </c>
      <c r="D486" t="s">
        <v>231</v>
      </c>
      <c r="E486" s="36">
        <v>46095</v>
      </c>
      <c r="F486" s="28" t="s">
        <v>263</v>
      </c>
      <c r="G486" s="28" t="s">
        <v>314</v>
      </c>
      <c r="H486" s="28" t="s">
        <v>146</v>
      </c>
      <c r="I486" s="29">
        <v>30000</v>
      </c>
      <c r="J486" s="28" t="s">
        <v>147</v>
      </c>
      <c r="K486" s="30">
        <v>46205.791666666664</v>
      </c>
      <c r="L486" s="28">
        <v>422</v>
      </c>
      <c r="M486" s="29">
        <v>2089</v>
      </c>
      <c r="N486" s="31">
        <v>972.61</v>
      </c>
      <c r="O486" s="31">
        <v>1422</v>
      </c>
      <c r="P486" s="31">
        <v>2389.5</v>
      </c>
      <c r="Q486" s="28">
        <v>38</v>
      </c>
      <c r="R486" s="29">
        <v>3116</v>
      </c>
      <c r="S486" s="29">
        <v>16468</v>
      </c>
      <c r="T486" s="28">
        <v>1</v>
      </c>
      <c r="U486" s="28">
        <v>4</v>
      </c>
      <c r="V486" s="28">
        <v>12</v>
      </c>
      <c r="W486" s="30">
        <v>46275.5</v>
      </c>
      <c r="X486" s="32"/>
      <c r="Y486" s="28">
        <v>0</v>
      </c>
      <c r="Z486" s="33">
        <v>16844</v>
      </c>
      <c r="AA486">
        <v>449.39</v>
      </c>
      <c r="AB486" s="18">
        <v>0.46204542416796041</v>
      </c>
      <c r="AC486" s="19">
        <v>1.4620454241679604</v>
      </c>
      <c r="AD486" s="19">
        <v>0.58333333333333337</v>
      </c>
      <c r="AE486" s="19">
        <v>0.77777777777777779</v>
      </c>
    </row>
    <row r="487" spans="1:31">
      <c r="A487">
        <v>491</v>
      </c>
      <c r="B487" t="s">
        <v>264</v>
      </c>
      <c r="C487" t="s">
        <v>265</v>
      </c>
      <c r="D487" t="s">
        <v>231</v>
      </c>
      <c r="E487" s="37">
        <v>46095</v>
      </c>
      <c r="F487" s="21" t="s">
        <v>266</v>
      </c>
      <c r="G487" s="21" t="s">
        <v>315</v>
      </c>
      <c r="H487" s="21" t="s">
        <v>113</v>
      </c>
      <c r="I487" s="22">
        <v>70240</v>
      </c>
      <c r="J487" s="21" t="s">
        <v>114</v>
      </c>
      <c r="K487" s="23">
        <v>46205.5</v>
      </c>
      <c r="L487" s="21">
        <v>847</v>
      </c>
      <c r="M487" s="22">
        <v>3699</v>
      </c>
      <c r="N487" s="24">
        <v>663.36</v>
      </c>
      <c r="O487" s="24">
        <v>1123.3599999999999</v>
      </c>
      <c r="P487" s="24">
        <v>1750</v>
      </c>
      <c r="Q487" s="21">
        <v>17</v>
      </c>
      <c r="R487" s="22">
        <v>3049</v>
      </c>
      <c r="S487" s="22">
        <v>15399</v>
      </c>
      <c r="T487" s="21">
        <v>3</v>
      </c>
      <c r="U487" s="21">
        <v>5</v>
      </c>
      <c r="V487" s="21">
        <v>18</v>
      </c>
      <c r="W487" s="23">
        <v>46275.5</v>
      </c>
      <c r="X487" s="25"/>
      <c r="Y487" s="21">
        <v>0</v>
      </c>
      <c r="Z487" s="26">
        <v>15778</v>
      </c>
      <c r="AA487">
        <v>459.99999999999989</v>
      </c>
      <c r="AB487" s="18">
        <v>0.69343945972021204</v>
      </c>
      <c r="AC487" s="19">
        <v>1.693439459720212</v>
      </c>
      <c r="AD487" s="19">
        <v>1.1666666666666665</v>
      </c>
      <c r="AE487" s="19">
        <v>0.64814814814814814</v>
      </c>
    </row>
    <row r="488" spans="1:31">
      <c r="A488">
        <v>492</v>
      </c>
      <c r="B488" t="s">
        <v>267</v>
      </c>
      <c r="C488" t="s">
        <v>268</v>
      </c>
      <c r="D488" t="s">
        <v>231</v>
      </c>
      <c r="E488" s="36">
        <v>46095</v>
      </c>
      <c r="F488" s="28" t="s">
        <v>269</v>
      </c>
      <c r="G488" s="28" t="s">
        <v>314</v>
      </c>
      <c r="H488" s="28" t="s">
        <v>164</v>
      </c>
      <c r="I488" s="29">
        <v>54500</v>
      </c>
      <c r="J488" s="28" t="s">
        <v>165</v>
      </c>
      <c r="K488" s="30">
        <v>46205.833333333336</v>
      </c>
      <c r="L488" s="28">
        <v>617</v>
      </c>
      <c r="M488" s="29">
        <v>3035</v>
      </c>
      <c r="N488" s="31">
        <v>588</v>
      </c>
      <c r="O488" s="31">
        <v>1028.4100000000001</v>
      </c>
      <c r="P488" s="31">
        <v>1710.67</v>
      </c>
      <c r="Q488" s="28">
        <v>412</v>
      </c>
      <c r="R488" s="29">
        <v>20628</v>
      </c>
      <c r="S488" s="29">
        <v>60881</v>
      </c>
      <c r="T488" s="28">
        <v>1</v>
      </c>
      <c r="U488" s="28">
        <v>3</v>
      </c>
      <c r="V488" s="28">
        <v>7</v>
      </c>
      <c r="W488" s="30">
        <v>46275.375</v>
      </c>
      <c r="X488" s="32"/>
      <c r="Y488" s="28">
        <v>0</v>
      </c>
      <c r="Z488" s="33">
        <v>61802</v>
      </c>
      <c r="AA488">
        <v>440.41000000000008</v>
      </c>
      <c r="AB488" s="18">
        <v>0.74899659863945589</v>
      </c>
      <c r="AC488" s="19">
        <v>1.748996598639456</v>
      </c>
      <c r="AD488" s="19">
        <v>1</v>
      </c>
      <c r="AE488" s="19">
        <v>1</v>
      </c>
    </row>
    <row r="489" spans="1:31">
      <c r="A489">
        <v>493</v>
      </c>
      <c r="B489" t="s">
        <v>270</v>
      </c>
      <c r="C489" t="s">
        <v>271</v>
      </c>
      <c r="D489" t="s">
        <v>231</v>
      </c>
      <c r="E489" s="37">
        <v>46095</v>
      </c>
      <c r="F489" s="21" t="s">
        <v>272</v>
      </c>
      <c r="G489" s="21" t="s">
        <v>315</v>
      </c>
      <c r="H489" s="21" t="s">
        <v>85</v>
      </c>
      <c r="I489" s="22">
        <v>76100</v>
      </c>
      <c r="J489" s="21" t="s">
        <v>86</v>
      </c>
      <c r="K489" s="23">
        <v>46206.75</v>
      </c>
      <c r="L489" s="21">
        <v>794</v>
      </c>
      <c r="M489" s="22">
        <v>4164</v>
      </c>
      <c r="N489" s="24">
        <v>1448.19</v>
      </c>
      <c r="O489" s="24">
        <v>2209.81</v>
      </c>
      <c r="P489" s="24">
        <v>3919.59</v>
      </c>
      <c r="Q489" s="21">
        <v>412</v>
      </c>
      <c r="R489" s="22">
        <v>20747</v>
      </c>
      <c r="S489" s="22">
        <v>61337</v>
      </c>
      <c r="T489" s="21">
        <v>7</v>
      </c>
      <c r="U489" s="21">
        <v>10</v>
      </c>
      <c r="V489" s="21">
        <v>16</v>
      </c>
      <c r="W489" s="23">
        <v>46275.625</v>
      </c>
      <c r="X489" s="25"/>
      <c r="Y489" s="21">
        <v>0</v>
      </c>
      <c r="Z489" s="26">
        <v>62327</v>
      </c>
      <c r="AA489">
        <v>761.61999999999989</v>
      </c>
      <c r="AB489" s="18">
        <v>0.52591165523860806</v>
      </c>
      <c r="AC489" s="19">
        <v>1.5259116552386081</v>
      </c>
      <c r="AD489" s="19">
        <v>3.0625</v>
      </c>
      <c r="AE489" s="19">
        <v>1.4583333333333335</v>
      </c>
    </row>
    <row r="490" spans="1:31">
      <c r="A490">
        <v>494</v>
      </c>
      <c r="B490" t="s">
        <v>273</v>
      </c>
      <c r="C490" t="s">
        <v>274</v>
      </c>
      <c r="D490" t="s">
        <v>231</v>
      </c>
      <c r="E490" s="36">
        <v>46095</v>
      </c>
      <c r="F490" s="28" t="s">
        <v>275</v>
      </c>
      <c r="G490" s="28" t="s">
        <v>314</v>
      </c>
      <c r="H490" s="28" t="s">
        <v>68</v>
      </c>
      <c r="I490" s="29">
        <v>76416</v>
      </c>
      <c r="J490" s="28" t="s">
        <v>69</v>
      </c>
      <c r="K490" s="30">
        <v>46206.854166666664</v>
      </c>
      <c r="L490" s="28">
        <v>907</v>
      </c>
      <c r="M490" s="29">
        <v>4077</v>
      </c>
      <c r="N490" s="31">
        <v>535.82000000000005</v>
      </c>
      <c r="O490" s="31">
        <v>874.38</v>
      </c>
      <c r="P490" s="31">
        <v>1620</v>
      </c>
      <c r="Q490" s="28">
        <v>426</v>
      </c>
      <c r="R490" s="29">
        <v>20570</v>
      </c>
      <c r="S490" s="29">
        <v>60799</v>
      </c>
      <c r="T490" s="28">
        <v>4</v>
      </c>
      <c r="U490" s="28">
        <v>8</v>
      </c>
      <c r="V490" s="28">
        <v>21</v>
      </c>
      <c r="W490" s="30">
        <v>46275.583333333336</v>
      </c>
      <c r="X490" s="32"/>
      <c r="Y490" s="28">
        <v>0</v>
      </c>
      <c r="Z490" s="33">
        <v>61743</v>
      </c>
      <c r="AA490">
        <v>338.55999999999995</v>
      </c>
      <c r="AB490" s="18">
        <v>0.63185398081445243</v>
      </c>
      <c r="AC490" s="19">
        <v>1.6318539808144525</v>
      </c>
      <c r="AD490" s="19">
        <v>1.3333333333333333</v>
      </c>
      <c r="AE490" s="19">
        <v>0.88888888888888884</v>
      </c>
    </row>
    <row r="491" spans="1:31">
      <c r="A491">
        <v>495</v>
      </c>
      <c r="B491" t="s">
        <v>276</v>
      </c>
      <c r="C491" t="s">
        <v>277</v>
      </c>
      <c r="D491" t="s">
        <v>231</v>
      </c>
      <c r="E491" s="37">
        <v>46095</v>
      </c>
      <c r="F491" s="21" t="s">
        <v>278</v>
      </c>
      <c r="G491" s="21" t="s">
        <v>315</v>
      </c>
      <c r="H491" s="21" t="s">
        <v>74</v>
      </c>
      <c r="I491" s="22">
        <v>80000</v>
      </c>
      <c r="J491" s="21" t="s">
        <v>75</v>
      </c>
      <c r="K491" s="23">
        <v>46206.541666666664</v>
      </c>
      <c r="L491" s="21">
        <v>774</v>
      </c>
      <c r="M491" s="22">
        <v>3510</v>
      </c>
      <c r="N491" s="24">
        <v>463.78</v>
      </c>
      <c r="O491" s="24">
        <v>834.25</v>
      </c>
      <c r="P491" s="24">
        <v>1201</v>
      </c>
      <c r="Q491" s="21">
        <v>411</v>
      </c>
      <c r="R491" s="22">
        <v>20495</v>
      </c>
      <c r="S491" s="22">
        <v>60473</v>
      </c>
      <c r="T491" s="21">
        <v>3</v>
      </c>
      <c r="U491" s="21">
        <v>9</v>
      </c>
      <c r="V491" s="21">
        <v>20</v>
      </c>
      <c r="W491" s="23">
        <v>46275.583333333336</v>
      </c>
      <c r="X491" s="25"/>
      <c r="Y491" s="21">
        <v>0</v>
      </c>
      <c r="Z491" s="26">
        <v>61445</v>
      </c>
      <c r="AA491">
        <v>370.47</v>
      </c>
      <c r="AB491" s="18">
        <v>0.79880546810987973</v>
      </c>
      <c r="AC491" s="19">
        <v>1.7988054681098797</v>
      </c>
      <c r="AD491" s="19">
        <v>1.05</v>
      </c>
      <c r="AE491" s="19">
        <v>1.05</v>
      </c>
    </row>
    <row r="492" spans="1:31">
      <c r="A492">
        <v>496</v>
      </c>
      <c r="B492" t="s">
        <v>279</v>
      </c>
      <c r="C492" t="s">
        <v>280</v>
      </c>
      <c r="D492" t="s">
        <v>281</v>
      </c>
      <c r="E492" s="36">
        <v>46095</v>
      </c>
      <c r="F492" s="28" t="s">
        <v>282</v>
      </c>
      <c r="G492" s="28" t="s">
        <v>315</v>
      </c>
      <c r="H492" s="28" t="s">
        <v>171</v>
      </c>
      <c r="I492" s="29">
        <v>69176</v>
      </c>
      <c r="J492" s="28" t="s">
        <v>172</v>
      </c>
      <c r="K492" s="30">
        <v>46207.708333333336</v>
      </c>
      <c r="L492" s="28">
        <v>739</v>
      </c>
      <c r="M492" s="29">
        <v>3384</v>
      </c>
      <c r="N492" s="31">
        <v>763.74</v>
      </c>
      <c r="O492" s="31">
        <v>1541.82</v>
      </c>
      <c r="P492" s="31">
        <v>2436.4499999999998</v>
      </c>
      <c r="Q492" s="28">
        <v>415</v>
      </c>
      <c r="R492" s="29">
        <v>20782</v>
      </c>
      <c r="S492" s="29">
        <v>61302</v>
      </c>
      <c r="T492" s="28">
        <v>6</v>
      </c>
      <c r="U492" s="28">
        <v>11</v>
      </c>
      <c r="V492" s="28">
        <v>20</v>
      </c>
      <c r="W492" s="30">
        <v>46275.625</v>
      </c>
      <c r="X492" s="32"/>
      <c r="Y492" s="28">
        <v>0</v>
      </c>
      <c r="Z492" s="33">
        <v>62274</v>
      </c>
      <c r="AA492">
        <v>778.07999999999993</v>
      </c>
      <c r="AB492" s="18">
        <v>1.0187760232539869</v>
      </c>
      <c r="AC492" s="19">
        <v>2.0187760232539866</v>
      </c>
      <c r="AD492" s="19">
        <v>2.1</v>
      </c>
      <c r="AE492" s="19">
        <v>1.2833333333333332</v>
      </c>
    </row>
    <row r="493" spans="1:31">
      <c r="A493">
        <v>497</v>
      </c>
      <c r="B493" t="s">
        <v>284</v>
      </c>
      <c r="C493" t="s">
        <v>285</v>
      </c>
      <c r="D493" t="s">
        <v>281</v>
      </c>
      <c r="E493" s="37">
        <v>46095</v>
      </c>
      <c r="F493" s="21" t="s">
        <v>286</v>
      </c>
      <c r="G493" s="21" t="s">
        <v>315</v>
      </c>
      <c r="H493" s="21" t="s">
        <v>62</v>
      </c>
      <c r="I493" s="22">
        <v>71500</v>
      </c>
      <c r="J493" s="21" t="s">
        <v>63</v>
      </c>
      <c r="K493" s="23">
        <v>46207.5</v>
      </c>
      <c r="L493" s="21">
        <v>881</v>
      </c>
      <c r="M493" s="22">
        <v>4046</v>
      </c>
      <c r="N493" s="24">
        <v>679</v>
      </c>
      <c r="O493" s="24">
        <v>1300</v>
      </c>
      <c r="P493" s="24">
        <v>2383.0700000000002</v>
      </c>
      <c r="Q493" s="21">
        <v>436</v>
      </c>
      <c r="R493" s="22">
        <v>20685</v>
      </c>
      <c r="S493" s="22">
        <v>60928</v>
      </c>
      <c r="T493" s="21">
        <v>2</v>
      </c>
      <c r="U493" s="21">
        <v>8</v>
      </c>
      <c r="V493" s="21">
        <v>19</v>
      </c>
      <c r="W493" s="23">
        <v>46275.583333333336</v>
      </c>
      <c r="X493" s="25"/>
      <c r="Y493" s="21">
        <v>0</v>
      </c>
      <c r="Z493" s="26">
        <v>61903</v>
      </c>
      <c r="AA493">
        <v>621</v>
      </c>
      <c r="AB493" s="18">
        <v>0.91458026509572898</v>
      </c>
      <c r="AC493" s="19">
        <v>1.9145802650957291</v>
      </c>
      <c r="AD493" s="19">
        <v>0.73684210526315785</v>
      </c>
      <c r="AE493" s="19">
        <v>0.98245614035087714</v>
      </c>
    </row>
    <row r="494" spans="1:31">
      <c r="A494">
        <v>498</v>
      </c>
      <c r="B494" t="s">
        <v>287</v>
      </c>
      <c r="C494" t="s">
        <v>288</v>
      </c>
      <c r="D494" t="s">
        <v>281</v>
      </c>
      <c r="E494" s="36">
        <v>46095</v>
      </c>
      <c r="F494" s="28" t="s">
        <v>289</v>
      </c>
      <c r="G494" s="28" t="s">
        <v>315</v>
      </c>
      <c r="H494" s="28" t="s">
        <v>91</v>
      </c>
      <c r="I494" s="29">
        <v>82500</v>
      </c>
      <c r="J494" s="28" t="s">
        <v>92</v>
      </c>
      <c r="K494" s="30">
        <v>46208.666666666664</v>
      </c>
      <c r="L494" s="28">
        <v>806</v>
      </c>
      <c r="M494" s="29">
        <v>3638</v>
      </c>
      <c r="N494" s="31">
        <v>888.13</v>
      </c>
      <c r="O494" s="31">
        <v>1485.32</v>
      </c>
      <c r="P494" s="31">
        <v>2251.6799999999998</v>
      </c>
      <c r="Q494" s="28">
        <v>416</v>
      </c>
      <c r="R494" s="29">
        <v>20805</v>
      </c>
      <c r="S494" s="29">
        <v>61408</v>
      </c>
      <c r="T494" s="28">
        <v>2</v>
      </c>
      <c r="U494" s="28">
        <v>13</v>
      </c>
      <c r="V494" s="28">
        <v>19</v>
      </c>
      <c r="W494" s="30">
        <v>46275.625</v>
      </c>
      <c r="X494" s="32"/>
      <c r="Y494" s="28">
        <v>0</v>
      </c>
      <c r="Z494" s="33">
        <v>62346</v>
      </c>
      <c r="AA494">
        <v>597.18999999999994</v>
      </c>
      <c r="AB494" s="18">
        <v>0.67241282244716416</v>
      </c>
      <c r="AC494" s="19">
        <v>1.6724128224471642</v>
      </c>
      <c r="AD494" s="19">
        <v>0.73684210526315785</v>
      </c>
      <c r="AE494" s="19">
        <v>1.5964912280701753</v>
      </c>
    </row>
    <row r="495" spans="1:31">
      <c r="A495">
        <v>499</v>
      </c>
      <c r="B495" t="s">
        <v>290</v>
      </c>
      <c r="C495" t="s">
        <v>291</v>
      </c>
      <c r="D495" t="s">
        <v>281</v>
      </c>
      <c r="E495" s="37">
        <v>46095</v>
      </c>
      <c r="F495" s="21" t="s">
        <v>292</v>
      </c>
      <c r="G495" s="21" t="s">
        <v>314</v>
      </c>
      <c r="H495" s="21" t="s">
        <v>56</v>
      </c>
      <c r="I495" s="22">
        <v>98500</v>
      </c>
      <c r="J495" s="21" t="s">
        <v>57</v>
      </c>
      <c r="K495" s="23">
        <v>46208.791666666664</v>
      </c>
      <c r="L495" s="21">
        <v>424</v>
      </c>
      <c r="M495" s="22">
        <v>2187</v>
      </c>
      <c r="N495" s="24">
        <v>804.05</v>
      </c>
      <c r="O495" s="24">
        <v>1307.0999999999999</v>
      </c>
      <c r="P495" s="24">
        <v>2008.98</v>
      </c>
      <c r="Q495" s="21">
        <v>412</v>
      </c>
      <c r="R495" s="22">
        <v>20659</v>
      </c>
      <c r="S495" s="22">
        <v>61004</v>
      </c>
      <c r="T495" s="21">
        <v>0</v>
      </c>
      <c r="U495" s="21">
        <v>5</v>
      </c>
      <c r="V495" s="21">
        <v>12</v>
      </c>
      <c r="W495" s="23">
        <v>46275.541666666664</v>
      </c>
      <c r="X495" s="25"/>
      <c r="Y495" s="21">
        <v>0</v>
      </c>
      <c r="Z495" s="26">
        <v>61936</v>
      </c>
      <c r="AA495">
        <v>503.04999999999995</v>
      </c>
      <c r="AB495" s="18">
        <v>0.62564517132019148</v>
      </c>
      <c r="AC495" s="19">
        <v>1.6256451713201916</v>
      </c>
      <c r="AD495" s="19">
        <v>0</v>
      </c>
      <c r="AE495" s="19">
        <v>0.97222222222222232</v>
      </c>
    </row>
    <row r="496" spans="1:31">
      <c r="A496">
        <v>500</v>
      </c>
      <c r="B496" t="s">
        <v>293</v>
      </c>
      <c r="C496" t="s">
        <v>294</v>
      </c>
      <c r="D496" t="s">
        <v>281</v>
      </c>
      <c r="E496" s="36">
        <v>46095</v>
      </c>
      <c r="F496" s="28" t="s">
        <v>295</v>
      </c>
      <c r="G496" s="28" t="s">
        <v>315</v>
      </c>
      <c r="H496" s="28" t="s">
        <v>74</v>
      </c>
      <c r="I496" s="29">
        <v>80000</v>
      </c>
      <c r="J496" s="28" t="s">
        <v>75</v>
      </c>
      <c r="K496" s="30">
        <v>46209.583333333336</v>
      </c>
      <c r="L496" s="28">
        <v>811</v>
      </c>
      <c r="M496" s="29">
        <v>3666</v>
      </c>
      <c r="N496" s="31">
        <v>767.28</v>
      </c>
      <c r="O496" s="31">
        <v>1389</v>
      </c>
      <c r="P496" s="31">
        <v>2118.6999999999998</v>
      </c>
      <c r="Q496" s="28">
        <v>410</v>
      </c>
      <c r="R496" s="29">
        <v>20538</v>
      </c>
      <c r="S496" s="29">
        <v>60722</v>
      </c>
      <c r="T496" s="28">
        <v>2</v>
      </c>
      <c r="U496" s="28">
        <v>3</v>
      </c>
      <c r="V496" s="28">
        <v>12</v>
      </c>
      <c r="W496" s="30">
        <v>46275.583333333336</v>
      </c>
      <c r="X496" s="32"/>
      <c r="Y496" s="28">
        <v>0</v>
      </c>
      <c r="Z496" s="33">
        <v>61646</v>
      </c>
      <c r="AA496">
        <v>621.72</v>
      </c>
      <c r="AB496" s="18">
        <v>0.81029089771660934</v>
      </c>
      <c r="AC496" s="19">
        <v>1.8102908977166094</v>
      </c>
      <c r="AD496" s="19">
        <v>1.1666666666666667</v>
      </c>
      <c r="AE496" s="19">
        <v>0.58333333333333337</v>
      </c>
    </row>
    <row r="497" spans="1:31">
      <c r="A497">
        <v>501</v>
      </c>
      <c r="B497" t="s">
        <v>296</v>
      </c>
      <c r="C497" t="s">
        <v>297</v>
      </c>
      <c r="D497" t="s">
        <v>281</v>
      </c>
      <c r="E497" s="37">
        <v>46095</v>
      </c>
      <c r="F497" s="21" t="s">
        <v>298</v>
      </c>
      <c r="G497" s="21" t="s">
        <v>315</v>
      </c>
      <c r="H497" s="21" t="s">
        <v>118</v>
      </c>
      <c r="I497" s="22">
        <v>67000</v>
      </c>
      <c r="J497" s="21" t="s">
        <v>119</v>
      </c>
      <c r="K497" s="23">
        <v>46209.708333333336</v>
      </c>
      <c r="L497" s="21">
        <v>752</v>
      </c>
      <c r="M497" s="22">
        <v>3501</v>
      </c>
      <c r="N497" s="24">
        <v>757.27</v>
      </c>
      <c r="O497" s="24">
        <v>1376.97</v>
      </c>
      <c r="P497" s="24">
        <v>2200.1</v>
      </c>
      <c r="Q497" s="21">
        <v>414</v>
      </c>
      <c r="R497" s="22">
        <v>20956</v>
      </c>
      <c r="S497" s="22">
        <v>61273</v>
      </c>
      <c r="T497" s="21">
        <v>0</v>
      </c>
      <c r="U497" s="21">
        <v>2</v>
      </c>
      <c r="V497" s="21">
        <v>9</v>
      </c>
      <c r="W497" s="23">
        <v>46275.5</v>
      </c>
      <c r="X497" s="25"/>
      <c r="Y497" s="21">
        <v>0</v>
      </c>
      <c r="Z497" s="26">
        <v>62201</v>
      </c>
      <c r="AA497">
        <v>619.70000000000005</v>
      </c>
      <c r="AB497" s="18">
        <v>0.81833427971529316</v>
      </c>
      <c r="AC497" s="19">
        <v>1.8183342797152933</v>
      </c>
      <c r="AD497" s="19">
        <v>0</v>
      </c>
      <c r="AE497" s="19">
        <v>0.51851851851851849</v>
      </c>
    </row>
    <row r="498" spans="1:31">
      <c r="A498">
        <v>502</v>
      </c>
      <c r="B498" t="s">
        <v>299</v>
      </c>
      <c r="C498" t="s">
        <v>300</v>
      </c>
      <c r="D498" t="s">
        <v>281</v>
      </c>
      <c r="E498" s="36">
        <v>46095</v>
      </c>
      <c r="F498" s="28" t="s">
        <v>301</v>
      </c>
      <c r="G498" s="28" t="s">
        <v>315</v>
      </c>
      <c r="H498" s="28" t="s">
        <v>79</v>
      </c>
      <c r="I498" s="29">
        <v>71000</v>
      </c>
      <c r="J498" s="28" t="s">
        <v>80</v>
      </c>
      <c r="K498" s="30">
        <v>46210.5</v>
      </c>
      <c r="L498" s="28">
        <v>863</v>
      </c>
      <c r="M498" s="29">
        <v>3972</v>
      </c>
      <c r="N498" s="31">
        <v>707.37</v>
      </c>
      <c r="O498" s="31">
        <v>1282.3</v>
      </c>
      <c r="P498" s="31">
        <v>2425.5300000000002</v>
      </c>
      <c r="Q498" s="28">
        <v>415</v>
      </c>
      <c r="R498" s="29">
        <v>20760</v>
      </c>
      <c r="S498" s="29">
        <v>61145</v>
      </c>
      <c r="T498" s="28">
        <v>1</v>
      </c>
      <c r="U498" s="28">
        <v>3</v>
      </c>
      <c r="V498" s="28">
        <v>11</v>
      </c>
      <c r="W498" s="30">
        <v>46275.625</v>
      </c>
      <c r="X498" s="32"/>
      <c r="Y498" s="28">
        <v>0</v>
      </c>
      <c r="Z498" s="33">
        <v>62075</v>
      </c>
      <c r="AA498">
        <v>574.92999999999995</v>
      </c>
      <c r="AB498" s="18">
        <v>0.81277125125464744</v>
      </c>
      <c r="AC498" s="19">
        <v>1.8127712512546474</v>
      </c>
      <c r="AD498" s="19">
        <v>0.63636363636363635</v>
      </c>
      <c r="AE498" s="19">
        <v>0.63636363636363635</v>
      </c>
    </row>
    <row r="499" spans="1:31">
      <c r="A499">
        <v>503</v>
      </c>
      <c r="B499" t="s">
        <v>302</v>
      </c>
      <c r="C499" t="s">
        <v>303</v>
      </c>
      <c r="D499" t="s">
        <v>281</v>
      </c>
      <c r="E499" s="37">
        <v>46095</v>
      </c>
      <c r="F499" s="21" t="s">
        <v>304</v>
      </c>
      <c r="G499" s="21" t="s">
        <v>314</v>
      </c>
      <c r="H499" s="21" t="s">
        <v>164</v>
      </c>
      <c r="I499" s="22">
        <v>54500</v>
      </c>
      <c r="J499" s="21" t="s">
        <v>165</v>
      </c>
      <c r="K499" s="23">
        <v>46210.541666666664</v>
      </c>
      <c r="L499" s="21">
        <v>679</v>
      </c>
      <c r="M499" s="22">
        <v>3146</v>
      </c>
      <c r="N499" s="24">
        <v>865.8</v>
      </c>
      <c r="O499" s="24">
        <v>1630.4</v>
      </c>
      <c r="P499" s="24">
        <v>2515.96</v>
      </c>
      <c r="Q499" s="21">
        <v>419</v>
      </c>
      <c r="R499" s="22">
        <v>20901</v>
      </c>
      <c r="S499" s="22">
        <v>62302</v>
      </c>
      <c r="T499" s="21">
        <v>1</v>
      </c>
      <c r="U499" s="21">
        <v>2</v>
      </c>
      <c r="V499" s="21">
        <v>8</v>
      </c>
      <c r="W499" s="23">
        <v>46275.375</v>
      </c>
      <c r="X499" s="25"/>
      <c r="Y499" s="21">
        <v>0</v>
      </c>
      <c r="Z499" s="26">
        <v>63259</v>
      </c>
      <c r="AA499">
        <v>764.60000000000014</v>
      </c>
      <c r="AB499" s="18">
        <v>0.88311388311388328</v>
      </c>
      <c r="AC499" s="19">
        <v>1.8831138831138834</v>
      </c>
      <c r="AD499" s="19">
        <v>0.875</v>
      </c>
      <c r="AE499" s="19">
        <v>0.58333333333333337</v>
      </c>
    </row>
    <row r="500" spans="1:31">
      <c r="A500">
        <v>504</v>
      </c>
      <c r="B500" t="s">
        <v>305</v>
      </c>
      <c r="C500" t="s">
        <v>306</v>
      </c>
      <c r="D500" t="s">
        <v>66</v>
      </c>
      <c r="E500" s="36">
        <v>46095</v>
      </c>
      <c r="F500" s="28" t="s">
        <v>307</v>
      </c>
      <c r="G500" s="28" t="s">
        <v>315</v>
      </c>
      <c r="H500" s="28" t="s">
        <v>127</v>
      </c>
      <c r="I500" s="29">
        <v>68756</v>
      </c>
      <c r="J500" s="28" t="s">
        <v>128</v>
      </c>
      <c r="K500" s="30">
        <v>46212.666666666664</v>
      </c>
      <c r="L500" s="28">
        <v>699</v>
      </c>
      <c r="M500" s="29">
        <v>3309</v>
      </c>
      <c r="N500" s="31">
        <v>1045.77</v>
      </c>
      <c r="O500" s="31">
        <v>1805.1</v>
      </c>
      <c r="P500" s="31">
        <v>2761.2</v>
      </c>
      <c r="Q500" s="28">
        <v>48</v>
      </c>
      <c r="R500" s="29">
        <v>3940</v>
      </c>
      <c r="S500" s="29">
        <v>16506</v>
      </c>
      <c r="T500" s="28">
        <v>3</v>
      </c>
      <c r="U500" s="28">
        <v>14</v>
      </c>
      <c r="V500" s="28">
        <v>21</v>
      </c>
      <c r="W500" s="30">
        <v>46275.625</v>
      </c>
      <c r="X500" s="32"/>
      <c r="Y500" s="28">
        <v>0</v>
      </c>
      <c r="Z500" s="33">
        <v>16861</v>
      </c>
      <c r="AA500">
        <v>759.32999999999993</v>
      </c>
      <c r="AB500" s="18">
        <v>0.72609656042915738</v>
      </c>
      <c r="AC500" s="19">
        <v>1.7260965604291574</v>
      </c>
      <c r="AD500" s="19">
        <v>1</v>
      </c>
      <c r="AE500" s="19">
        <v>1.5555555555555556</v>
      </c>
    </row>
    <row r="501" spans="1:31">
      <c r="A501">
        <v>505</v>
      </c>
      <c r="B501" t="s">
        <v>308</v>
      </c>
      <c r="C501" t="s">
        <v>309</v>
      </c>
      <c r="D501" t="s">
        <v>66</v>
      </c>
      <c r="E501" s="37">
        <v>46095</v>
      </c>
      <c r="F501" s="21" t="s">
        <v>310</v>
      </c>
      <c r="G501" s="21" t="s">
        <v>315</v>
      </c>
      <c r="H501" s="21" t="s">
        <v>113</v>
      </c>
      <c r="I501" s="22">
        <v>70240</v>
      </c>
      <c r="J501" s="21" t="s">
        <v>114</v>
      </c>
      <c r="K501" s="23">
        <v>46213.5</v>
      </c>
      <c r="L501" s="21">
        <v>830</v>
      </c>
      <c r="M501" s="22">
        <v>3767</v>
      </c>
      <c r="N501" s="24">
        <v>1308.1400000000001</v>
      </c>
      <c r="O501" s="24">
        <v>2142.36</v>
      </c>
      <c r="P501" s="24">
        <v>3310.47</v>
      </c>
      <c r="Q501" s="21">
        <v>821</v>
      </c>
      <c r="R501" s="22">
        <v>38725</v>
      </c>
      <c r="S501" s="22">
        <v>107652</v>
      </c>
      <c r="T501" s="21">
        <v>1</v>
      </c>
      <c r="U501" s="21">
        <v>3</v>
      </c>
      <c r="V501" s="21">
        <v>12</v>
      </c>
      <c r="W501" s="23">
        <v>46275.5</v>
      </c>
      <c r="X501" s="25"/>
      <c r="Y501" s="21">
        <v>0</v>
      </c>
      <c r="Z501" s="26">
        <v>109188</v>
      </c>
      <c r="AA501">
        <v>834.22</v>
      </c>
      <c r="AB501" s="18">
        <v>0.6377146177014692</v>
      </c>
      <c r="AC501" s="19">
        <v>1.6377146177014692</v>
      </c>
      <c r="AD501" s="19">
        <v>0.58333333333333337</v>
      </c>
      <c r="AE501" s="19">
        <v>0.58333333333333337</v>
      </c>
    </row>
    <row r="502" spans="1:31">
      <c r="A502">
        <v>506</v>
      </c>
      <c r="B502" t="s">
        <v>311</v>
      </c>
      <c r="C502" t="s">
        <v>312</v>
      </c>
      <c r="D502" t="s">
        <v>66</v>
      </c>
      <c r="E502" s="36">
        <v>46095</v>
      </c>
      <c r="F502" s="28" t="s">
        <v>313</v>
      </c>
      <c r="G502" s="28" t="s">
        <v>315</v>
      </c>
      <c r="H502" s="28" t="s">
        <v>85</v>
      </c>
      <c r="I502" s="29">
        <v>76100</v>
      </c>
      <c r="J502" s="28" t="s">
        <v>86</v>
      </c>
      <c r="K502" s="30">
        <v>46214.708333333336</v>
      </c>
      <c r="L502" s="28">
        <v>763</v>
      </c>
      <c r="M502" s="29">
        <v>3475</v>
      </c>
      <c r="N502" s="31">
        <v>1326.23</v>
      </c>
      <c r="O502" s="31">
        <v>2251.56</v>
      </c>
      <c r="P502" s="31">
        <v>3234.49</v>
      </c>
      <c r="Q502" s="28">
        <v>818</v>
      </c>
      <c r="R502" s="29">
        <v>38533</v>
      </c>
      <c r="S502" s="29">
        <v>107745</v>
      </c>
      <c r="T502" s="28">
        <v>0</v>
      </c>
      <c r="U502" s="28">
        <v>3</v>
      </c>
      <c r="V502" s="28">
        <v>8</v>
      </c>
      <c r="W502" s="30">
        <v>46275.625</v>
      </c>
      <c r="X502" s="32"/>
      <c r="Y502" s="28">
        <v>0</v>
      </c>
      <c r="Z502" s="33">
        <v>109274</v>
      </c>
      <c r="AA502">
        <v>925.32999999999993</v>
      </c>
      <c r="AB502" s="18">
        <v>0.69771457439508977</v>
      </c>
      <c r="AC502" s="19">
        <v>1.6977145743950899</v>
      </c>
      <c r="AD502" s="19">
        <v>0</v>
      </c>
      <c r="AE502" s="19">
        <v>0.875</v>
      </c>
    </row>
    <row r="503" spans="1:31">
      <c r="A503">
        <v>507</v>
      </c>
      <c r="B503" t="s">
        <v>64</v>
      </c>
      <c r="C503" t="s">
        <v>65</v>
      </c>
      <c r="D503" t="s">
        <v>66</v>
      </c>
      <c r="E503" s="37">
        <v>46095</v>
      </c>
      <c r="F503" s="21" t="s">
        <v>67</v>
      </c>
      <c r="G503" s="21" t="s">
        <v>315</v>
      </c>
      <c r="H503" s="21" t="s">
        <v>68</v>
      </c>
      <c r="I503" s="22">
        <v>76416</v>
      </c>
      <c r="J503" s="21" t="s">
        <v>69</v>
      </c>
      <c r="K503" s="23">
        <v>46214.833333333336</v>
      </c>
      <c r="L503" s="21">
        <v>661</v>
      </c>
      <c r="M503" s="22">
        <v>3081</v>
      </c>
      <c r="N503" s="24">
        <v>1269.1500000000001</v>
      </c>
      <c r="O503" s="24">
        <v>2359.7399999999998</v>
      </c>
      <c r="P503" s="24">
        <v>3257.8</v>
      </c>
      <c r="Q503" s="21">
        <v>811</v>
      </c>
      <c r="R503" s="22">
        <v>38714</v>
      </c>
      <c r="S503" s="22">
        <v>107445</v>
      </c>
      <c r="T503" s="21">
        <v>3</v>
      </c>
      <c r="U503" s="21">
        <v>7</v>
      </c>
      <c r="V503" s="21">
        <v>9</v>
      </c>
      <c r="W503" s="23">
        <v>46275.583333333336</v>
      </c>
      <c r="X503" s="25"/>
      <c r="Y503" s="21">
        <v>0</v>
      </c>
      <c r="Z503" s="26">
        <v>108978</v>
      </c>
      <c r="AA503">
        <v>1090.5899999999997</v>
      </c>
      <c r="AB503" s="18">
        <v>0.85930741047157511</v>
      </c>
      <c r="AC503" s="19">
        <v>1.8593074104715752</v>
      </c>
      <c r="AD503" s="19">
        <v>2.333333333333333</v>
      </c>
      <c r="AE503" s="19">
        <v>1.8148148148148149</v>
      </c>
    </row>
    <row r="504" spans="1:31">
      <c r="A504">
        <v>508</v>
      </c>
      <c r="B504" t="s">
        <v>70</v>
      </c>
      <c r="C504" t="s">
        <v>71</v>
      </c>
      <c r="D504" t="s">
        <v>72</v>
      </c>
      <c r="E504" s="36">
        <v>46095</v>
      </c>
      <c r="F504" s="28" t="s">
        <v>73</v>
      </c>
      <c r="G504" s="28" t="s">
        <v>315</v>
      </c>
      <c r="H504" s="28" t="s">
        <v>74</v>
      </c>
      <c r="I504" s="29">
        <v>80000</v>
      </c>
      <c r="J504" s="28" t="s">
        <v>75</v>
      </c>
      <c r="K504" s="30">
        <v>46217.583333333336</v>
      </c>
      <c r="L504" s="28">
        <v>726</v>
      </c>
      <c r="M504" s="29">
        <v>3383</v>
      </c>
      <c r="N504" s="31">
        <v>1843</v>
      </c>
      <c r="O504" s="31">
        <v>3182.89</v>
      </c>
      <c r="P504" s="31">
        <v>5224.47</v>
      </c>
      <c r="Q504" s="28">
        <v>809</v>
      </c>
      <c r="R504" s="29">
        <v>38483</v>
      </c>
      <c r="S504" s="29">
        <v>107031</v>
      </c>
      <c r="T504" s="28">
        <v>1</v>
      </c>
      <c r="U504" s="28">
        <v>5</v>
      </c>
      <c r="V504" s="28">
        <v>11</v>
      </c>
      <c r="W504" s="30">
        <v>46275.583333333336</v>
      </c>
      <c r="X504" s="32"/>
      <c r="Y504" s="28">
        <v>0</v>
      </c>
      <c r="Z504" s="33">
        <v>108571</v>
      </c>
      <c r="AA504">
        <v>1339.8899999999999</v>
      </c>
      <c r="AB504" s="18">
        <v>0.72701573521432439</v>
      </c>
      <c r="AC504" s="19">
        <v>1.7270157352143245</v>
      </c>
      <c r="AD504" s="19">
        <v>0.63636363636363635</v>
      </c>
      <c r="AE504" s="19">
        <v>1.0606060606060608</v>
      </c>
    </row>
    <row r="505" spans="1:31">
      <c r="A505">
        <v>509</v>
      </c>
      <c r="B505" t="s">
        <v>76</v>
      </c>
      <c r="C505" t="s">
        <v>77</v>
      </c>
      <c r="D505" t="s">
        <v>72</v>
      </c>
      <c r="E505" s="37">
        <v>46095</v>
      </c>
      <c r="F505" s="21" t="s">
        <v>78</v>
      </c>
      <c r="G505" s="21" t="s">
        <v>315</v>
      </c>
      <c r="H505" s="21" t="s">
        <v>79</v>
      </c>
      <c r="I505" s="22">
        <v>71000</v>
      </c>
      <c r="J505" s="21" t="s">
        <v>80</v>
      </c>
      <c r="K505" s="23">
        <v>46218.625</v>
      </c>
      <c r="L505" s="21">
        <v>764</v>
      </c>
      <c r="M505" s="22">
        <v>3464</v>
      </c>
      <c r="N505" s="24">
        <v>1624.48</v>
      </c>
      <c r="O505" s="24">
        <v>3192.35</v>
      </c>
      <c r="P505" s="24">
        <v>5000</v>
      </c>
      <c r="Q505" s="21">
        <v>811</v>
      </c>
      <c r="R505" s="22">
        <v>38715</v>
      </c>
      <c r="S505" s="22">
        <v>107693</v>
      </c>
      <c r="T505" s="21">
        <v>1</v>
      </c>
      <c r="U505" s="21">
        <v>3</v>
      </c>
      <c r="V505" s="21">
        <v>14</v>
      </c>
      <c r="W505" s="23">
        <v>46275.625</v>
      </c>
      <c r="X505" s="25"/>
      <c r="Y505" s="21">
        <v>0</v>
      </c>
      <c r="Z505" s="26">
        <v>109217</v>
      </c>
      <c r="AA505">
        <v>1567.87</v>
      </c>
      <c r="AB505" s="18">
        <v>0.96515192553924944</v>
      </c>
      <c r="AC505" s="19">
        <v>1.9651519255392493</v>
      </c>
      <c r="AD505" s="19">
        <v>0.5</v>
      </c>
      <c r="AE505" s="19">
        <v>0.5</v>
      </c>
    </row>
    <row r="506" spans="1:31">
      <c r="A506">
        <v>510</v>
      </c>
      <c r="B506" t="s">
        <v>81</v>
      </c>
      <c r="C506" t="s">
        <v>82</v>
      </c>
      <c r="D506" t="s">
        <v>83</v>
      </c>
      <c r="E506" s="36">
        <v>46095</v>
      </c>
      <c r="F506" s="28" t="s">
        <v>84</v>
      </c>
      <c r="G506" s="28" t="s">
        <v>315</v>
      </c>
      <c r="H506" s="28" t="s">
        <v>85</v>
      </c>
      <c r="I506" s="29">
        <v>76100</v>
      </c>
      <c r="J506" s="28" t="s">
        <v>86</v>
      </c>
      <c r="K506" s="30">
        <v>46221.708333333336</v>
      </c>
      <c r="L506" s="28">
        <v>793</v>
      </c>
      <c r="M506" s="29">
        <v>3526</v>
      </c>
      <c r="N506" s="31">
        <v>868.8</v>
      </c>
      <c r="O506" s="31">
        <v>1330</v>
      </c>
      <c r="P506" s="31">
        <v>2250</v>
      </c>
      <c r="Q506" s="29">
        <v>1209</v>
      </c>
      <c r="R506" s="29">
        <v>50081</v>
      </c>
      <c r="S506" s="29">
        <v>139129</v>
      </c>
      <c r="T506" s="28">
        <v>2</v>
      </c>
      <c r="U506" s="28">
        <v>7</v>
      </c>
      <c r="V506" s="28">
        <v>11</v>
      </c>
      <c r="W506" s="30">
        <v>46275.625</v>
      </c>
      <c r="X506" s="32"/>
      <c r="Y506" s="28">
        <v>0</v>
      </c>
      <c r="Z506" s="33">
        <v>141253</v>
      </c>
      <c r="AA506">
        <v>461.20000000000005</v>
      </c>
      <c r="AB506" s="18">
        <v>0.53084714548802958</v>
      </c>
      <c r="AC506" s="19">
        <v>1.5308471454880295</v>
      </c>
      <c r="AD506" s="19">
        <v>1.2727272727272727</v>
      </c>
      <c r="AE506" s="19">
        <v>1.4848484848484849</v>
      </c>
    </row>
    <row r="507" spans="1:31">
      <c r="A507">
        <v>511</v>
      </c>
      <c r="B507" t="s">
        <v>87</v>
      </c>
      <c r="C507" t="s">
        <v>88</v>
      </c>
      <c r="D507" t="s">
        <v>89</v>
      </c>
      <c r="E507" s="37">
        <v>46095</v>
      </c>
      <c r="F507" s="21" t="s">
        <v>90</v>
      </c>
      <c r="G507" s="21" t="s">
        <v>315</v>
      </c>
      <c r="H507" s="21" t="s">
        <v>91</v>
      </c>
      <c r="I507" s="22">
        <v>82500</v>
      </c>
      <c r="J507" s="21" t="s">
        <v>92</v>
      </c>
      <c r="K507" s="23">
        <v>46222.625</v>
      </c>
      <c r="L507" s="21">
        <v>537</v>
      </c>
      <c r="M507" s="22">
        <v>2420</v>
      </c>
      <c r="N507" s="24">
        <v>6852.82</v>
      </c>
      <c r="O507" s="24">
        <v>11786.2</v>
      </c>
      <c r="P507" s="24">
        <v>16114.42</v>
      </c>
      <c r="Q507" s="21">
        <v>821</v>
      </c>
      <c r="R507" s="22">
        <v>40417</v>
      </c>
      <c r="S507" s="22">
        <v>113175</v>
      </c>
      <c r="T507" s="21">
        <v>2</v>
      </c>
      <c r="U507" s="21">
        <v>5</v>
      </c>
      <c r="V507" s="21">
        <v>12</v>
      </c>
      <c r="W507" s="23">
        <v>46275.625</v>
      </c>
      <c r="X507" s="25"/>
      <c r="Y507" s="21">
        <v>0</v>
      </c>
      <c r="Z507" s="26">
        <v>114748</v>
      </c>
      <c r="AA507">
        <v>4933.380000000001</v>
      </c>
      <c r="AB507" s="18">
        <v>0.71990509016725979</v>
      </c>
      <c r="AC507" s="19">
        <v>1.7199050901672599</v>
      </c>
      <c r="AD507" s="19">
        <v>1.1666666666666667</v>
      </c>
      <c r="AE507" s="19">
        <v>0.97222222222222232</v>
      </c>
    </row>
    <row r="508" spans="1:31">
      <c r="A508">
        <v>512</v>
      </c>
      <c r="B508" t="s">
        <v>51</v>
      </c>
      <c r="C508" t="s">
        <v>52</v>
      </c>
      <c r="D508" t="s">
        <v>53</v>
      </c>
      <c r="E508" s="36">
        <v>46098</v>
      </c>
      <c r="F508" s="28" t="s">
        <v>54</v>
      </c>
      <c r="G508" s="32"/>
      <c r="H508" s="28" t="s">
        <v>56</v>
      </c>
      <c r="I508" s="29">
        <v>98500</v>
      </c>
      <c r="J508" s="28" t="s">
        <v>57</v>
      </c>
      <c r="K508" s="30">
        <v>46184.583333333336</v>
      </c>
      <c r="L508" s="28">
        <v>537</v>
      </c>
      <c r="M508" s="29">
        <v>3291</v>
      </c>
      <c r="N508" s="31">
        <v>2373</v>
      </c>
      <c r="O508" s="31">
        <v>4219.2</v>
      </c>
      <c r="P508" s="31">
        <v>6364.8</v>
      </c>
      <c r="Q508" s="28">
        <v>282</v>
      </c>
      <c r="R508" s="29">
        <v>11561</v>
      </c>
      <c r="S508" s="29">
        <v>30544</v>
      </c>
      <c r="T508" s="28">
        <v>2</v>
      </c>
      <c r="U508" s="28">
        <v>9</v>
      </c>
      <c r="V508" s="28">
        <v>16</v>
      </c>
      <c r="W508" s="30">
        <v>46275.541666666664</v>
      </c>
      <c r="X508" s="32"/>
      <c r="Y508" s="28">
        <v>0</v>
      </c>
      <c r="Z508" s="33">
        <v>30962</v>
      </c>
      <c r="AA508">
        <v>1846.1999999999998</v>
      </c>
      <c r="AB508" s="18">
        <v>0.77800252844500628</v>
      </c>
      <c r="AC508" s="19">
        <v>1.7780025284450063</v>
      </c>
      <c r="AD508" s="19">
        <v>0.875</v>
      </c>
      <c r="AE508" s="19">
        <v>1.3125</v>
      </c>
    </row>
    <row r="509" spans="1:31">
      <c r="A509">
        <v>513</v>
      </c>
      <c r="B509" t="s">
        <v>133</v>
      </c>
      <c r="C509" t="s">
        <v>124</v>
      </c>
      <c r="D509" t="s">
        <v>53</v>
      </c>
      <c r="E509" s="20">
        <v>46098</v>
      </c>
      <c r="F509" s="21" t="s">
        <v>134</v>
      </c>
      <c r="G509" s="25"/>
      <c r="H509" s="21" t="s">
        <v>135</v>
      </c>
      <c r="I509" s="22">
        <v>49800</v>
      </c>
      <c r="J509" s="21" t="s">
        <v>136</v>
      </c>
      <c r="K509" s="23">
        <v>46184.875</v>
      </c>
      <c r="L509" s="21">
        <v>407</v>
      </c>
      <c r="M509" s="22">
        <v>2068</v>
      </c>
      <c r="N509" s="24">
        <v>360</v>
      </c>
      <c r="O509" s="24">
        <v>583.57000000000005</v>
      </c>
      <c r="P509" s="24">
        <v>940.06</v>
      </c>
      <c r="Q509" s="21">
        <v>178</v>
      </c>
      <c r="R509" s="22">
        <v>9033</v>
      </c>
      <c r="S509" s="22">
        <v>22970</v>
      </c>
      <c r="T509" s="21">
        <v>2</v>
      </c>
      <c r="U509" s="21">
        <v>8</v>
      </c>
      <c r="V509" s="21">
        <v>18</v>
      </c>
      <c r="W509" s="23">
        <v>46275.541666666664</v>
      </c>
      <c r="X509" s="25"/>
      <c r="Y509" s="21">
        <v>0</v>
      </c>
      <c r="Z509" s="26">
        <v>23273</v>
      </c>
      <c r="AA509">
        <v>223.57000000000005</v>
      </c>
      <c r="AB509" s="18">
        <v>0.62102777777777796</v>
      </c>
      <c r="AC509" s="19">
        <v>1.621027777777778</v>
      </c>
      <c r="AD509" s="19">
        <v>0.77777777777777768</v>
      </c>
      <c r="AE509" s="19">
        <v>1.037037037037037</v>
      </c>
    </row>
    <row r="510" spans="1:31">
      <c r="A510">
        <v>514</v>
      </c>
      <c r="B510" t="s">
        <v>161</v>
      </c>
      <c r="C510" t="s">
        <v>124</v>
      </c>
      <c r="D510" t="s">
        <v>159</v>
      </c>
      <c r="E510" s="27">
        <v>46098</v>
      </c>
      <c r="F510" s="28" t="s">
        <v>173</v>
      </c>
      <c r="G510" s="32"/>
      <c r="H510" s="28" t="s">
        <v>146</v>
      </c>
      <c r="I510" s="29">
        <v>30000</v>
      </c>
      <c r="J510" s="28" t="s">
        <v>147</v>
      </c>
      <c r="K510" s="30">
        <v>46185.625</v>
      </c>
      <c r="L510" s="28">
        <v>444</v>
      </c>
      <c r="M510" s="29">
        <v>2106</v>
      </c>
      <c r="N510" s="31">
        <v>1238.55</v>
      </c>
      <c r="O510" s="31">
        <v>1992.81</v>
      </c>
      <c r="P510" s="31">
        <v>2796.3</v>
      </c>
      <c r="Q510" s="28">
        <v>157</v>
      </c>
      <c r="R510" s="29">
        <v>6540</v>
      </c>
      <c r="S510" s="29">
        <v>16596</v>
      </c>
      <c r="T510" s="28">
        <v>2</v>
      </c>
      <c r="U510" s="28">
        <v>6</v>
      </c>
      <c r="V510" s="28">
        <v>11</v>
      </c>
      <c r="W510" s="30">
        <v>46275.5</v>
      </c>
      <c r="X510" s="32"/>
      <c r="Y510" s="28">
        <v>0</v>
      </c>
      <c r="Z510" s="33">
        <v>16866</v>
      </c>
      <c r="AA510">
        <v>754.26</v>
      </c>
      <c r="AB510" s="18">
        <v>0.60898631464212183</v>
      </c>
      <c r="AC510" s="19">
        <v>1.6089863146421219</v>
      </c>
      <c r="AD510" s="19">
        <v>1.2727272727272727</v>
      </c>
      <c r="AE510" s="19">
        <v>1.2727272727272727</v>
      </c>
    </row>
    <row r="511" spans="1:31">
      <c r="A511">
        <v>515</v>
      </c>
      <c r="B511" t="s">
        <v>180</v>
      </c>
      <c r="C511" t="s">
        <v>177</v>
      </c>
      <c r="D511" t="s">
        <v>178</v>
      </c>
      <c r="E511" s="20">
        <v>46098</v>
      </c>
      <c r="F511" s="21" t="s">
        <v>192</v>
      </c>
      <c r="G511" s="25"/>
      <c r="H511" s="21" t="s">
        <v>113</v>
      </c>
      <c r="I511" s="22">
        <v>70240</v>
      </c>
      <c r="J511" s="21" t="s">
        <v>114</v>
      </c>
      <c r="K511" s="23">
        <v>46185.75</v>
      </c>
      <c r="L511" s="21">
        <v>806</v>
      </c>
      <c r="M511" s="22">
        <v>3406</v>
      </c>
      <c r="N511" s="24">
        <v>1142</v>
      </c>
      <c r="O511" s="24">
        <v>2003.62</v>
      </c>
      <c r="P511" s="24">
        <v>2901.6</v>
      </c>
      <c r="Q511" s="21">
        <v>273</v>
      </c>
      <c r="R511" s="22">
        <v>12513</v>
      </c>
      <c r="S511" s="22">
        <v>33012</v>
      </c>
      <c r="T511" s="21">
        <v>4</v>
      </c>
      <c r="U511" s="21">
        <v>7</v>
      </c>
      <c r="V511" s="21">
        <v>25</v>
      </c>
      <c r="W511" s="23">
        <v>46275.5</v>
      </c>
      <c r="X511" s="25"/>
      <c r="Y511" s="21">
        <v>0</v>
      </c>
      <c r="Z511" s="26">
        <v>33503</v>
      </c>
      <c r="AA511">
        <v>861.61999999999989</v>
      </c>
      <c r="AB511" s="18">
        <v>0.7544833625218913</v>
      </c>
      <c r="AC511" s="19">
        <v>1.7544833625218914</v>
      </c>
      <c r="AD511" s="19">
        <v>1.1199999999999999</v>
      </c>
      <c r="AE511" s="19">
        <v>0.65333333333333332</v>
      </c>
    </row>
    <row r="512" spans="1:31">
      <c r="A512">
        <v>516</v>
      </c>
      <c r="B512" t="s">
        <v>168</v>
      </c>
      <c r="C512" t="s">
        <v>174</v>
      </c>
      <c r="D512" t="s">
        <v>169</v>
      </c>
      <c r="E512" s="27">
        <v>46098</v>
      </c>
      <c r="F512" s="28" t="s">
        <v>203</v>
      </c>
      <c r="G512" s="32"/>
      <c r="H512" s="28" t="s">
        <v>127</v>
      </c>
      <c r="I512" s="29">
        <v>68756</v>
      </c>
      <c r="J512" s="28" t="s">
        <v>128</v>
      </c>
      <c r="K512" s="30">
        <v>46186.875</v>
      </c>
      <c r="L512" s="28">
        <v>723</v>
      </c>
      <c r="M512" s="29">
        <v>3152</v>
      </c>
      <c r="N512" s="31">
        <v>500.4</v>
      </c>
      <c r="O512" s="31">
        <v>810</v>
      </c>
      <c r="P512" s="31">
        <v>1100</v>
      </c>
      <c r="Q512" s="28">
        <v>133</v>
      </c>
      <c r="R512" s="29">
        <v>4606</v>
      </c>
      <c r="S512" s="29">
        <v>11938</v>
      </c>
      <c r="T512" s="28">
        <v>1</v>
      </c>
      <c r="U512" s="28">
        <v>5</v>
      </c>
      <c r="V512" s="28">
        <v>20</v>
      </c>
      <c r="W512" s="30">
        <v>46275.625</v>
      </c>
      <c r="X512" s="32"/>
      <c r="Y512" s="28">
        <v>0</v>
      </c>
      <c r="Z512" s="33">
        <v>12116</v>
      </c>
      <c r="AA512">
        <v>309.60000000000002</v>
      </c>
      <c r="AB512" s="18">
        <v>0.61870503597122306</v>
      </c>
      <c r="AC512" s="19">
        <v>1.6187050359712232</v>
      </c>
      <c r="AD512" s="19">
        <v>0.35</v>
      </c>
      <c r="AE512" s="19">
        <v>0.58333333333333337</v>
      </c>
    </row>
    <row r="513" spans="1:31">
      <c r="A513">
        <v>517</v>
      </c>
      <c r="B513" t="s">
        <v>181</v>
      </c>
      <c r="C513" t="s">
        <v>124</v>
      </c>
      <c r="D513" t="s">
        <v>178</v>
      </c>
      <c r="E513" s="20">
        <v>46098</v>
      </c>
      <c r="F513" s="21" t="s">
        <v>214</v>
      </c>
      <c r="G513" s="25"/>
      <c r="H513" s="21" t="s">
        <v>164</v>
      </c>
      <c r="I513" s="22">
        <v>54500</v>
      </c>
      <c r="J513" s="21" t="s">
        <v>165</v>
      </c>
      <c r="K513" s="23">
        <v>46186.875</v>
      </c>
      <c r="L513" s="21">
        <v>508</v>
      </c>
      <c r="M513" s="22">
        <v>2392</v>
      </c>
      <c r="N513" s="24">
        <v>372.77</v>
      </c>
      <c r="O513" s="24">
        <v>571.73</v>
      </c>
      <c r="P513" s="24">
        <v>1117.8</v>
      </c>
      <c r="Q513" s="21">
        <v>119</v>
      </c>
      <c r="R513" s="22">
        <v>5344</v>
      </c>
      <c r="S513" s="22">
        <v>13614</v>
      </c>
      <c r="T513" s="21">
        <v>3</v>
      </c>
      <c r="U513" s="21">
        <v>5</v>
      </c>
      <c r="V513" s="21">
        <v>18</v>
      </c>
      <c r="W513" s="23">
        <v>46275.375</v>
      </c>
      <c r="X513" s="25"/>
      <c r="Y513" s="21">
        <v>0</v>
      </c>
      <c r="Z513" s="26">
        <v>13799</v>
      </c>
      <c r="AA513">
        <v>198.96000000000004</v>
      </c>
      <c r="AB513" s="18">
        <v>0.5337339378168845</v>
      </c>
      <c r="AC513" s="19">
        <v>1.5337339378168846</v>
      </c>
      <c r="AD513" s="19">
        <v>1.1666666666666665</v>
      </c>
      <c r="AE513" s="19">
        <v>0.64814814814814814</v>
      </c>
    </row>
    <row r="514" spans="1:31">
      <c r="A514">
        <v>518</v>
      </c>
      <c r="B514" t="s">
        <v>167</v>
      </c>
      <c r="C514" t="s">
        <v>175</v>
      </c>
      <c r="D514" t="s">
        <v>169</v>
      </c>
      <c r="E514" s="27">
        <v>46098</v>
      </c>
      <c r="F514" s="28" t="s">
        <v>225</v>
      </c>
      <c r="G514" s="32"/>
      <c r="H514" s="28" t="s">
        <v>91</v>
      </c>
      <c r="I514" s="29">
        <v>82500</v>
      </c>
      <c r="J514" s="28" t="s">
        <v>92</v>
      </c>
      <c r="K514" s="30">
        <v>46186.75</v>
      </c>
      <c r="L514" s="28">
        <v>950</v>
      </c>
      <c r="M514" s="29">
        <v>4617</v>
      </c>
      <c r="N514" s="31">
        <v>920.53</v>
      </c>
      <c r="O514" s="31">
        <v>1556.23</v>
      </c>
      <c r="P514" s="31">
        <v>2348.67</v>
      </c>
      <c r="Q514" s="28">
        <v>340</v>
      </c>
      <c r="R514" s="29">
        <v>15197</v>
      </c>
      <c r="S514" s="29">
        <v>39021</v>
      </c>
      <c r="T514" s="28">
        <v>8</v>
      </c>
      <c r="U514" s="28">
        <v>22</v>
      </c>
      <c r="V514" s="28">
        <v>55</v>
      </c>
      <c r="W514" s="30">
        <v>46275.625</v>
      </c>
      <c r="X514" s="32"/>
      <c r="Y514" s="28">
        <v>0</v>
      </c>
      <c r="Z514" s="33">
        <v>39605</v>
      </c>
      <c r="AA514">
        <v>635.70000000000005</v>
      </c>
      <c r="AB514" s="18">
        <v>0.69058042649343321</v>
      </c>
      <c r="AC514" s="19">
        <v>1.6905804264934332</v>
      </c>
      <c r="AD514" s="19">
        <v>1.0181818181818183</v>
      </c>
      <c r="AE514" s="19">
        <v>0.93333333333333335</v>
      </c>
    </row>
    <row r="515" spans="1:31">
      <c r="A515">
        <v>519</v>
      </c>
      <c r="B515" t="s">
        <v>162</v>
      </c>
      <c r="C515" t="s">
        <v>158</v>
      </c>
      <c r="D515" t="s">
        <v>159</v>
      </c>
      <c r="E515" s="20">
        <v>46098</v>
      </c>
      <c r="F515" s="21" t="s">
        <v>251</v>
      </c>
      <c r="G515" s="25"/>
      <c r="H515" s="21" t="s">
        <v>140</v>
      </c>
      <c r="I515" s="22">
        <v>75000</v>
      </c>
      <c r="J515" s="21" t="s">
        <v>141</v>
      </c>
      <c r="K515" s="23">
        <v>46186.5</v>
      </c>
      <c r="L515" s="21">
        <v>744</v>
      </c>
      <c r="M515" s="22">
        <v>3268</v>
      </c>
      <c r="N515" s="24">
        <v>284.94</v>
      </c>
      <c r="O515" s="24">
        <v>495</v>
      </c>
      <c r="P515" s="24">
        <v>780.28</v>
      </c>
      <c r="Q515" s="21">
        <v>162</v>
      </c>
      <c r="R515" s="22">
        <v>8092</v>
      </c>
      <c r="S515" s="22">
        <v>20863</v>
      </c>
      <c r="T515" s="21">
        <v>9</v>
      </c>
      <c r="U515" s="21">
        <v>23</v>
      </c>
      <c r="V515" s="21">
        <v>49</v>
      </c>
      <c r="W515" s="23">
        <v>46275.5</v>
      </c>
      <c r="X515" s="25"/>
      <c r="Y515" s="21">
        <v>0</v>
      </c>
      <c r="Z515" s="26">
        <v>21114</v>
      </c>
      <c r="AA515">
        <v>210.06</v>
      </c>
      <c r="AB515" s="18">
        <v>0.73720783322804806</v>
      </c>
      <c r="AC515" s="19">
        <v>1.7372078332280481</v>
      </c>
      <c r="AD515" s="19">
        <v>1.2857142857142858</v>
      </c>
      <c r="AE515" s="19">
        <v>1.0952380952380953</v>
      </c>
    </row>
    <row r="516" spans="1:31">
      <c r="A516">
        <v>520</v>
      </c>
      <c r="B516" t="s">
        <v>183</v>
      </c>
      <c r="C516" t="s">
        <v>185</v>
      </c>
      <c r="D516" t="s">
        <v>60</v>
      </c>
      <c r="E516" s="27">
        <v>46098</v>
      </c>
      <c r="F516" s="28" t="s">
        <v>283</v>
      </c>
      <c r="G516" s="32"/>
      <c r="H516" s="28" t="s">
        <v>171</v>
      </c>
      <c r="I516" s="29">
        <v>69176</v>
      </c>
      <c r="J516" s="28" t="s">
        <v>172</v>
      </c>
      <c r="K516" s="30">
        <v>46187.791666666664</v>
      </c>
      <c r="L516" s="28">
        <v>705</v>
      </c>
      <c r="M516" s="29">
        <v>3116</v>
      </c>
      <c r="N516" s="31">
        <v>442.33</v>
      </c>
      <c r="O516" s="31">
        <v>724.21</v>
      </c>
      <c r="P516" s="31">
        <v>993.37</v>
      </c>
      <c r="Q516" s="28">
        <v>128</v>
      </c>
      <c r="R516" s="29">
        <v>6586</v>
      </c>
      <c r="S516" s="29">
        <v>16634</v>
      </c>
      <c r="T516" s="28">
        <v>9</v>
      </c>
      <c r="U516" s="28">
        <v>18</v>
      </c>
      <c r="V516" s="28">
        <v>34</v>
      </c>
      <c r="W516" s="30">
        <v>46275.625</v>
      </c>
      <c r="X516" s="32"/>
      <c r="Y516" s="28">
        <v>0</v>
      </c>
      <c r="Z516" s="33">
        <v>16866</v>
      </c>
      <c r="AA516">
        <v>281.88000000000005</v>
      </c>
      <c r="AB516" s="18">
        <v>0.63726177288449815</v>
      </c>
      <c r="AC516" s="19">
        <v>1.637261772884498</v>
      </c>
      <c r="AD516" s="19">
        <v>1.8529411764705883</v>
      </c>
      <c r="AE516" s="19">
        <v>1.2352941176470589</v>
      </c>
    </row>
    <row r="517" spans="1:31">
      <c r="A517">
        <v>521</v>
      </c>
      <c r="B517" t="s">
        <v>58</v>
      </c>
      <c r="C517" t="s">
        <v>59</v>
      </c>
      <c r="D517" t="s">
        <v>60</v>
      </c>
      <c r="E517" s="20">
        <v>46098</v>
      </c>
      <c r="F517" s="21" t="s">
        <v>61</v>
      </c>
      <c r="G517" s="25"/>
      <c r="H517" s="21" t="s">
        <v>62</v>
      </c>
      <c r="I517" s="22">
        <v>71500</v>
      </c>
      <c r="J517" s="21" t="s">
        <v>63</v>
      </c>
      <c r="K517" s="23">
        <v>46187.5</v>
      </c>
      <c r="L517" s="21">
        <v>824</v>
      </c>
      <c r="M517" s="22">
        <v>3605</v>
      </c>
      <c r="N517" s="24">
        <v>387.99</v>
      </c>
      <c r="O517" s="24">
        <v>610.41999999999996</v>
      </c>
      <c r="P517" s="24">
        <v>926.93</v>
      </c>
      <c r="Q517" s="21">
        <v>131</v>
      </c>
      <c r="R517" s="22">
        <v>6522</v>
      </c>
      <c r="S517" s="22">
        <v>16411</v>
      </c>
      <c r="T517" s="21">
        <v>3</v>
      </c>
      <c r="U517" s="21">
        <v>9</v>
      </c>
      <c r="V517" s="21">
        <v>29</v>
      </c>
      <c r="W517" s="23">
        <v>46275.583333333336</v>
      </c>
      <c r="X517" s="25"/>
      <c r="Y517" s="21">
        <v>0</v>
      </c>
      <c r="Z517" s="26">
        <v>16627</v>
      </c>
      <c r="AA517">
        <v>222.42999999999995</v>
      </c>
      <c r="AB517" s="18">
        <v>0.57328797133946741</v>
      </c>
      <c r="AC517" s="19">
        <v>1.5732879713394674</v>
      </c>
      <c r="AD517" s="19">
        <v>0.72413793103448265</v>
      </c>
      <c r="AE517" s="19">
        <v>0.72413793103448265</v>
      </c>
    </row>
    <row r="518" spans="1:31">
      <c r="A518">
        <v>522</v>
      </c>
      <c r="B518" t="s">
        <v>93</v>
      </c>
      <c r="C518" t="s">
        <v>94</v>
      </c>
      <c r="D518" t="s">
        <v>95</v>
      </c>
      <c r="E518" s="27">
        <v>46098</v>
      </c>
      <c r="F518" s="28" t="s">
        <v>96</v>
      </c>
      <c r="G518" s="32"/>
      <c r="H518" s="28" t="s">
        <v>74</v>
      </c>
      <c r="I518" s="29">
        <v>80000</v>
      </c>
      <c r="J518" s="28" t="s">
        <v>75</v>
      </c>
      <c r="K518" s="30">
        <v>46187.625</v>
      </c>
      <c r="L518" s="28">
        <v>596</v>
      </c>
      <c r="M518" s="29">
        <v>2698</v>
      </c>
      <c r="N518" s="31">
        <v>617.85</v>
      </c>
      <c r="O518" s="31">
        <v>922.16</v>
      </c>
      <c r="P518" s="31">
        <v>1321.65</v>
      </c>
      <c r="Q518" s="28">
        <v>136</v>
      </c>
      <c r="R518" s="29">
        <v>6786</v>
      </c>
      <c r="S518" s="29">
        <v>18330</v>
      </c>
      <c r="T518" s="28">
        <v>7</v>
      </c>
      <c r="U518" s="28">
        <v>27</v>
      </c>
      <c r="V518" s="28">
        <v>66</v>
      </c>
      <c r="W518" s="30">
        <v>46275.583333333336</v>
      </c>
      <c r="X518" s="32"/>
      <c r="Y518" s="28">
        <v>0</v>
      </c>
      <c r="Z518" s="33">
        <v>18556</v>
      </c>
      <c r="AA518">
        <v>304.30999999999995</v>
      </c>
      <c r="AB518" s="18">
        <v>0.49253054948612113</v>
      </c>
      <c r="AC518" s="19">
        <v>1.4925305494861212</v>
      </c>
      <c r="AD518" s="19">
        <v>0.74242424242424243</v>
      </c>
      <c r="AE518" s="19">
        <v>0.95454545454545447</v>
      </c>
    </row>
    <row r="519" spans="1:31">
      <c r="A519">
        <v>523</v>
      </c>
      <c r="B519" t="s">
        <v>97</v>
      </c>
      <c r="C519" t="s">
        <v>98</v>
      </c>
      <c r="D519" t="s">
        <v>95</v>
      </c>
      <c r="E519" s="20">
        <v>46098</v>
      </c>
      <c r="F519" s="21" t="s">
        <v>99</v>
      </c>
      <c r="G519" s="25"/>
      <c r="H519" s="21" t="s">
        <v>100</v>
      </c>
      <c r="I519" s="22">
        <v>52237</v>
      </c>
      <c r="J519" s="21" t="s">
        <v>101</v>
      </c>
      <c r="K519" s="23">
        <v>46187.875</v>
      </c>
      <c r="L519" s="21">
        <v>426</v>
      </c>
      <c r="M519" s="22">
        <v>2150</v>
      </c>
      <c r="N519" s="24">
        <v>184.99</v>
      </c>
      <c r="O519" s="24">
        <v>352.48</v>
      </c>
      <c r="P519" s="24">
        <v>652.19000000000005</v>
      </c>
      <c r="Q519" s="21">
        <v>89</v>
      </c>
      <c r="R519" s="22">
        <v>4918</v>
      </c>
      <c r="S519" s="22">
        <v>12051</v>
      </c>
      <c r="T519" s="21">
        <v>1</v>
      </c>
      <c r="U519" s="21">
        <v>4</v>
      </c>
      <c r="V519" s="21">
        <v>12</v>
      </c>
      <c r="W519" s="23">
        <v>46275.541666666664</v>
      </c>
      <c r="X519" s="25"/>
      <c r="Y519" s="21">
        <v>0</v>
      </c>
      <c r="Z519" s="26">
        <v>12206</v>
      </c>
      <c r="AA519">
        <v>167.49</v>
      </c>
      <c r="AB519" s="18">
        <v>0.90540029190767068</v>
      </c>
      <c r="AC519" s="19">
        <v>1.9054002919076707</v>
      </c>
      <c r="AD519" s="19">
        <v>0.58333333333333337</v>
      </c>
      <c r="AE519" s="19">
        <v>0.77777777777777779</v>
      </c>
    </row>
    <row r="520" spans="1:31">
      <c r="A520">
        <v>524</v>
      </c>
      <c r="B520" t="s">
        <v>102</v>
      </c>
      <c r="C520" t="s">
        <v>103</v>
      </c>
      <c r="D520" t="s">
        <v>104</v>
      </c>
      <c r="E520" s="27">
        <v>46098</v>
      </c>
      <c r="F520" s="28" t="s">
        <v>105</v>
      </c>
      <c r="G520" s="32"/>
      <c r="H520" s="28" t="s">
        <v>85</v>
      </c>
      <c r="I520" s="29">
        <v>76100</v>
      </c>
      <c r="J520" s="28" t="s">
        <v>86</v>
      </c>
      <c r="K520" s="30">
        <v>46188.75</v>
      </c>
      <c r="L520" s="28">
        <v>903</v>
      </c>
      <c r="M520" s="29">
        <v>3898</v>
      </c>
      <c r="N520" s="31">
        <v>302.81</v>
      </c>
      <c r="O520" s="31">
        <v>492.51</v>
      </c>
      <c r="P520" s="31">
        <v>750</v>
      </c>
      <c r="Q520" s="28">
        <v>178</v>
      </c>
      <c r="R520" s="29">
        <v>9271</v>
      </c>
      <c r="S520" s="29">
        <v>23304</v>
      </c>
      <c r="T520" s="28">
        <v>3</v>
      </c>
      <c r="U520" s="28">
        <v>15</v>
      </c>
      <c r="V520" s="28">
        <v>40</v>
      </c>
      <c r="W520" s="30">
        <v>46275.625</v>
      </c>
      <c r="X520" s="32"/>
      <c r="Y520" s="28">
        <v>0</v>
      </c>
      <c r="Z520" s="33">
        <v>23616</v>
      </c>
      <c r="AA520">
        <v>189.7</v>
      </c>
      <c r="AB520" s="18">
        <v>0.62646544037515273</v>
      </c>
      <c r="AC520" s="19">
        <v>1.6264654403751526</v>
      </c>
      <c r="AD520" s="19">
        <v>0.52500000000000002</v>
      </c>
      <c r="AE520" s="19">
        <v>0.875</v>
      </c>
    </row>
    <row r="521" spans="1:31">
      <c r="A521">
        <v>525</v>
      </c>
      <c r="B521" t="s">
        <v>106</v>
      </c>
      <c r="C521" t="s">
        <v>107</v>
      </c>
      <c r="D521" t="s">
        <v>104</v>
      </c>
      <c r="E521" s="20">
        <v>46098</v>
      </c>
      <c r="F521" s="21" t="s">
        <v>108</v>
      </c>
      <c r="G521" s="25"/>
      <c r="H521" s="21" t="s">
        <v>79</v>
      </c>
      <c r="I521" s="22">
        <v>71000</v>
      </c>
      <c r="J521" s="21" t="s">
        <v>80</v>
      </c>
      <c r="K521" s="23">
        <v>46188.5</v>
      </c>
      <c r="L521" s="21">
        <v>835</v>
      </c>
      <c r="M521" s="22">
        <v>3674</v>
      </c>
      <c r="N521" s="24">
        <v>353.4</v>
      </c>
      <c r="O521" s="24">
        <v>585.52</v>
      </c>
      <c r="P521" s="24">
        <v>881.05</v>
      </c>
      <c r="Q521" s="21">
        <v>209</v>
      </c>
      <c r="R521" s="22">
        <v>8924</v>
      </c>
      <c r="S521" s="22">
        <v>22984</v>
      </c>
      <c r="T521" s="21">
        <v>7</v>
      </c>
      <c r="U521" s="21">
        <v>18</v>
      </c>
      <c r="V521" s="21">
        <v>42</v>
      </c>
      <c r="W521" s="23">
        <v>46275.625</v>
      </c>
      <c r="X521" s="25"/>
      <c r="Y521" s="21">
        <v>0</v>
      </c>
      <c r="Z521" s="26">
        <v>23306</v>
      </c>
      <c r="AA521">
        <v>232.12</v>
      </c>
      <c r="AB521" s="18">
        <v>0.65681946802490099</v>
      </c>
      <c r="AC521" s="19">
        <v>1.6568194680249011</v>
      </c>
      <c r="AD521" s="19">
        <v>1.1666666666666667</v>
      </c>
      <c r="AE521" s="19">
        <v>1</v>
      </c>
    </row>
    <row r="522" spans="1:31">
      <c r="A522">
        <v>526</v>
      </c>
      <c r="B522" t="s">
        <v>109</v>
      </c>
      <c r="C522" t="s">
        <v>110</v>
      </c>
      <c r="D522" t="s">
        <v>111</v>
      </c>
      <c r="E522" s="27">
        <v>46098</v>
      </c>
      <c r="F522" s="28" t="s">
        <v>112</v>
      </c>
      <c r="G522" s="32"/>
      <c r="H522" s="28" t="s">
        <v>113</v>
      </c>
      <c r="I522" s="29">
        <v>70240</v>
      </c>
      <c r="J522" s="28" t="s">
        <v>114</v>
      </c>
      <c r="K522" s="30">
        <v>46188.75</v>
      </c>
      <c r="L522" s="28">
        <v>975</v>
      </c>
      <c r="M522" s="29">
        <v>4191</v>
      </c>
      <c r="N522" s="31">
        <v>225</v>
      </c>
      <c r="O522" s="31">
        <v>522</v>
      </c>
      <c r="P522" s="31">
        <v>850</v>
      </c>
      <c r="Q522" s="28">
        <v>167</v>
      </c>
      <c r="R522" s="29">
        <v>8520</v>
      </c>
      <c r="S522" s="29">
        <v>21914</v>
      </c>
      <c r="T522" s="28">
        <v>4</v>
      </c>
      <c r="U522" s="28">
        <v>11</v>
      </c>
      <c r="V522" s="28">
        <v>19</v>
      </c>
      <c r="W522" s="30">
        <v>46275.5</v>
      </c>
      <c r="X522" s="32"/>
      <c r="Y522" s="28">
        <v>0</v>
      </c>
      <c r="Z522" s="33">
        <v>22189</v>
      </c>
      <c r="AA522">
        <v>297</v>
      </c>
      <c r="AB522" s="18">
        <v>1.32</v>
      </c>
      <c r="AC522" s="19">
        <v>2.3199999999999998</v>
      </c>
      <c r="AD522" s="19">
        <v>1.4736842105263157</v>
      </c>
      <c r="AE522" s="19">
        <v>1.3508771929824561</v>
      </c>
    </row>
    <row r="523" spans="1:31">
      <c r="A523">
        <v>527</v>
      </c>
      <c r="B523" t="s">
        <v>115</v>
      </c>
      <c r="C523" t="s">
        <v>116</v>
      </c>
      <c r="D523" t="s">
        <v>111</v>
      </c>
      <c r="E523" s="20">
        <v>46098</v>
      </c>
      <c r="F523" s="21" t="s">
        <v>117</v>
      </c>
      <c r="G523" s="25"/>
      <c r="H523" s="21" t="s">
        <v>118</v>
      </c>
      <c r="I523" s="22">
        <v>67000</v>
      </c>
      <c r="J523" s="21" t="s">
        <v>119</v>
      </c>
      <c r="K523" s="23">
        <v>46188.5</v>
      </c>
      <c r="L523" s="21">
        <v>671</v>
      </c>
      <c r="M523" s="22">
        <v>2951</v>
      </c>
      <c r="N523" s="24">
        <v>360.46</v>
      </c>
      <c r="O523" s="24">
        <v>620.9</v>
      </c>
      <c r="P523" s="24">
        <v>908.98</v>
      </c>
      <c r="Q523" s="21">
        <v>182</v>
      </c>
      <c r="R523" s="22">
        <v>8816</v>
      </c>
      <c r="S523" s="22">
        <v>22675</v>
      </c>
      <c r="T523" s="21">
        <v>0</v>
      </c>
      <c r="U523" s="21">
        <v>11</v>
      </c>
      <c r="V523" s="21">
        <v>27</v>
      </c>
      <c r="W523" s="23">
        <v>46275.5</v>
      </c>
      <c r="X523" s="25"/>
      <c r="Y523" s="21">
        <v>0</v>
      </c>
      <c r="Z523" s="26">
        <v>22972</v>
      </c>
      <c r="AA523">
        <v>260.44</v>
      </c>
      <c r="AB523" s="18">
        <v>0.72252122288187315</v>
      </c>
      <c r="AC523" s="19">
        <v>1.7225212228818731</v>
      </c>
      <c r="AD523" s="19">
        <v>0</v>
      </c>
      <c r="AE523" s="19">
        <v>0.95061728395061718</v>
      </c>
    </row>
    <row r="524" spans="1:31">
      <c r="A524">
        <v>528</v>
      </c>
      <c r="B524" t="s">
        <v>120</v>
      </c>
      <c r="C524" t="s">
        <v>121</v>
      </c>
      <c r="D524" t="s">
        <v>122</v>
      </c>
      <c r="E524" s="27">
        <v>46098</v>
      </c>
      <c r="F524" s="28" t="s">
        <v>123</v>
      </c>
      <c r="G524" s="32"/>
      <c r="H524" s="28" t="s">
        <v>91</v>
      </c>
      <c r="I524" s="29">
        <v>82500</v>
      </c>
      <c r="J524" s="28" t="s">
        <v>92</v>
      </c>
      <c r="K524" s="30">
        <v>46189.625</v>
      </c>
      <c r="L524" s="28">
        <v>823</v>
      </c>
      <c r="M524" s="29">
        <v>3701</v>
      </c>
      <c r="N524" s="31">
        <v>536.17999999999995</v>
      </c>
      <c r="O524" s="31">
        <v>935.98</v>
      </c>
      <c r="P524" s="31">
        <v>1350</v>
      </c>
      <c r="Q524" s="28">
        <v>186</v>
      </c>
      <c r="R524" s="29">
        <v>10181</v>
      </c>
      <c r="S524" s="29">
        <v>25794</v>
      </c>
      <c r="T524" s="28">
        <v>11</v>
      </c>
      <c r="U524" s="28">
        <v>34</v>
      </c>
      <c r="V524" s="28">
        <v>51</v>
      </c>
      <c r="W524" s="30">
        <v>46275.625</v>
      </c>
      <c r="X524" s="32"/>
      <c r="Y524" s="28">
        <v>0</v>
      </c>
      <c r="Z524" s="33">
        <v>26143</v>
      </c>
      <c r="AA524">
        <v>399.80000000000007</v>
      </c>
      <c r="AB524" s="18">
        <v>0.7456451191763962</v>
      </c>
      <c r="AC524" s="19">
        <v>1.7456451191763962</v>
      </c>
      <c r="AD524" s="19">
        <v>1.5098039215686274</v>
      </c>
      <c r="AE524" s="19">
        <v>1.5555555555555556</v>
      </c>
    </row>
    <row r="525" spans="1:31">
      <c r="A525">
        <v>529</v>
      </c>
      <c r="B525" t="s">
        <v>124</v>
      </c>
      <c r="C525" t="s">
        <v>125</v>
      </c>
      <c r="D525" t="s">
        <v>122</v>
      </c>
      <c r="E525" s="20">
        <v>46098</v>
      </c>
      <c r="F525" s="21" t="s">
        <v>126</v>
      </c>
      <c r="G525" s="25"/>
      <c r="H525" s="21" t="s">
        <v>127</v>
      </c>
      <c r="I525" s="22">
        <v>68756</v>
      </c>
      <c r="J525" s="21" t="s">
        <v>128</v>
      </c>
      <c r="K525" s="23">
        <v>46189.75</v>
      </c>
      <c r="L525" s="21">
        <v>669</v>
      </c>
      <c r="M525" s="22">
        <v>3153</v>
      </c>
      <c r="N525" s="24">
        <v>396</v>
      </c>
      <c r="O525" s="24">
        <v>639.4</v>
      </c>
      <c r="P525" s="24">
        <v>1016.1</v>
      </c>
      <c r="Q525" s="21">
        <v>160</v>
      </c>
      <c r="R525" s="22">
        <v>8312</v>
      </c>
      <c r="S525" s="22">
        <v>21268</v>
      </c>
      <c r="T525" s="21">
        <v>3</v>
      </c>
      <c r="U525" s="21">
        <v>6</v>
      </c>
      <c r="V525" s="21">
        <v>16</v>
      </c>
      <c r="W525" s="23">
        <v>46275.625</v>
      </c>
      <c r="X525" s="25"/>
      <c r="Y525" s="21">
        <v>0</v>
      </c>
      <c r="Z525" s="26">
        <v>21539</v>
      </c>
      <c r="AA525">
        <v>243.39999999999998</v>
      </c>
      <c r="AB525" s="18">
        <v>0.61464646464646455</v>
      </c>
      <c r="AC525" s="19">
        <v>1.6146464646464647</v>
      </c>
      <c r="AD525" s="19">
        <v>1.3125</v>
      </c>
      <c r="AE525" s="19">
        <v>0.875</v>
      </c>
    </row>
    <row r="526" spans="1:31">
      <c r="A526">
        <v>530</v>
      </c>
      <c r="B526" t="s">
        <v>129</v>
      </c>
      <c r="C526" t="s">
        <v>130</v>
      </c>
      <c r="D526" t="s">
        <v>131</v>
      </c>
      <c r="E526" s="27">
        <v>46098</v>
      </c>
      <c r="F526" s="28" t="s">
        <v>132</v>
      </c>
      <c r="G526" s="32"/>
      <c r="H526" s="28" t="s">
        <v>68</v>
      </c>
      <c r="I526" s="29">
        <v>76416</v>
      </c>
      <c r="J526" s="28" t="s">
        <v>69</v>
      </c>
      <c r="K526" s="30">
        <v>46189.833333333336</v>
      </c>
      <c r="L526" s="28">
        <v>854</v>
      </c>
      <c r="M526" s="29">
        <v>3769</v>
      </c>
      <c r="N526" s="31">
        <v>667.31</v>
      </c>
      <c r="O526" s="31">
        <v>1067.44</v>
      </c>
      <c r="P526" s="31">
        <v>1800</v>
      </c>
      <c r="Q526" s="28">
        <v>222</v>
      </c>
      <c r="R526" s="29">
        <v>9169</v>
      </c>
      <c r="S526" s="29">
        <v>23683</v>
      </c>
      <c r="T526" s="28">
        <v>4</v>
      </c>
      <c r="U526" s="28">
        <v>13</v>
      </c>
      <c r="V526" s="28">
        <v>36</v>
      </c>
      <c r="W526" s="30">
        <v>46275.583333333336</v>
      </c>
      <c r="X526" s="32"/>
      <c r="Y526" s="28">
        <v>0</v>
      </c>
      <c r="Z526" s="33">
        <v>24025</v>
      </c>
      <c r="AA526">
        <v>400.13000000000011</v>
      </c>
      <c r="AB526" s="18">
        <v>0.5996163702027546</v>
      </c>
      <c r="AC526" s="19">
        <v>1.5996163702027546</v>
      </c>
      <c r="AD526" s="19">
        <v>0.77777777777777768</v>
      </c>
      <c r="AE526" s="19">
        <v>0.84259259259259245</v>
      </c>
    </row>
    <row r="527" spans="1:31">
      <c r="A527">
        <v>531</v>
      </c>
      <c r="B527" t="s">
        <v>137</v>
      </c>
      <c r="C527" t="s">
        <v>138</v>
      </c>
      <c r="D527" t="s">
        <v>131</v>
      </c>
      <c r="E527" s="20">
        <v>46098</v>
      </c>
      <c r="F527" s="21" t="s">
        <v>139</v>
      </c>
      <c r="G527" s="25"/>
      <c r="H527" s="21" t="s">
        <v>140</v>
      </c>
      <c r="I527" s="22">
        <v>75000</v>
      </c>
      <c r="J527" s="21" t="s">
        <v>141</v>
      </c>
      <c r="K527" s="23">
        <v>46189.875</v>
      </c>
      <c r="L527" s="21">
        <v>774</v>
      </c>
      <c r="M527" s="22">
        <v>3308</v>
      </c>
      <c r="N527" s="24">
        <v>189.67</v>
      </c>
      <c r="O527" s="24">
        <v>457.41</v>
      </c>
      <c r="P527" s="24">
        <v>700</v>
      </c>
      <c r="Q527" s="21">
        <v>159</v>
      </c>
      <c r="R527" s="22">
        <v>8525</v>
      </c>
      <c r="S527" s="22">
        <v>21474</v>
      </c>
      <c r="T527" s="21">
        <v>2</v>
      </c>
      <c r="U527" s="21">
        <v>10</v>
      </c>
      <c r="V527" s="21">
        <v>27</v>
      </c>
      <c r="W527" s="23">
        <v>46275.5</v>
      </c>
      <c r="X527" s="25"/>
      <c r="Y527" s="21">
        <v>0</v>
      </c>
      <c r="Z527" s="26">
        <v>21765</v>
      </c>
      <c r="AA527">
        <v>267.74</v>
      </c>
      <c r="AB527" s="18">
        <v>1.4116096377919547</v>
      </c>
      <c r="AC527" s="19">
        <v>2.4116096377919547</v>
      </c>
      <c r="AD527" s="19">
        <v>0.51851851851851849</v>
      </c>
      <c r="AE527" s="19">
        <v>0.86419753086419759</v>
      </c>
    </row>
    <row r="528" spans="1:31">
      <c r="A528">
        <v>532</v>
      </c>
      <c r="B528" t="s">
        <v>142</v>
      </c>
      <c r="C528" t="s">
        <v>143</v>
      </c>
      <c r="D528" t="s">
        <v>144</v>
      </c>
      <c r="E528" s="27">
        <v>46098</v>
      </c>
      <c r="F528" s="28" t="s">
        <v>145</v>
      </c>
      <c r="G528" s="32"/>
      <c r="H528" s="28" t="s">
        <v>146</v>
      </c>
      <c r="I528" s="29">
        <v>30000</v>
      </c>
      <c r="J528" s="28" t="s">
        <v>147</v>
      </c>
      <c r="K528" s="30">
        <v>46190.791666666664</v>
      </c>
      <c r="L528" s="28">
        <v>452</v>
      </c>
      <c r="M528" s="29">
        <v>2256</v>
      </c>
      <c r="N528" s="31">
        <v>401.93</v>
      </c>
      <c r="O528" s="31">
        <v>599.16999999999996</v>
      </c>
      <c r="P528" s="31">
        <v>879.84</v>
      </c>
      <c r="Q528" s="28">
        <v>182</v>
      </c>
      <c r="R528" s="29">
        <v>8961</v>
      </c>
      <c r="S528" s="29">
        <v>22774</v>
      </c>
      <c r="T528" s="28">
        <v>4</v>
      </c>
      <c r="U528" s="28">
        <v>6</v>
      </c>
      <c r="V528" s="28">
        <v>20</v>
      </c>
      <c r="W528" s="30">
        <v>46275.5</v>
      </c>
      <c r="X528" s="32"/>
      <c r="Y528" s="28">
        <v>0</v>
      </c>
      <c r="Z528" s="33">
        <v>23065</v>
      </c>
      <c r="AA528">
        <v>197.23999999999995</v>
      </c>
      <c r="AB528" s="18">
        <v>0.49073221705272052</v>
      </c>
      <c r="AC528" s="19">
        <v>1.4907322170527204</v>
      </c>
      <c r="AD528" s="19">
        <v>1.4</v>
      </c>
      <c r="AE528" s="19">
        <v>0.7</v>
      </c>
    </row>
    <row r="529" spans="1:31">
      <c r="A529">
        <v>533</v>
      </c>
      <c r="B529" t="s">
        <v>148</v>
      </c>
      <c r="C529" t="s">
        <v>149</v>
      </c>
      <c r="D529" t="s">
        <v>144</v>
      </c>
      <c r="E529" s="20">
        <v>46098</v>
      </c>
      <c r="F529" s="21" t="s">
        <v>150</v>
      </c>
      <c r="G529" s="25"/>
      <c r="H529" s="21" t="s">
        <v>74</v>
      </c>
      <c r="I529" s="22">
        <v>80000</v>
      </c>
      <c r="J529" s="21" t="s">
        <v>75</v>
      </c>
      <c r="K529" s="23">
        <v>46190.625</v>
      </c>
      <c r="L529" s="21">
        <v>748</v>
      </c>
      <c r="M529" s="22">
        <v>4009</v>
      </c>
      <c r="N529" s="24">
        <v>850</v>
      </c>
      <c r="O529" s="24">
        <v>1620</v>
      </c>
      <c r="P529" s="24">
        <v>2697.75</v>
      </c>
      <c r="Q529" s="21">
        <v>117</v>
      </c>
      <c r="R529" s="22">
        <v>4703</v>
      </c>
      <c r="S529" s="22">
        <v>11933</v>
      </c>
      <c r="T529" s="21">
        <v>2</v>
      </c>
      <c r="U529" s="21">
        <v>13</v>
      </c>
      <c r="V529" s="21">
        <v>33</v>
      </c>
      <c r="W529" s="23">
        <v>46275.583333333336</v>
      </c>
      <c r="X529" s="25"/>
      <c r="Y529" s="21">
        <v>0</v>
      </c>
      <c r="Z529" s="26">
        <v>12113</v>
      </c>
      <c r="AA529">
        <v>770</v>
      </c>
      <c r="AB529" s="18">
        <v>0.90588235294117647</v>
      </c>
      <c r="AC529" s="19">
        <v>1.9058823529411764</v>
      </c>
      <c r="AD529" s="19">
        <v>0.42424242424242425</v>
      </c>
      <c r="AE529" s="19">
        <v>0.91919191919191912</v>
      </c>
    </row>
    <row r="530" spans="1:31">
      <c r="A530">
        <v>534</v>
      </c>
      <c r="B530" t="s">
        <v>151</v>
      </c>
      <c r="C530" t="s">
        <v>124</v>
      </c>
      <c r="D530" t="s">
        <v>152</v>
      </c>
      <c r="E530" s="27">
        <v>46098</v>
      </c>
      <c r="F530" s="28" t="s">
        <v>153</v>
      </c>
      <c r="G530" s="32"/>
      <c r="H530" s="28" t="s">
        <v>62</v>
      </c>
      <c r="I530" s="29">
        <v>71500</v>
      </c>
      <c r="J530" s="28" t="s">
        <v>63</v>
      </c>
      <c r="K530" s="30">
        <v>46190.5</v>
      </c>
      <c r="L530" s="28">
        <v>961</v>
      </c>
      <c r="M530" s="29">
        <v>4229</v>
      </c>
      <c r="N530" s="31">
        <v>544.53</v>
      </c>
      <c r="O530" s="31">
        <v>900</v>
      </c>
      <c r="P530" s="31">
        <v>1481.09</v>
      </c>
      <c r="Q530" s="28">
        <v>215</v>
      </c>
      <c r="R530" s="29">
        <v>9928</v>
      </c>
      <c r="S530" s="29">
        <v>25672</v>
      </c>
      <c r="T530" s="28">
        <v>3</v>
      </c>
      <c r="U530" s="28">
        <v>14</v>
      </c>
      <c r="V530" s="28">
        <v>35</v>
      </c>
      <c r="W530" s="30">
        <v>46275.583333333336</v>
      </c>
      <c r="X530" s="32"/>
      <c r="Y530" s="28">
        <v>0</v>
      </c>
      <c r="Z530" s="33">
        <v>26030</v>
      </c>
      <c r="AA530">
        <v>355.47</v>
      </c>
      <c r="AB530" s="18">
        <v>0.65280149854002545</v>
      </c>
      <c r="AC530" s="19">
        <v>1.6528014985400254</v>
      </c>
      <c r="AD530" s="19">
        <v>0.6</v>
      </c>
      <c r="AE530" s="19">
        <v>0.93333333333333335</v>
      </c>
    </row>
    <row r="531" spans="1:31">
      <c r="A531">
        <v>535</v>
      </c>
      <c r="B531" t="s">
        <v>154</v>
      </c>
      <c r="C531" t="s">
        <v>155</v>
      </c>
      <c r="D531" t="s">
        <v>152</v>
      </c>
      <c r="E531" s="20">
        <v>46098</v>
      </c>
      <c r="F531" s="21" t="s">
        <v>156</v>
      </c>
      <c r="G531" s="25"/>
      <c r="H531" s="21" t="s">
        <v>56</v>
      </c>
      <c r="I531" s="22">
        <v>98500</v>
      </c>
      <c r="J531" s="21" t="s">
        <v>57</v>
      </c>
      <c r="K531" s="23">
        <v>46190.875</v>
      </c>
      <c r="L531" s="21">
        <v>505</v>
      </c>
      <c r="M531" s="22">
        <v>2558</v>
      </c>
      <c r="N531" s="24">
        <v>531.1</v>
      </c>
      <c r="O531" s="24">
        <v>790</v>
      </c>
      <c r="P531" s="24">
        <v>1124.98</v>
      </c>
      <c r="Q531" s="21">
        <v>168</v>
      </c>
      <c r="R531" s="22">
        <v>7840</v>
      </c>
      <c r="S531" s="22">
        <v>20022</v>
      </c>
      <c r="T531" s="21">
        <v>3</v>
      </c>
      <c r="U531" s="21">
        <v>19</v>
      </c>
      <c r="V531" s="21">
        <v>53</v>
      </c>
      <c r="W531" s="23">
        <v>46275.541666666664</v>
      </c>
      <c r="X531" s="25"/>
      <c r="Y531" s="21">
        <v>0</v>
      </c>
      <c r="Z531" s="26">
        <v>20262</v>
      </c>
      <c r="AA531">
        <v>258.89999999999998</v>
      </c>
      <c r="AB531" s="18">
        <v>0.48747881754848421</v>
      </c>
      <c r="AC531" s="19">
        <v>1.4874788175484843</v>
      </c>
      <c r="AD531" s="19">
        <v>0.39622641509433965</v>
      </c>
      <c r="AE531" s="19">
        <v>0.83647798742138368</v>
      </c>
    </row>
    <row r="532" spans="1:31">
      <c r="A532">
        <v>536</v>
      </c>
      <c r="B532" t="s">
        <v>124</v>
      </c>
      <c r="C532" t="s">
        <v>52</v>
      </c>
      <c r="D532" t="s">
        <v>53</v>
      </c>
      <c r="E532" s="27">
        <v>46098</v>
      </c>
      <c r="F532" s="28" t="s">
        <v>157</v>
      </c>
      <c r="G532" s="32"/>
      <c r="H532" s="28" t="s">
        <v>79</v>
      </c>
      <c r="I532" s="29">
        <v>71000</v>
      </c>
      <c r="J532" s="28" t="s">
        <v>80</v>
      </c>
      <c r="K532" s="30">
        <v>46191.5</v>
      </c>
      <c r="L532" s="28">
        <v>677</v>
      </c>
      <c r="M532" s="29">
        <v>3172</v>
      </c>
      <c r="N532" s="31">
        <v>250</v>
      </c>
      <c r="O532" s="31">
        <v>489.04</v>
      </c>
      <c r="P532" s="31">
        <v>833</v>
      </c>
      <c r="Q532" s="28">
        <v>151</v>
      </c>
      <c r="R532" s="29">
        <v>6986</v>
      </c>
      <c r="S532" s="29">
        <v>17862</v>
      </c>
      <c r="T532" s="28">
        <v>1</v>
      </c>
      <c r="U532" s="28">
        <v>10</v>
      </c>
      <c r="V532" s="28">
        <v>23</v>
      </c>
      <c r="W532" s="30">
        <v>46275.625</v>
      </c>
      <c r="X532" s="32"/>
      <c r="Y532" s="28">
        <v>0</v>
      </c>
      <c r="Z532" s="33">
        <v>18092</v>
      </c>
      <c r="AA532">
        <v>239.04000000000002</v>
      </c>
      <c r="AB532" s="18">
        <v>0.95616000000000012</v>
      </c>
      <c r="AC532" s="19">
        <v>1.9561600000000001</v>
      </c>
      <c r="AD532" s="19">
        <v>0.30434782608695654</v>
      </c>
      <c r="AE532" s="19">
        <v>1.0144927536231885</v>
      </c>
    </row>
    <row r="533" spans="1:31">
      <c r="A533">
        <v>537</v>
      </c>
      <c r="B533" t="s">
        <v>158</v>
      </c>
      <c r="C533" t="s">
        <v>124</v>
      </c>
      <c r="D533" t="s">
        <v>159</v>
      </c>
      <c r="E533" s="20">
        <v>46098</v>
      </c>
      <c r="F533" s="21" t="s">
        <v>160</v>
      </c>
      <c r="G533" s="25"/>
      <c r="H533" s="21" t="s">
        <v>113</v>
      </c>
      <c r="I533" s="22">
        <v>70240</v>
      </c>
      <c r="J533" s="21" t="s">
        <v>114</v>
      </c>
      <c r="K533" s="23">
        <v>46191.5</v>
      </c>
      <c r="L533" s="21">
        <v>776</v>
      </c>
      <c r="M533" s="22">
        <v>3590</v>
      </c>
      <c r="N533" s="24">
        <v>385</v>
      </c>
      <c r="O533" s="24">
        <v>700.72</v>
      </c>
      <c r="P533" s="24">
        <v>1198.8399999999999</v>
      </c>
      <c r="Q533" s="21">
        <v>73</v>
      </c>
      <c r="R533" s="22">
        <v>3437</v>
      </c>
      <c r="S533" s="22">
        <v>8639</v>
      </c>
      <c r="T533" s="21">
        <v>3</v>
      </c>
      <c r="U533" s="21">
        <v>14</v>
      </c>
      <c r="V533" s="21">
        <v>22</v>
      </c>
      <c r="W533" s="23">
        <v>46275.5</v>
      </c>
      <c r="X533" s="25"/>
      <c r="Y533" s="21">
        <v>0</v>
      </c>
      <c r="Z533" s="26">
        <v>8743</v>
      </c>
      <c r="AA533">
        <v>315.72000000000003</v>
      </c>
      <c r="AB533" s="18">
        <v>0.82005194805194814</v>
      </c>
      <c r="AC533" s="19">
        <v>1.8200519480519481</v>
      </c>
      <c r="AD533" s="19">
        <v>0.95454545454545459</v>
      </c>
      <c r="AE533" s="19">
        <v>1.4848484848484849</v>
      </c>
    </row>
    <row r="534" spans="1:31">
      <c r="A534">
        <v>538</v>
      </c>
      <c r="B534" t="s">
        <v>161</v>
      </c>
      <c r="C534" t="s">
        <v>162</v>
      </c>
      <c r="D534" t="s">
        <v>159</v>
      </c>
      <c r="E534" s="27">
        <v>46098</v>
      </c>
      <c r="F534" s="28" t="s">
        <v>163</v>
      </c>
      <c r="G534" s="32"/>
      <c r="H534" s="28" t="s">
        <v>164</v>
      </c>
      <c r="I534" s="29">
        <v>54500</v>
      </c>
      <c r="J534" s="28" t="s">
        <v>165</v>
      </c>
      <c r="K534" s="30">
        <v>46191.625</v>
      </c>
      <c r="L534" s="28">
        <v>597</v>
      </c>
      <c r="M534" s="29">
        <v>2904</v>
      </c>
      <c r="N534" s="31">
        <v>495</v>
      </c>
      <c r="O534" s="31">
        <v>872.84</v>
      </c>
      <c r="P534" s="31">
        <v>1246.02</v>
      </c>
      <c r="Q534" s="28">
        <v>152</v>
      </c>
      <c r="R534" s="29">
        <v>7252</v>
      </c>
      <c r="S534" s="29">
        <v>18808</v>
      </c>
      <c r="T534" s="28">
        <v>3</v>
      </c>
      <c r="U534" s="28">
        <v>10</v>
      </c>
      <c r="V534" s="28">
        <v>22</v>
      </c>
      <c r="W534" s="30">
        <v>46275.375</v>
      </c>
      <c r="X534" s="32"/>
      <c r="Y534" s="28">
        <v>0</v>
      </c>
      <c r="Z534" s="33">
        <v>19048</v>
      </c>
      <c r="AA534">
        <v>377.84000000000003</v>
      </c>
      <c r="AB534" s="18">
        <v>0.76331313131313139</v>
      </c>
      <c r="AC534" s="19">
        <v>1.7633131313131314</v>
      </c>
      <c r="AD534" s="19">
        <v>0.95454545454545459</v>
      </c>
      <c r="AE534" s="19">
        <v>1.0606060606060608</v>
      </c>
    </row>
    <row r="535" spans="1:31">
      <c r="A535">
        <v>539</v>
      </c>
      <c r="B535" t="s">
        <v>51</v>
      </c>
      <c r="C535" t="s">
        <v>133</v>
      </c>
      <c r="D535" t="s">
        <v>53</v>
      </c>
      <c r="E535" s="20">
        <v>46098</v>
      </c>
      <c r="F535" s="21" t="s">
        <v>166</v>
      </c>
      <c r="G535" s="25"/>
      <c r="H535" s="21" t="s">
        <v>135</v>
      </c>
      <c r="I535" s="22">
        <v>49800</v>
      </c>
      <c r="J535" s="21" t="s">
        <v>136</v>
      </c>
      <c r="K535" s="23">
        <v>46191.833333333336</v>
      </c>
      <c r="L535" s="21">
        <v>449</v>
      </c>
      <c r="M535" s="22">
        <v>3073</v>
      </c>
      <c r="N535" s="24">
        <v>1270</v>
      </c>
      <c r="O535" s="24">
        <v>2451.85</v>
      </c>
      <c r="P535" s="24">
        <v>4034.14</v>
      </c>
      <c r="Q535" s="21">
        <v>197</v>
      </c>
      <c r="R535" s="22">
        <v>9264</v>
      </c>
      <c r="S535" s="22">
        <v>23785</v>
      </c>
      <c r="T535" s="21">
        <v>7</v>
      </c>
      <c r="U535" s="21">
        <v>13</v>
      </c>
      <c r="V535" s="21">
        <v>23</v>
      </c>
      <c r="W535" s="23">
        <v>46275.541666666664</v>
      </c>
      <c r="X535" s="25"/>
      <c r="Y535" s="21">
        <v>0</v>
      </c>
      <c r="Z535" s="26">
        <v>24119</v>
      </c>
      <c r="AA535">
        <v>1181.8499999999999</v>
      </c>
      <c r="AB535" s="18">
        <v>0.93059055118110234</v>
      </c>
      <c r="AC535" s="19">
        <v>1.9305905511811023</v>
      </c>
      <c r="AD535" s="19">
        <v>2.1304347826086958</v>
      </c>
      <c r="AE535" s="19">
        <v>1.3188405797101448</v>
      </c>
    </row>
    <row r="536" spans="1:31">
      <c r="A536">
        <v>540</v>
      </c>
      <c r="B536" t="s">
        <v>167</v>
      </c>
      <c r="C536" t="s">
        <v>168</v>
      </c>
      <c r="D536" t="s">
        <v>169</v>
      </c>
      <c r="E536" s="27">
        <v>46098</v>
      </c>
      <c r="F536" s="28" t="s">
        <v>170</v>
      </c>
      <c r="G536" s="32"/>
      <c r="H536" s="28" t="s">
        <v>171</v>
      </c>
      <c r="I536" s="29">
        <v>69176</v>
      </c>
      <c r="J536" s="28" t="s">
        <v>172</v>
      </c>
      <c r="K536" s="30">
        <v>46192.875</v>
      </c>
      <c r="L536" s="28">
        <v>798</v>
      </c>
      <c r="M536" s="29">
        <v>3823</v>
      </c>
      <c r="N536" s="31">
        <v>595.45000000000005</v>
      </c>
      <c r="O536" s="31">
        <v>1041.3499999999999</v>
      </c>
      <c r="P536" s="31">
        <v>1538.55</v>
      </c>
      <c r="Q536" s="28">
        <v>193</v>
      </c>
      <c r="R536" s="29">
        <v>9817</v>
      </c>
      <c r="S536" s="29">
        <v>25414</v>
      </c>
      <c r="T536" s="28">
        <v>3</v>
      </c>
      <c r="U536" s="28">
        <v>20</v>
      </c>
      <c r="V536" s="28">
        <v>40</v>
      </c>
      <c r="W536" s="30">
        <v>46275.625</v>
      </c>
      <c r="X536" s="32"/>
      <c r="Y536" s="28">
        <v>0</v>
      </c>
      <c r="Z536" s="33">
        <v>25787</v>
      </c>
      <c r="AA536">
        <v>445.89999999999986</v>
      </c>
      <c r="AB536" s="18">
        <v>0.74884541103367175</v>
      </c>
      <c r="AC536" s="19">
        <v>1.7488454110336717</v>
      </c>
      <c r="AD536" s="19">
        <v>0.52500000000000002</v>
      </c>
      <c r="AE536" s="19">
        <v>1.1666666666666667</v>
      </c>
    </row>
    <row r="537" spans="1:31">
      <c r="A537">
        <v>541</v>
      </c>
      <c r="B537" t="s">
        <v>174</v>
      </c>
      <c r="C537" t="s">
        <v>175</v>
      </c>
      <c r="D537" t="s">
        <v>169</v>
      </c>
      <c r="E537" s="20">
        <v>46098</v>
      </c>
      <c r="F537" s="21" t="s">
        <v>176</v>
      </c>
      <c r="G537" s="25"/>
      <c r="H537" s="21" t="s">
        <v>127</v>
      </c>
      <c r="I537" s="22">
        <v>68756</v>
      </c>
      <c r="J537" s="21" t="s">
        <v>128</v>
      </c>
      <c r="K537" s="23">
        <v>46192.75</v>
      </c>
      <c r="L537" s="21">
        <v>737</v>
      </c>
      <c r="M537" s="22">
        <v>3474</v>
      </c>
      <c r="N537" s="24">
        <v>587.34</v>
      </c>
      <c r="O537" s="24">
        <v>900</v>
      </c>
      <c r="P537" s="24">
        <v>1387.46</v>
      </c>
      <c r="Q537" s="21">
        <v>77</v>
      </c>
      <c r="R537" s="22">
        <v>3668</v>
      </c>
      <c r="S537" s="22">
        <v>9206</v>
      </c>
      <c r="T537" s="21">
        <v>3</v>
      </c>
      <c r="U537" s="21">
        <v>8</v>
      </c>
      <c r="V537" s="21">
        <v>23</v>
      </c>
      <c r="W537" s="23">
        <v>46275.625</v>
      </c>
      <c r="X537" s="25"/>
      <c r="Y537" s="21">
        <v>0</v>
      </c>
      <c r="Z537" s="26">
        <v>9328</v>
      </c>
      <c r="AA537">
        <v>312.65999999999997</v>
      </c>
      <c r="AB537" s="18">
        <v>0.53233220962304617</v>
      </c>
      <c r="AC537" s="19">
        <v>1.5323322096230463</v>
      </c>
      <c r="AD537" s="19">
        <v>0.91304347826086962</v>
      </c>
      <c r="AE537" s="19">
        <v>0.81159420289855067</v>
      </c>
    </row>
    <row r="538" spans="1:31">
      <c r="A538">
        <v>542</v>
      </c>
      <c r="B538" t="s">
        <v>124</v>
      </c>
      <c r="C538" t="s">
        <v>177</v>
      </c>
      <c r="D538" t="s">
        <v>178</v>
      </c>
      <c r="E538" s="27">
        <v>46098</v>
      </c>
      <c r="F538" s="28" t="s">
        <v>179</v>
      </c>
      <c r="G538" s="32"/>
      <c r="H538" s="28" t="s">
        <v>140</v>
      </c>
      <c r="I538" s="29">
        <v>75000</v>
      </c>
      <c r="J538" s="28" t="s">
        <v>141</v>
      </c>
      <c r="K538" s="30">
        <v>46192.875</v>
      </c>
      <c r="L538" s="28">
        <v>667</v>
      </c>
      <c r="M538" s="29">
        <v>3076</v>
      </c>
      <c r="N538" s="31">
        <v>241.96</v>
      </c>
      <c r="O538" s="31">
        <v>538.07000000000005</v>
      </c>
      <c r="P538" s="31">
        <v>944.99</v>
      </c>
      <c r="Q538" s="28">
        <v>139</v>
      </c>
      <c r="R538" s="29">
        <v>6865</v>
      </c>
      <c r="S538" s="29">
        <v>17614</v>
      </c>
      <c r="T538" s="28">
        <v>2</v>
      </c>
      <c r="U538" s="28">
        <v>8</v>
      </c>
      <c r="V538" s="28">
        <v>27</v>
      </c>
      <c r="W538" s="30">
        <v>46275.5</v>
      </c>
      <c r="X538" s="32"/>
      <c r="Y538" s="28">
        <v>0</v>
      </c>
      <c r="Z538" s="33">
        <v>17829</v>
      </c>
      <c r="AA538">
        <v>296.11</v>
      </c>
      <c r="AB538" s="18">
        <v>1.2237973218713838</v>
      </c>
      <c r="AC538" s="19">
        <v>2.223797321871384</v>
      </c>
      <c r="AD538" s="19">
        <v>0.51851851851851849</v>
      </c>
      <c r="AE538" s="19">
        <v>0.69135802469135799</v>
      </c>
    </row>
    <row r="539" spans="1:31">
      <c r="A539">
        <v>543</v>
      </c>
      <c r="B539" t="s">
        <v>180</v>
      </c>
      <c r="C539" t="s">
        <v>181</v>
      </c>
      <c r="D539" t="s">
        <v>178</v>
      </c>
      <c r="E539" s="20">
        <v>46098</v>
      </c>
      <c r="F539" s="21" t="s">
        <v>182</v>
      </c>
      <c r="G539" s="25"/>
      <c r="H539" s="21" t="s">
        <v>118</v>
      </c>
      <c r="I539" s="22">
        <v>67000</v>
      </c>
      <c r="J539" s="21" t="s">
        <v>119</v>
      </c>
      <c r="K539" s="23">
        <v>46192.5</v>
      </c>
      <c r="L539" s="21">
        <v>711</v>
      </c>
      <c r="M539" s="22">
        <v>3657</v>
      </c>
      <c r="N539" s="24">
        <v>1130.5</v>
      </c>
      <c r="O539" s="24">
        <v>1844.85</v>
      </c>
      <c r="P539" s="24">
        <v>3225.89</v>
      </c>
      <c r="Q539" s="21">
        <v>200</v>
      </c>
      <c r="R539" s="22">
        <v>9412</v>
      </c>
      <c r="S539" s="22">
        <v>24222</v>
      </c>
      <c r="T539" s="21">
        <v>3</v>
      </c>
      <c r="U539" s="21">
        <v>7</v>
      </c>
      <c r="V539" s="21">
        <v>23</v>
      </c>
      <c r="W539" s="23">
        <v>46275.5</v>
      </c>
      <c r="X539" s="25"/>
      <c r="Y539" s="21">
        <v>0</v>
      </c>
      <c r="Z539" s="26">
        <v>24549</v>
      </c>
      <c r="AA539">
        <v>714.34999999999991</v>
      </c>
      <c r="AB539" s="18">
        <v>0.63188854489164081</v>
      </c>
      <c r="AC539" s="19">
        <v>1.6318885448916407</v>
      </c>
      <c r="AD539" s="19">
        <v>0.91304347826086962</v>
      </c>
      <c r="AE539" s="19">
        <v>0.71014492753623193</v>
      </c>
    </row>
    <row r="540" spans="1:31">
      <c r="A540">
        <v>544</v>
      </c>
      <c r="B540" t="s">
        <v>58</v>
      </c>
      <c r="C540" t="s">
        <v>183</v>
      </c>
      <c r="D540" t="s">
        <v>60</v>
      </c>
      <c r="E540" s="27">
        <v>46098</v>
      </c>
      <c r="F540" s="28" t="s">
        <v>184</v>
      </c>
      <c r="G540" s="32"/>
      <c r="H540" s="28" t="s">
        <v>146</v>
      </c>
      <c r="I540" s="29">
        <v>30000</v>
      </c>
      <c r="J540" s="28" t="s">
        <v>147</v>
      </c>
      <c r="K540" s="30">
        <v>46193.666666666664</v>
      </c>
      <c r="L540" s="28">
        <v>487</v>
      </c>
      <c r="M540" s="29">
        <v>2610</v>
      </c>
      <c r="N540" s="31">
        <v>605.02</v>
      </c>
      <c r="O540" s="31">
        <v>930.51</v>
      </c>
      <c r="P540" s="31">
        <v>1265</v>
      </c>
      <c r="Q540" s="28">
        <v>229</v>
      </c>
      <c r="R540" s="29">
        <v>10539</v>
      </c>
      <c r="S540" s="29">
        <v>27015</v>
      </c>
      <c r="T540" s="28">
        <v>4</v>
      </c>
      <c r="U540" s="28">
        <v>17</v>
      </c>
      <c r="V540" s="28">
        <v>32</v>
      </c>
      <c r="W540" s="30">
        <v>46275.5</v>
      </c>
      <c r="X540" s="32"/>
      <c r="Y540" s="28">
        <v>0</v>
      </c>
      <c r="Z540" s="33">
        <v>27372</v>
      </c>
      <c r="AA540">
        <v>325.49</v>
      </c>
      <c r="AB540" s="18">
        <v>0.53798221546395164</v>
      </c>
      <c r="AC540" s="19">
        <v>1.5379822154639515</v>
      </c>
      <c r="AD540" s="19">
        <v>0.875</v>
      </c>
      <c r="AE540" s="19">
        <v>1.2395833333333335</v>
      </c>
    </row>
    <row r="541" spans="1:31">
      <c r="A541">
        <v>545</v>
      </c>
      <c r="B541" t="s">
        <v>185</v>
      </c>
      <c r="C541" t="s">
        <v>59</v>
      </c>
      <c r="D541" t="s">
        <v>60</v>
      </c>
      <c r="E541" s="20">
        <v>46098</v>
      </c>
      <c r="F541" s="21" t="s">
        <v>186</v>
      </c>
      <c r="G541" s="25"/>
      <c r="H541" s="21" t="s">
        <v>68</v>
      </c>
      <c r="I541" s="22">
        <v>76416</v>
      </c>
      <c r="J541" s="21" t="s">
        <v>69</v>
      </c>
      <c r="K541" s="23">
        <v>46193.791666666664</v>
      </c>
      <c r="L541" s="21">
        <v>712</v>
      </c>
      <c r="M541" s="22">
        <v>3159</v>
      </c>
      <c r="N541" s="24">
        <v>292.95</v>
      </c>
      <c r="O541" s="24">
        <v>530</v>
      </c>
      <c r="P541" s="24">
        <v>808.8</v>
      </c>
      <c r="Q541" s="21">
        <v>166</v>
      </c>
      <c r="R541" s="22">
        <v>7203</v>
      </c>
      <c r="S541" s="22">
        <v>18465</v>
      </c>
      <c r="T541" s="21">
        <v>5</v>
      </c>
      <c r="U541" s="21">
        <v>12</v>
      </c>
      <c r="V541" s="21">
        <v>31</v>
      </c>
      <c r="W541" s="23">
        <v>46275.583333333336</v>
      </c>
      <c r="X541" s="25"/>
      <c r="Y541" s="21">
        <v>0</v>
      </c>
      <c r="Z541" s="26">
        <v>18707</v>
      </c>
      <c r="AA541">
        <v>237.05</v>
      </c>
      <c r="AB541" s="18">
        <v>0.80918245434374469</v>
      </c>
      <c r="AC541" s="19">
        <v>1.8091824543437447</v>
      </c>
      <c r="AD541" s="19">
        <v>1.129032258064516</v>
      </c>
      <c r="AE541" s="19">
        <v>0.90322580645161288</v>
      </c>
    </row>
    <row r="542" spans="1:31">
      <c r="A542">
        <v>546</v>
      </c>
      <c r="B542" t="s">
        <v>93</v>
      </c>
      <c r="C542" t="s">
        <v>97</v>
      </c>
      <c r="D542" t="s">
        <v>95</v>
      </c>
      <c r="E542" s="27">
        <v>46098</v>
      </c>
      <c r="F542" s="28" t="s">
        <v>187</v>
      </c>
      <c r="G542" s="32"/>
      <c r="H542" s="28" t="s">
        <v>62</v>
      </c>
      <c r="I542" s="29">
        <v>71500</v>
      </c>
      <c r="J542" s="28" t="s">
        <v>63</v>
      </c>
      <c r="K542" s="30">
        <v>46193.5</v>
      </c>
      <c r="L542" s="28">
        <v>683</v>
      </c>
      <c r="M542" s="29">
        <v>3163</v>
      </c>
      <c r="N542" s="31">
        <v>377.48</v>
      </c>
      <c r="O542" s="31">
        <v>704.5</v>
      </c>
      <c r="P542" s="31">
        <v>1111.7</v>
      </c>
      <c r="Q542" s="28">
        <v>151</v>
      </c>
      <c r="R542" s="29">
        <v>7294</v>
      </c>
      <c r="S542" s="29">
        <v>18249</v>
      </c>
      <c r="T542" s="28">
        <v>3</v>
      </c>
      <c r="U542" s="28">
        <v>7</v>
      </c>
      <c r="V542" s="28">
        <v>18</v>
      </c>
      <c r="W542" s="30">
        <v>46275.583333333336</v>
      </c>
      <c r="X542" s="32"/>
      <c r="Y542" s="28">
        <v>0</v>
      </c>
      <c r="Z542" s="33">
        <v>18485</v>
      </c>
      <c r="AA542">
        <v>327.02</v>
      </c>
      <c r="AB542" s="18">
        <v>0.86632404365794202</v>
      </c>
      <c r="AC542" s="19">
        <v>1.866324043657942</v>
      </c>
      <c r="AD542" s="19">
        <v>1.1666666666666665</v>
      </c>
      <c r="AE542" s="19">
        <v>0.90740740740740744</v>
      </c>
    </row>
    <row r="543" spans="1:31">
      <c r="A543">
        <v>547</v>
      </c>
      <c r="B543" t="s">
        <v>98</v>
      </c>
      <c r="C543" t="s">
        <v>94</v>
      </c>
      <c r="D543" t="s">
        <v>95</v>
      </c>
      <c r="E543" s="20">
        <v>46098</v>
      </c>
      <c r="F543" s="21" t="s">
        <v>188</v>
      </c>
      <c r="G543" s="25"/>
      <c r="H543" s="21" t="s">
        <v>100</v>
      </c>
      <c r="I543" s="22">
        <v>52237</v>
      </c>
      <c r="J543" s="21" t="s">
        <v>101</v>
      </c>
      <c r="K543" s="23">
        <v>46193.958333333336</v>
      </c>
      <c r="L543" s="21">
        <v>401</v>
      </c>
      <c r="M543" s="22">
        <v>1883</v>
      </c>
      <c r="N543" s="24">
        <v>212.96</v>
      </c>
      <c r="O543" s="24">
        <v>353</v>
      </c>
      <c r="P543" s="24">
        <v>528.72</v>
      </c>
      <c r="Q543" s="21">
        <v>171</v>
      </c>
      <c r="R543" s="22">
        <v>8112</v>
      </c>
      <c r="S543" s="22">
        <v>20789</v>
      </c>
      <c r="T543" s="21">
        <v>0</v>
      </c>
      <c r="U543" s="21">
        <v>7</v>
      </c>
      <c r="V543" s="21">
        <v>17</v>
      </c>
      <c r="W543" s="23">
        <v>46275.541666666664</v>
      </c>
      <c r="X543" s="25"/>
      <c r="Y543" s="21">
        <v>0</v>
      </c>
      <c r="Z543" s="26">
        <v>21051</v>
      </c>
      <c r="AA543">
        <v>140.04</v>
      </c>
      <c r="AB543" s="18">
        <v>0.65758827948910592</v>
      </c>
      <c r="AC543" s="19">
        <v>1.6575882794891059</v>
      </c>
      <c r="AD543" s="19">
        <v>0</v>
      </c>
      <c r="AE543" s="19">
        <v>0.96078431372549034</v>
      </c>
    </row>
    <row r="544" spans="1:31">
      <c r="A544">
        <v>548</v>
      </c>
      <c r="B544" t="s">
        <v>103</v>
      </c>
      <c r="C544" t="s">
        <v>107</v>
      </c>
      <c r="D544" t="s">
        <v>104</v>
      </c>
      <c r="E544" s="27">
        <v>46098</v>
      </c>
      <c r="F544" s="28" t="s">
        <v>189</v>
      </c>
      <c r="G544" s="32"/>
      <c r="H544" s="28" t="s">
        <v>85</v>
      </c>
      <c r="I544" s="29">
        <v>76100</v>
      </c>
      <c r="J544" s="28" t="s">
        <v>86</v>
      </c>
      <c r="K544" s="30">
        <v>46194.75</v>
      </c>
      <c r="L544" s="28">
        <v>880</v>
      </c>
      <c r="M544" s="29">
        <v>3730</v>
      </c>
      <c r="N544" s="31">
        <v>253.11</v>
      </c>
      <c r="O544" s="31">
        <v>422.8</v>
      </c>
      <c r="P544" s="31">
        <v>674.57</v>
      </c>
      <c r="Q544" s="28">
        <v>154</v>
      </c>
      <c r="R544" s="29">
        <v>8423</v>
      </c>
      <c r="S544" s="29">
        <v>21337</v>
      </c>
      <c r="T544" s="28">
        <v>3</v>
      </c>
      <c r="U544" s="28">
        <v>7</v>
      </c>
      <c r="V544" s="28">
        <v>22</v>
      </c>
      <c r="W544" s="30">
        <v>46275.625</v>
      </c>
      <c r="X544" s="32"/>
      <c r="Y544" s="28">
        <v>0</v>
      </c>
      <c r="Z544" s="33">
        <v>21620</v>
      </c>
      <c r="AA544">
        <v>169.69</v>
      </c>
      <c r="AB544" s="18">
        <v>0.67041997550472121</v>
      </c>
      <c r="AC544" s="19">
        <v>1.6704199755047213</v>
      </c>
      <c r="AD544" s="19">
        <v>0.95454545454545459</v>
      </c>
      <c r="AE544" s="19">
        <v>0.74242424242424243</v>
      </c>
    </row>
    <row r="545" spans="1:31">
      <c r="A545">
        <v>549</v>
      </c>
      <c r="B545" t="s">
        <v>106</v>
      </c>
      <c r="C545" t="s">
        <v>102</v>
      </c>
      <c r="D545" t="s">
        <v>104</v>
      </c>
      <c r="E545" s="20">
        <v>46098</v>
      </c>
      <c r="F545" s="21" t="s">
        <v>190</v>
      </c>
      <c r="G545" s="25"/>
      <c r="H545" s="21" t="s">
        <v>79</v>
      </c>
      <c r="I545" s="22">
        <v>71000</v>
      </c>
      <c r="J545" s="21" t="s">
        <v>80</v>
      </c>
      <c r="K545" s="23">
        <v>46194.5</v>
      </c>
      <c r="L545" s="21">
        <v>751</v>
      </c>
      <c r="M545" s="22">
        <v>3555</v>
      </c>
      <c r="N545" s="24">
        <v>374.12</v>
      </c>
      <c r="O545" s="24">
        <v>669.52</v>
      </c>
      <c r="P545" s="24">
        <v>1024.52</v>
      </c>
      <c r="Q545" s="21">
        <v>199</v>
      </c>
      <c r="R545" s="22">
        <v>7872</v>
      </c>
      <c r="S545" s="22">
        <v>20202</v>
      </c>
      <c r="T545" s="21">
        <v>6</v>
      </c>
      <c r="U545" s="21">
        <v>23</v>
      </c>
      <c r="V545" s="21">
        <v>56</v>
      </c>
      <c r="W545" s="23">
        <v>46275.625</v>
      </c>
      <c r="X545" s="25"/>
      <c r="Y545" s="21">
        <v>0</v>
      </c>
      <c r="Z545" s="26">
        <v>20485</v>
      </c>
      <c r="AA545">
        <v>295.39999999999998</v>
      </c>
      <c r="AB545" s="18">
        <v>0.78958622901742748</v>
      </c>
      <c r="AC545" s="19">
        <v>1.7895862290174276</v>
      </c>
      <c r="AD545" s="19">
        <v>0.75</v>
      </c>
      <c r="AE545" s="19">
        <v>0.95833333333333337</v>
      </c>
    </row>
    <row r="546" spans="1:31">
      <c r="A546">
        <v>550</v>
      </c>
      <c r="B546" t="s">
        <v>115</v>
      </c>
      <c r="C546" t="s">
        <v>109</v>
      </c>
      <c r="D546" t="s">
        <v>111</v>
      </c>
      <c r="E546" s="27">
        <v>46098</v>
      </c>
      <c r="F546" s="28" t="s">
        <v>191</v>
      </c>
      <c r="G546" s="32"/>
      <c r="H546" s="28" t="s">
        <v>113</v>
      </c>
      <c r="I546" s="29">
        <v>70240</v>
      </c>
      <c r="J546" s="28" t="s">
        <v>114</v>
      </c>
      <c r="K546" s="30">
        <v>46194.5</v>
      </c>
      <c r="L546" s="29">
        <v>1062</v>
      </c>
      <c r="M546" s="29">
        <v>4373</v>
      </c>
      <c r="N546" s="31">
        <v>284.69</v>
      </c>
      <c r="O546" s="31">
        <v>560</v>
      </c>
      <c r="P546" s="31">
        <v>941.27</v>
      </c>
      <c r="Q546" s="28">
        <v>163</v>
      </c>
      <c r="R546" s="29">
        <v>8336</v>
      </c>
      <c r="S546" s="29">
        <v>21424</v>
      </c>
      <c r="T546" s="28">
        <v>5</v>
      </c>
      <c r="U546" s="28">
        <v>26</v>
      </c>
      <c r="V546" s="28">
        <v>42</v>
      </c>
      <c r="W546" s="30">
        <v>46275.5</v>
      </c>
      <c r="X546" s="32"/>
      <c r="Y546" s="28">
        <v>0</v>
      </c>
      <c r="Z546" s="33">
        <v>21699</v>
      </c>
      <c r="AA546">
        <v>275.31</v>
      </c>
      <c r="AB546" s="18">
        <v>0.96705188099336126</v>
      </c>
      <c r="AC546" s="19">
        <v>1.9670518809933613</v>
      </c>
      <c r="AD546" s="19">
        <v>0.83333333333333337</v>
      </c>
      <c r="AE546" s="19">
        <v>1.4444444444444444</v>
      </c>
    </row>
    <row r="547" spans="1:31">
      <c r="A547">
        <v>551</v>
      </c>
      <c r="B547" t="s">
        <v>110</v>
      </c>
      <c r="C547" t="s">
        <v>116</v>
      </c>
      <c r="D547" t="s">
        <v>111</v>
      </c>
      <c r="E547" s="20">
        <v>46098</v>
      </c>
      <c r="F547" s="21" t="s">
        <v>193</v>
      </c>
      <c r="G547" s="25"/>
      <c r="H547" s="21" t="s">
        <v>164</v>
      </c>
      <c r="I547" s="22">
        <v>54500</v>
      </c>
      <c r="J547" s="21" t="s">
        <v>165</v>
      </c>
      <c r="K547" s="23">
        <v>46194.75</v>
      </c>
      <c r="L547" s="21">
        <v>488</v>
      </c>
      <c r="M547" s="22">
        <v>2463</v>
      </c>
      <c r="N547" s="24">
        <v>285</v>
      </c>
      <c r="O547" s="24">
        <v>441.9</v>
      </c>
      <c r="P547" s="24">
        <v>857.01</v>
      </c>
      <c r="Q547" s="21">
        <v>158</v>
      </c>
      <c r="R547" s="22">
        <v>8150</v>
      </c>
      <c r="S547" s="22">
        <v>20745</v>
      </c>
      <c r="T547" s="21">
        <v>3</v>
      </c>
      <c r="U547" s="21">
        <v>7</v>
      </c>
      <c r="V547" s="21">
        <v>13</v>
      </c>
      <c r="W547" s="23">
        <v>46275.375</v>
      </c>
      <c r="X547" s="25"/>
      <c r="Y547" s="21">
        <v>0</v>
      </c>
      <c r="Z547" s="26">
        <v>21024</v>
      </c>
      <c r="AA547">
        <v>156.89999999999998</v>
      </c>
      <c r="AB547" s="18">
        <v>0.55052631578947364</v>
      </c>
      <c r="AC547" s="19">
        <v>1.5505263157894735</v>
      </c>
      <c r="AD547" s="19">
        <v>1.6153846153846154</v>
      </c>
      <c r="AE547" s="19">
        <v>1.2564102564102564</v>
      </c>
    </row>
    <row r="548" spans="1:31">
      <c r="A548">
        <v>552</v>
      </c>
      <c r="B548" t="s">
        <v>125</v>
      </c>
      <c r="C548" t="s">
        <v>121</v>
      </c>
      <c r="D548" t="s">
        <v>122</v>
      </c>
      <c r="E548" s="27">
        <v>46098</v>
      </c>
      <c r="F548" s="28" t="s">
        <v>194</v>
      </c>
      <c r="G548" s="32"/>
      <c r="H548" s="28" t="s">
        <v>91</v>
      </c>
      <c r="I548" s="29">
        <v>82500</v>
      </c>
      <c r="J548" s="28" t="s">
        <v>92</v>
      </c>
      <c r="K548" s="30">
        <v>46195.833333333336</v>
      </c>
      <c r="L548" s="28">
        <v>766</v>
      </c>
      <c r="M548" s="29">
        <v>3383</v>
      </c>
      <c r="N548" s="31">
        <v>375.68</v>
      </c>
      <c r="O548" s="31">
        <v>635</v>
      </c>
      <c r="P548" s="31">
        <v>958.27</v>
      </c>
      <c r="Q548" s="28">
        <v>189</v>
      </c>
      <c r="R548" s="29">
        <v>8892</v>
      </c>
      <c r="S548" s="29">
        <v>22399</v>
      </c>
      <c r="T548" s="28">
        <v>5</v>
      </c>
      <c r="U548" s="28">
        <v>16</v>
      </c>
      <c r="V548" s="28">
        <v>29</v>
      </c>
      <c r="W548" s="30">
        <v>46275.625</v>
      </c>
      <c r="X548" s="32"/>
      <c r="Y548" s="28">
        <v>0</v>
      </c>
      <c r="Z548" s="33">
        <v>22700</v>
      </c>
      <c r="AA548">
        <v>259.32</v>
      </c>
      <c r="AB548" s="18">
        <v>0.69026831345826234</v>
      </c>
      <c r="AC548" s="19">
        <v>1.6902683134582623</v>
      </c>
      <c r="AD548" s="19">
        <v>1.2068965517241379</v>
      </c>
      <c r="AE548" s="19">
        <v>1.2873563218390802</v>
      </c>
    </row>
    <row r="549" spans="1:31">
      <c r="A549">
        <v>553</v>
      </c>
      <c r="B549" t="s">
        <v>120</v>
      </c>
      <c r="C549" t="s">
        <v>124</v>
      </c>
      <c r="D549" t="s">
        <v>122</v>
      </c>
      <c r="E549" s="20">
        <v>46098</v>
      </c>
      <c r="F549" s="21" t="s">
        <v>195</v>
      </c>
      <c r="G549" s="25"/>
      <c r="H549" s="21" t="s">
        <v>171</v>
      </c>
      <c r="I549" s="22">
        <v>69176</v>
      </c>
      <c r="J549" s="21" t="s">
        <v>172</v>
      </c>
      <c r="K549" s="23">
        <v>46195.708333333336</v>
      </c>
      <c r="L549" s="21">
        <v>797</v>
      </c>
      <c r="M549" s="22">
        <v>3409</v>
      </c>
      <c r="N549" s="24">
        <v>445.5</v>
      </c>
      <c r="O549" s="24">
        <v>682.89</v>
      </c>
      <c r="P549" s="24">
        <v>934.84</v>
      </c>
      <c r="Q549" s="21">
        <v>175</v>
      </c>
      <c r="R549" s="22">
        <v>8747</v>
      </c>
      <c r="S549" s="22">
        <v>22540</v>
      </c>
      <c r="T549" s="21">
        <v>6</v>
      </c>
      <c r="U549" s="21">
        <v>16</v>
      </c>
      <c r="V549" s="21">
        <v>35</v>
      </c>
      <c r="W549" s="23">
        <v>46275.625</v>
      </c>
      <c r="X549" s="25"/>
      <c r="Y549" s="21">
        <v>0</v>
      </c>
      <c r="Z549" s="26">
        <v>22834</v>
      </c>
      <c r="AA549">
        <v>237.39</v>
      </c>
      <c r="AB549" s="18">
        <v>0.53286195286195281</v>
      </c>
      <c r="AC549" s="19">
        <v>1.5328619528619529</v>
      </c>
      <c r="AD549" s="19">
        <v>1.2</v>
      </c>
      <c r="AE549" s="19">
        <v>1.0666666666666667</v>
      </c>
    </row>
    <row r="550" spans="1:31">
      <c r="A550">
        <v>554</v>
      </c>
      <c r="B550" t="s">
        <v>129</v>
      </c>
      <c r="C550" t="s">
        <v>137</v>
      </c>
      <c r="D550" t="s">
        <v>131</v>
      </c>
      <c r="E550" s="27">
        <v>46098</v>
      </c>
      <c r="F550" s="28" t="s">
        <v>196</v>
      </c>
      <c r="G550" s="32"/>
      <c r="H550" s="28" t="s">
        <v>74</v>
      </c>
      <c r="I550" s="29">
        <v>80000</v>
      </c>
      <c r="J550" s="28" t="s">
        <v>75</v>
      </c>
      <c r="K550" s="30">
        <v>46195.5</v>
      </c>
      <c r="L550" s="28">
        <v>720</v>
      </c>
      <c r="M550" s="29">
        <v>3893</v>
      </c>
      <c r="N550" s="31">
        <v>998</v>
      </c>
      <c r="O550" s="31">
        <v>1728.6</v>
      </c>
      <c r="P550" s="31">
        <v>3236.58</v>
      </c>
      <c r="Q550" s="28">
        <v>263</v>
      </c>
      <c r="R550" s="29">
        <v>10474</v>
      </c>
      <c r="S550" s="29">
        <v>25572</v>
      </c>
      <c r="T550" s="28">
        <v>5</v>
      </c>
      <c r="U550" s="28">
        <v>16</v>
      </c>
      <c r="V550" s="28">
        <v>24</v>
      </c>
      <c r="W550" s="30">
        <v>46275.583333333336</v>
      </c>
      <c r="X550" s="32"/>
      <c r="Y550" s="28">
        <v>0</v>
      </c>
      <c r="Z550" s="33">
        <v>25919</v>
      </c>
      <c r="AA550">
        <v>730.59999999999991</v>
      </c>
      <c r="AB550" s="18">
        <v>0.7320641282565129</v>
      </c>
      <c r="AC550" s="19">
        <v>1.732064128256513</v>
      </c>
      <c r="AD550" s="19">
        <v>1.4583333333333335</v>
      </c>
      <c r="AE550" s="19">
        <v>1.5555555555555556</v>
      </c>
    </row>
    <row r="551" spans="1:31">
      <c r="A551">
        <v>555</v>
      </c>
      <c r="B551" t="s">
        <v>138</v>
      </c>
      <c r="C551" t="s">
        <v>130</v>
      </c>
      <c r="D551" t="s">
        <v>131</v>
      </c>
      <c r="E551" s="20">
        <v>46098</v>
      </c>
      <c r="F551" s="21" t="s">
        <v>197</v>
      </c>
      <c r="G551" s="25"/>
      <c r="H551" s="21" t="s">
        <v>140</v>
      </c>
      <c r="I551" s="22">
        <v>75000</v>
      </c>
      <c r="J551" s="21" t="s">
        <v>141</v>
      </c>
      <c r="K551" s="23">
        <v>46195.833333333336</v>
      </c>
      <c r="L551" s="21">
        <v>805</v>
      </c>
      <c r="M551" s="22">
        <v>3432</v>
      </c>
      <c r="N551" s="24">
        <v>180</v>
      </c>
      <c r="O551" s="24">
        <v>400</v>
      </c>
      <c r="P551" s="24">
        <v>666</v>
      </c>
      <c r="Q551" s="21">
        <v>157</v>
      </c>
      <c r="R551" s="22">
        <v>8005</v>
      </c>
      <c r="S551" s="22">
        <v>20650</v>
      </c>
      <c r="T551" s="21">
        <v>1</v>
      </c>
      <c r="U551" s="21">
        <v>5</v>
      </c>
      <c r="V551" s="21">
        <v>15</v>
      </c>
      <c r="W551" s="23">
        <v>46275.5</v>
      </c>
      <c r="X551" s="25"/>
      <c r="Y551" s="21">
        <v>0</v>
      </c>
      <c r="Z551" s="26">
        <v>20915</v>
      </c>
      <c r="AA551">
        <v>220</v>
      </c>
      <c r="AB551" s="18">
        <v>1.2222222222222223</v>
      </c>
      <c r="AC551" s="19">
        <v>2.2222222222222223</v>
      </c>
      <c r="AD551" s="19">
        <v>0.46666666666666667</v>
      </c>
      <c r="AE551" s="19">
        <v>0.77777777777777779</v>
      </c>
    </row>
    <row r="552" spans="1:31">
      <c r="A552">
        <v>556</v>
      </c>
      <c r="B552" t="s">
        <v>148</v>
      </c>
      <c r="C552" t="s">
        <v>142</v>
      </c>
      <c r="D552" t="s">
        <v>144</v>
      </c>
      <c r="E552" s="27">
        <v>46098</v>
      </c>
      <c r="F552" s="28" t="s">
        <v>198</v>
      </c>
      <c r="G552" s="32"/>
      <c r="H552" s="28" t="s">
        <v>127</v>
      </c>
      <c r="I552" s="29">
        <v>68756</v>
      </c>
      <c r="J552" s="28" t="s">
        <v>128</v>
      </c>
      <c r="K552" s="30">
        <v>46196.666666666664</v>
      </c>
      <c r="L552" s="28">
        <v>629</v>
      </c>
      <c r="M552" s="29">
        <v>2929</v>
      </c>
      <c r="N552" s="31">
        <v>635</v>
      </c>
      <c r="O552" s="31">
        <v>979.7</v>
      </c>
      <c r="P552" s="31">
        <v>1662.87</v>
      </c>
      <c r="Q552" s="28">
        <v>76</v>
      </c>
      <c r="R552" s="29">
        <v>3828</v>
      </c>
      <c r="S552" s="29">
        <v>9754</v>
      </c>
      <c r="T552" s="28">
        <v>3</v>
      </c>
      <c r="U552" s="28">
        <v>8</v>
      </c>
      <c r="V552" s="28">
        <v>33</v>
      </c>
      <c r="W552" s="30">
        <v>46275.625</v>
      </c>
      <c r="X552" s="32"/>
      <c r="Y552" s="28">
        <v>0</v>
      </c>
      <c r="Z552" s="33">
        <v>9884</v>
      </c>
      <c r="AA552">
        <v>344.70000000000005</v>
      </c>
      <c r="AB552" s="18">
        <v>0.5428346456692914</v>
      </c>
      <c r="AC552" s="19">
        <v>1.5428346456692914</v>
      </c>
      <c r="AD552" s="19">
        <v>0.63636363636363635</v>
      </c>
      <c r="AE552" s="19">
        <v>0.56565656565656564</v>
      </c>
    </row>
    <row r="553" spans="1:31">
      <c r="A553">
        <v>557</v>
      </c>
      <c r="B553" t="s">
        <v>143</v>
      </c>
      <c r="C553" t="s">
        <v>149</v>
      </c>
      <c r="D553" t="s">
        <v>144</v>
      </c>
      <c r="E553" s="20">
        <v>46098</v>
      </c>
      <c r="F553" s="21" t="s">
        <v>199</v>
      </c>
      <c r="G553" s="25"/>
      <c r="H553" s="21" t="s">
        <v>146</v>
      </c>
      <c r="I553" s="22">
        <v>30000</v>
      </c>
      <c r="J553" s="21" t="s">
        <v>147</v>
      </c>
      <c r="K553" s="23">
        <v>46196.791666666664</v>
      </c>
      <c r="L553" s="21">
        <v>554</v>
      </c>
      <c r="M553" s="22">
        <v>2456</v>
      </c>
      <c r="N553" s="24">
        <v>423.56</v>
      </c>
      <c r="O553" s="24">
        <v>603.26</v>
      </c>
      <c r="P553" s="24">
        <v>904.25</v>
      </c>
      <c r="Q553" s="21">
        <v>175</v>
      </c>
      <c r="R553" s="22">
        <v>9093</v>
      </c>
      <c r="S553" s="22">
        <v>23785</v>
      </c>
      <c r="T553" s="21">
        <v>3</v>
      </c>
      <c r="U553" s="21">
        <v>12</v>
      </c>
      <c r="V553" s="21">
        <v>28</v>
      </c>
      <c r="W553" s="23">
        <v>46275.5</v>
      </c>
      <c r="X553" s="25"/>
      <c r="Y553" s="21">
        <v>0</v>
      </c>
      <c r="Z553" s="26">
        <v>24105</v>
      </c>
      <c r="AA553">
        <v>179.7</v>
      </c>
      <c r="AB553" s="18">
        <v>0.42426102559259604</v>
      </c>
      <c r="AC553" s="19">
        <v>1.424261025592596</v>
      </c>
      <c r="AD553" s="19">
        <v>0.75</v>
      </c>
      <c r="AE553" s="19">
        <v>1</v>
      </c>
    </row>
    <row r="554" spans="1:31">
      <c r="A554">
        <v>558</v>
      </c>
      <c r="B554" t="s">
        <v>151</v>
      </c>
      <c r="C554" t="s">
        <v>154</v>
      </c>
      <c r="D554" t="s">
        <v>152</v>
      </c>
      <c r="E554" s="27">
        <v>46098</v>
      </c>
      <c r="F554" s="28" t="s">
        <v>200</v>
      </c>
      <c r="G554" s="32"/>
      <c r="H554" s="28" t="s">
        <v>62</v>
      </c>
      <c r="I554" s="29">
        <v>71500</v>
      </c>
      <c r="J554" s="28" t="s">
        <v>63</v>
      </c>
      <c r="K554" s="30">
        <v>46196.5</v>
      </c>
      <c r="L554" s="28">
        <v>978</v>
      </c>
      <c r="M554" s="29">
        <v>4344</v>
      </c>
      <c r="N554" s="31">
        <v>473.94</v>
      </c>
      <c r="O554" s="31">
        <v>815.14</v>
      </c>
      <c r="P554" s="31">
        <v>1250</v>
      </c>
      <c r="Q554" s="28">
        <v>194</v>
      </c>
      <c r="R554" s="29">
        <v>9549</v>
      </c>
      <c r="S554" s="29">
        <v>23978</v>
      </c>
      <c r="T554" s="28">
        <v>11</v>
      </c>
      <c r="U554" s="28">
        <v>21</v>
      </c>
      <c r="V554" s="28">
        <v>44</v>
      </c>
      <c r="W554" s="30">
        <v>46275.583333333336</v>
      </c>
      <c r="X554" s="32"/>
      <c r="Y554" s="28">
        <v>0</v>
      </c>
      <c r="Z554" s="33">
        <v>24310</v>
      </c>
      <c r="AA554">
        <v>341.2</v>
      </c>
      <c r="AB554" s="18">
        <v>0.71992235304046925</v>
      </c>
      <c r="AC554" s="19">
        <v>1.7199223530404693</v>
      </c>
      <c r="AD554" s="19">
        <v>1.75</v>
      </c>
      <c r="AE554" s="19">
        <v>1.1136363636363638</v>
      </c>
    </row>
    <row r="555" spans="1:31">
      <c r="A555">
        <v>559</v>
      </c>
      <c r="B555" t="s">
        <v>155</v>
      </c>
      <c r="C555" t="s">
        <v>124</v>
      </c>
      <c r="D555" t="s">
        <v>152</v>
      </c>
      <c r="E555" s="20">
        <v>46098</v>
      </c>
      <c r="F555" s="21" t="s">
        <v>201</v>
      </c>
      <c r="G555" s="25"/>
      <c r="H555" s="21" t="s">
        <v>135</v>
      </c>
      <c r="I555" s="22">
        <v>49800</v>
      </c>
      <c r="J555" s="21" t="s">
        <v>136</v>
      </c>
      <c r="K555" s="23">
        <v>46196.875</v>
      </c>
      <c r="L555" s="21">
        <v>389</v>
      </c>
      <c r="M555" s="22">
        <v>2013</v>
      </c>
      <c r="N555" s="24">
        <v>582.79</v>
      </c>
      <c r="O555" s="24">
        <v>900</v>
      </c>
      <c r="P555" s="24">
        <v>1377.43</v>
      </c>
      <c r="Q555" s="21">
        <v>165</v>
      </c>
      <c r="R555" s="22">
        <v>8319</v>
      </c>
      <c r="S555" s="22">
        <v>21003</v>
      </c>
      <c r="T555" s="21">
        <v>2</v>
      </c>
      <c r="U555" s="21">
        <v>6</v>
      </c>
      <c r="V555" s="21">
        <v>19</v>
      </c>
      <c r="W555" s="23">
        <v>46275.541666666664</v>
      </c>
      <c r="X555" s="25"/>
      <c r="Y555" s="21">
        <v>0</v>
      </c>
      <c r="Z555" s="26">
        <v>21276</v>
      </c>
      <c r="AA555">
        <v>317.21000000000004</v>
      </c>
      <c r="AB555" s="18">
        <v>0.54429554384941414</v>
      </c>
      <c r="AC555" s="19">
        <v>1.5442955438494141</v>
      </c>
      <c r="AD555" s="19">
        <v>0.73684210526315785</v>
      </c>
      <c r="AE555" s="19">
        <v>0.73684210526315785</v>
      </c>
    </row>
    <row r="556" spans="1:31">
      <c r="A556">
        <v>560</v>
      </c>
      <c r="B556" t="s">
        <v>174</v>
      </c>
      <c r="C556" t="s">
        <v>167</v>
      </c>
      <c r="D556" t="s">
        <v>169</v>
      </c>
      <c r="E556" s="27">
        <v>46098</v>
      </c>
      <c r="F556" s="28" t="s">
        <v>202</v>
      </c>
      <c r="G556" s="32"/>
      <c r="H556" s="28" t="s">
        <v>85</v>
      </c>
      <c r="I556" s="29">
        <v>76100</v>
      </c>
      <c r="J556" s="28" t="s">
        <v>86</v>
      </c>
      <c r="K556" s="30">
        <v>46197.75</v>
      </c>
      <c r="L556" s="28">
        <v>825</v>
      </c>
      <c r="M556" s="29">
        <v>4333</v>
      </c>
      <c r="N556" s="31">
        <v>1116.05</v>
      </c>
      <c r="O556" s="31">
        <v>1834.75</v>
      </c>
      <c r="P556" s="31">
        <v>3270.8</v>
      </c>
      <c r="Q556" s="28">
        <v>114</v>
      </c>
      <c r="R556" s="29">
        <v>4586</v>
      </c>
      <c r="S556" s="29">
        <v>11621</v>
      </c>
      <c r="T556" s="28">
        <v>3</v>
      </c>
      <c r="U556" s="28">
        <v>12</v>
      </c>
      <c r="V556" s="28">
        <v>25</v>
      </c>
      <c r="W556" s="30">
        <v>46275.625</v>
      </c>
      <c r="X556" s="32"/>
      <c r="Y556" s="28">
        <v>0</v>
      </c>
      <c r="Z556" s="33">
        <v>11768</v>
      </c>
      <c r="AA556">
        <v>718.7</v>
      </c>
      <c r="AB556" s="18">
        <v>0.64396756417723222</v>
      </c>
      <c r="AC556" s="19">
        <v>1.6439675641772322</v>
      </c>
      <c r="AD556" s="19">
        <v>0.84</v>
      </c>
      <c r="AE556" s="19">
        <v>1.1199999999999999</v>
      </c>
    </row>
    <row r="557" spans="1:31">
      <c r="A557">
        <v>561</v>
      </c>
      <c r="B557" t="s">
        <v>175</v>
      </c>
      <c r="C557" t="s">
        <v>168</v>
      </c>
      <c r="D557" t="s">
        <v>169</v>
      </c>
      <c r="E557" s="20">
        <v>46098</v>
      </c>
      <c r="F557" s="21" t="s">
        <v>204</v>
      </c>
      <c r="G557" s="25"/>
      <c r="H557" s="21" t="s">
        <v>79</v>
      </c>
      <c r="I557" s="22">
        <v>71000</v>
      </c>
      <c r="J557" s="21" t="s">
        <v>80</v>
      </c>
      <c r="K557" s="23">
        <v>46197.75</v>
      </c>
      <c r="L557" s="21">
        <v>909</v>
      </c>
      <c r="M557" s="22">
        <v>3908</v>
      </c>
      <c r="N557" s="24">
        <v>247.35</v>
      </c>
      <c r="O557" s="24">
        <v>459.31</v>
      </c>
      <c r="P557" s="24">
        <v>760</v>
      </c>
      <c r="Q557" s="21">
        <v>147</v>
      </c>
      <c r="R557" s="22">
        <v>6999</v>
      </c>
      <c r="S557" s="22">
        <v>17986</v>
      </c>
      <c r="T557" s="21">
        <v>0</v>
      </c>
      <c r="U557" s="21">
        <v>7</v>
      </c>
      <c r="V557" s="21">
        <v>25</v>
      </c>
      <c r="W557" s="23">
        <v>46275.625</v>
      </c>
      <c r="X557" s="25"/>
      <c r="Y557" s="21">
        <v>0</v>
      </c>
      <c r="Z557" s="26">
        <v>18219</v>
      </c>
      <c r="AA557">
        <v>211.96</v>
      </c>
      <c r="AB557" s="18">
        <v>0.85692338791186584</v>
      </c>
      <c r="AC557" s="19">
        <v>1.8569233879118658</v>
      </c>
      <c r="AD557" s="19">
        <v>0</v>
      </c>
      <c r="AE557" s="19">
        <v>0.65333333333333332</v>
      </c>
    </row>
    <row r="558" spans="1:31">
      <c r="A558">
        <v>562</v>
      </c>
      <c r="B558" t="s">
        <v>158</v>
      </c>
      <c r="C558" t="s">
        <v>161</v>
      </c>
      <c r="D558" t="s">
        <v>159</v>
      </c>
      <c r="E558" s="27">
        <v>46098</v>
      </c>
      <c r="F558" s="28" t="s">
        <v>205</v>
      </c>
      <c r="G558" s="32"/>
      <c r="H558" s="28" t="s">
        <v>164</v>
      </c>
      <c r="I558" s="29">
        <v>54500</v>
      </c>
      <c r="J558" s="28" t="s">
        <v>165</v>
      </c>
      <c r="K558" s="30">
        <v>46197.5</v>
      </c>
      <c r="L558" s="28">
        <v>698</v>
      </c>
      <c r="M558" s="29">
        <v>3243</v>
      </c>
      <c r="N558" s="31">
        <v>563.78</v>
      </c>
      <c r="O558" s="31">
        <v>855</v>
      </c>
      <c r="P558" s="31">
        <v>1255.71</v>
      </c>
      <c r="Q558" s="28">
        <v>167</v>
      </c>
      <c r="R558" s="29">
        <v>9048</v>
      </c>
      <c r="S558" s="29">
        <v>23255</v>
      </c>
      <c r="T558" s="28">
        <v>1</v>
      </c>
      <c r="U558" s="28">
        <v>11</v>
      </c>
      <c r="V558" s="28">
        <v>23</v>
      </c>
      <c r="W558" s="30">
        <v>46275.375</v>
      </c>
      <c r="X558" s="32"/>
      <c r="Y558" s="28">
        <v>0</v>
      </c>
      <c r="Z558" s="33">
        <v>23542</v>
      </c>
      <c r="AA558">
        <v>291.22000000000003</v>
      </c>
      <c r="AB558" s="18">
        <v>0.51654900847848462</v>
      </c>
      <c r="AC558" s="19">
        <v>1.5165490084784845</v>
      </c>
      <c r="AD558" s="19">
        <v>0.30434782608695654</v>
      </c>
      <c r="AE558" s="19">
        <v>1.1159420289855073</v>
      </c>
    </row>
    <row r="559" spans="1:31">
      <c r="A559">
        <v>563</v>
      </c>
      <c r="B559" t="s">
        <v>124</v>
      </c>
      <c r="C559" t="s">
        <v>162</v>
      </c>
      <c r="D559" t="s">
        <v>159</v>
      </c>
      <c r="E559" s="20">
        <v>46098</v>
      </c>
      <c r="F559" s="21" t="s">
        <v>206</v>
      </c>
      <c r="G559" s="25"/>
      <c r="H559" s="21" t="s">
        <v>118</v>
      </c>
      <c r="I559" s="22">
        <v>67000</v>
      </c>
      <c r="J559" s="21" t="s">
        <v>119</v>
      </c>
      <c r="K559" s="23">
        <v>46197.5</v>
      </c>
      <c r="L559" s="21">
        <v>597</v>
      </c>
      <c r="M559" s="22">
        <v>2792</v>
      </c>
      <c r="N559" s="24">
        <v>314.99</v>
      </c>
      <c r="O559" s="24">
        <v>560.87</v>
      </c>
      <c r="P559" s="24">
        <v>1103.8599999999999</v>
      </c>
      <c r="Q559" s="21">
        <v>60</v>
      </c>
      <c r="R559" s="22">
        <v>2958</v>
      </c>
      <c r="S559" s="22">
        <v>7460</v>
      </c>
      <c r="T559" s="21">
        <v>1</v>
      </c>
      <c r="U559" s="21">
        <v>5</v>
      </c>
      <c r="V559" s="21">
        <v>10</v>
      </c>
      <c r="W559" s="23">
        <v>46275.5</v>
      </c>
      <c r="X559" s="25"/>
      <c r="Y559" s="21">
        <v>0</v>
      </c>
      <c r="Z559" s="26">
        <v>7543</v>
      </c>
      <c r="AA559">
        <v>245.88</v>
      </c>
      <c r="AB559" s="18">
        <v>0.78059620940347307</v>
      </c>
      <c r="AC559" s="19">
        <v>1.7805962094034731</v>
      </c>
      <c r="AD559" s="19">
        <v>0.7</v>
      </c>
      <c r="AE559" s="19">
        <v>1.1666666666666667</v>
      </c>
    </row>
    <row r="560" spans="1:31">
      <c r="A560">
        <v>564</v>
      </c>
      <c r="B560" t="s">
        <v>124</v>
      </c>
      <c r="C560" t="s">
        <v>51</v>
      </c>
      <c r="D560" t="s">
        <v>53</v>
      </c>
      <c r="E560" s="27">
        <v>46098</v>
      </c>
      <c r="F560" s="28" t="s">
        <v>207</v>
      </c>
      <c r="G560" s="32"/>
      <c r="H560" s="28" t="s">
        <v>56</v>
      </c>
      <c r="I560" s="29">
        <v>98500</v>
      </c>
      <c r="J560" s="28" t="s">
        <v>57</v>
      </c>
      <c r="K560" s="30">
        <v>46197.833333333336</v>
      </c>
      <c r="L560" s="28">
        <v>430</v>
      </c>
      <c r="M560" s="29">
        <v>2804</v>
      </c>
      <c r="N560" s="31">
        <v>1274</v>
      </c>
      <c r="O560" s="31">
        <v>2022.37</v>
      </c>
      <c r="P560" s="31">
        <v>3917.55</v>
      </c>
      <c r="Q560" s="28">
        <v>155</v>
      </c>
      <c r="R560" s="29">
        <v>7051</v>
      </c>
      <c r="S560" s="29">
        <v>18180</v>
      </c>
      <c r="T560" s="28">
        <v>6</v>
      </c>
      <c r="U560" s="28">
        <v>11</v>
      </c>
      <c r="V560" s="28">
        <v>17</v>
      </c>
      <c r="W560" s="30">
        <v>46275.541666666664</v>
      </c>
      <c r="X560" s="32"/>
      <c r="Y560" s="28">
        <v>0</v>
      </c>
      <c r="Z560" s="33">
        <v>18417</v>
      </c>
      <c r="AA560">
        <v>748.36999999999989</v>
      </c>
      <c r="AB560" s="18">
        <v>0.58741758241758235</v>
      </c>
      <c r="AC560" s="19">
        <v>1.5874175824175822</v>
      </c>
      <c r="AD560" s="19">
        <v>2.4705882352941178</v>
      </c>
      <c r="AE560" s="19">
        <v>1.5098039215686274</v>
      </c>
    </row>
    <row r="561" spans="1:31">
      <c r="A561">
        <v>565</v>
      </c>
      <c r="B561" t="s">
        <v>52</v>
      </c>
      <c r="C561" t="s">
        <v>133</v>
      </c>
      <c r="D561" t="s">
        <v>53</v>
      </c>
      <c r="E561" s="20">
        <v>46098</v>
      </c>
      <c r="F561" s="21" t="s">
        <v>208</v>
      </c>
      <c r="G561" s="25"/>
      <c r="H561" s="21" t="s">
        <v>100</v>
      </c>
      <c r="I561" s="22">
        <v>52237</v>
      </c>
      <c r="J561" s="21" t="s">
        <v>101</v>
      </c>
      <c r="K561" s="23">
        <v>46197.833333333336</v>
      </c>
      <c r="L561" s="21">
        <v>378</v>
      </c>
      <c r="M561" s="22">
        <v>1839</v>
      </c>
      <c r="N561" s="24">
        <v>183.67</v>
      </c>
      <c r="O561" s="24">
        <v>314.39999999999998</v>
      </c>
      <c r="P561" s="24">
        <v>540.6</v>
      </c>
      <c r="Q561" s="21">
        <v>153</v>
      </c>
      <c r="R561" s="22">
        <v>7794</v>
      </c>
      <c r="S561" s="22">
        <v>19911</v>
      </c>
      <c r="T561" s="21">
        <v>1</v>
      </c>
      <c r="U561" s="21">
        <v>4</v>
      </c>
      <c r="V561" s="21">
        <v>15</v>
      </c>
      <c r="W561" s="23">
        <v>46275.541666666664</v>
      </c>
      <c r="X561" s="25"/>
      <c r="Y561" s="21">
        <v>0</v>
      </c>
      <c r="Z561" s="26">
        <v>20162</v>
      </c>
      <c r="AA561">
        <v>130.72999999999999</v>
      </c>
      <c r="AB561" s="18">
        <v>0.71176566668481511</v>
      </c>
      <c r="AC561" s="19">
        <v>1.7117656666848151</v>
      </c>
      <c r="AD561" s="19">
        <v>0.46666666666666667</v>
      </c>
      <c r="AE561" s="19">
        <v>0.62222222222222223</v>
      </c>
    </row>
    <row r="562" spans="1:31">
      <c r="A562">
        <v>566</v>
      </c>
      <c r="B562" t="s">
        <v>59</v>
      </c>
      <c r="C562" t="s">
        <v>183</v>
      </c>
      <c r="D562" t="s">
        <v>60</v>
      </c>
      <c r="E562" s="27">
        <v>46098</v>
      </c>
      <c r="F562" s="28" t="s">
        <v>209</v>
      </c>
      <c r="G562" s="32"/>
      <c r="H562" s="28" t="s">
        <v>171</v>
      </c>
      <c r="I562" s="29">
        <v>69176</v>
      </c>
      <c r="J562" s="28" t="s">
        <v>172</v>
      </c>
      <c r="K562" s="30">
        <v>46198.666666666664</v>
      </c>
      <c r="L562" s="28">
        <v>690</v>
      </c>
      <c r="M562" s="29">
        <v>3090</v>
      </c>
      <c r="N562" s="31">
        <v>214.11</v>
      </c>
      <c r="O562" s="31">
        <v>396.25</v>
      </c>
      <c r="P562" s="31">
        <v>799.14</v>
      </c>
      <c r="Q562" s="28">
        <v>165</v>
      </c>
      <c r="R562" s="29">
        <v>7990</v>
      </c>
      <c r="S562" s="29">
        <v>20430</v>
      </c>
      <c r="T562" s="28">
        <v>3</v>
      </c>
      <c r="U562" s="28">
        <v>9</v>
      </c>
      <c r="V562" s="28">
        <v>23</v>
      </c>
      <c r="W562" s="30">
        <v>46275.625</v>
      </c>
      <c r="X562" s="32"/>
      <c r="Y562" s="28">
        <v>0</v>
      </c>
      <c r="Z562" s="33">
        <v>20690</v>
      </c>
      <c r="AA562">
        <v>182.14</v>
      </c>
      <c r="AB562" s="18">
        <v>0.8506842277334079</v>
      </c>
      <c r="AC562" s="19">
        <v>1.8506842277334079</v>
      </c>
      <c r="AD562" s="19">
        <v>0.91304347826086962</v>
      </c>
      <c r="AE562" s="19">
        <v>0.91304347826086962</v>
      </c>
    </row>
    <row r="563" spans="1:31">
      <c r="A563">
        <v>567</v>
      </c>
      <c r="B563" t="s">
        <v>185</v>
      </c>
      <c r="C563" t="s">
        <v>58</v>
      </c>
      <c r="D563" t="s">
        <v>60</v>
      </c>
      <c r="E563" s="20">
        <v>46098</v>
      </c>
      <c r="F563" s="21" t="s">
        <v>210</v>
      </c>
      <c r="G563" s="25"/>
      <c r="H563" s="21" t="s">
        <v>91</v>
      </c>
      <c r="I563" s="22">
        <v>82500</v>
      </c>
      <c r="J563" s="21" t="s">
        <v>92</v>
      </c>
      <c r="K563" s="23">
        <v>46198.666666666664</v>
      </c>
      <c r="L563" s="21">
        <v>969</v>
      </c>
      <c r="M563" s="22">
        <v>4736</v>
      </c>
      <c r="N563" s="24">
        <v>772.2</v>
      </c>
      <c r="O563" s="24">
        <v>1333.8</v>
      </c>
      <c r="P563" s="24">
        <v>2320.04</v>
      </c>
      <c r="Q563" s="21">
        <v>207</v>
      </c>
      <c r="R563" s="22">
        <v>10259</v>
      </c>
      <c r="S563" s="22">
        <v>26080</v>
      </c>
      <c r="T563" s="21">
        <v>3</v>
      </c>
      <c r="U563" s="21">
        <v>15</v>
      </c>
      <c r="V563" s="21">
        <v>37</v>
      </c>
      <c r="W563" s="23">
        <v>46275.625</v>
      </c>
      <c r="X563" s="25"/>
      <c r="Y563" s="21">
        <v>0</v>
      </c>
      <c r="Z563" s="26">
        <v>26429</v>
      </c>
      <c r="AA563">
        <v>561.59999999999991</v>
      </c>
      <c r="AB563" s="18">
        <v>0.72727272727272707</v>
      </c>
      <c r="AC563" s="19">
        <v>1.7272727272727271</v>
      </c>
      <c r="AD563" s="19">
        <v>0.56756756756756754</v>
      </c>
      <c r="AE563" s="19">
        <v>0.94594594594594594</v>
      </c>
    </row>
    <row r="564" spans="1:31">
      <c r="A564">
        <v>568</v>
      </c>
      <c r="B564" t="s">
        <v>94</v>
      </c>
      <c r="C564" t="s">
        <v>124</v>
      </c>
      <c r="D564" t="s">
        <v>95</v>
      </c>
      <c r="E564" s="27">
        <v>46098</v>
      </c>
      <c r="F564" s="28" t="s">
        <v>211</v>
      </c>
      <c r="G564" s="32"/>
      <c r="H564" s="28" t="s">
        <v>74</v>
      </c>
      <c r="I564" s="29">
        <v>80000</v>
      </c>
      <c r="J564" s="28" t="s">
        <v>75</v>
      </c>
      <c r="K564" s="30">
        <v>46198.75</v>
      </c>
      <c r="L564" s="28">
        <v>563</v>
      </c>
      <c r="M564" s="29">
        <v>2646</v>
      </c>
      <c r="N564" s="31">
        <v>395.62</v>
      </c>
      <c r="O564" s="31">
        <v>677</v>
      </c>
      <c r="P564" s="31">
        <v>1050.3499999999999</v>
      </c>
      <c r="Q564" s="28">
        <v>151</v>
      </c>
      <c r="R564" s="29">
        <v>6827</v>
      </c>
      <c r="S564" s="29">
        <v>17420</v>
      </c>
      <c r="T564" s="28">
        <v>2</v>
      </c>
      <c r="U564" s="28">
        <v>13</v>
      </c>
      <c r="V564" s="28">
        <v>27</v>
      </c>
      <c r="W564" s="30">
        <v>46275.583333333336</v>
      </c>
      <c r="X564" s="32"/>
      <c r="Y564" s="28">
        <v>0</v>
      </c>
      <c r="Z564" s="33">
        <v>17631</v>
      </c>
      <c r="AA564">
        <v>281.38</v>
      </c>
      <c r="AB564" s="18">
        <v>0.71123805672109597</v>
      </c>
      <c r="AC564" s="19">
        <v>1.7112380567210961</v>
      </c>
      <c r="AD564" s="19">
        <v>0.51851851851851849</v>
      </c>
      <c r="AE564" s="19">
        <v>1.1234567901234567</v>
      </c>
    </row>
    <row r="565" spans="1:31">
      <c r="A565">
        <v>569</v>
      </c>
      <c r="B565" t="s">
        <v>98</v>
      </c>
      <c r="C565" t="s">
        <v>93</v>
      </c>
      <c r="D565" t="s">
        <v>95</v>
      </c>
      <c r="E565" s="20">
        <v>46098</v>
      </c>
      <c r="F565" s="21" t="s">
        <v>212</v>
      </c>
      <c r="G565" s="25"/>
      <c r="H565" s="21" t="s">
        <v>68</v>
      </c>
      <c r="I565" s="22">
        <v>76416</v>
      </c>
      <c r="J565" s="21" t="s">
        <v>69</v>
      </c>
      <c r="K565" s="23">
        <v>46198.75</v>
      </c>
      <c r="L565" s="21">
        <v>659</v>
      </c>
      <c r="M565" s="22">
        <v>3052</v>
      </c>
      <c r="N565" s="24">
        <v>311.49</v>
      </c>
      <c r="O565" s="24">
        <v>530</v>
      </c>
      <c r="P565" s="24">
        <v>1068.45</v>
      </c>
      <c r="Q565" s="21">
        <v>164</v>
      </c>
      <c r="R565" s="22">
        <v>6924</v>
      </c>
      <c r="S565" s="22">
        <v>17748</v>
      </c>
      <c r="T565" s="21">
        <v>4</v>
      </c>
      <c r="U565" s="21">
        <v>9</v>
      </c>
      <c r="V565" s="21">
        <v>22</v>
      </c>
      <c r="W565" s="23">
        <v>46275.583333333336</v>
      </c>
      <c r="X565" s="25"/>
      <c r="Y565" s="21">
        <v>0</v>
      </c>
      <c r="Z565" s="26">
        <v>17975</v>
      </c>
      <c r="AA565">
        <v>218.51</v>
      </c>
      <c r="AB565" s="18">
        <v>0.70149924556165522</v>
      </c>
      <c r="AC565" s="19">
        <v>1.7014992455616553</v>
      </c>
      <c r="AD565" s="19">
        <v>1.2727272727272727</v>
      </c>
      <c r="AE565" s="19">
        <v>0.95454545454545459</v>
      </c>
    </row>
    <row r="566" spans="1:31">
      <c r="A566">
        <v>570</v>
      </c>
      <c r="B566" t="s">
        <v>124</v>
      </c>
      <c r="C566" t="s">
        <v>180</v>
      </c>
      <c r="D566" t="s">
        <v>178</v>
      </c>
      <c r="E566" s="27">
        <v>46098</v>
      </c>
      <c r="F566" s="28" t="s">
        <v>213</v>
      </c>
      <c r="G566" s="32"/>
      <c r="H566" s="28" t="s">
        <v>113</v>
      </c>
      <c r="I566" s="29">
        <v>70240</v>
      </c>
      <c r="J566" s="28" t="s">
        <v>114</v>
      </c>
      <c r="K566" s="30">
        <v>46198.791666666664</v>
      </c>
      <c r="L566" s="28">
        <v>687</v>
      </c>
      <c r="M566" s="29">
        <v>3180</v>
      </c>
      <c r="N566" s="31">
        <v>854.1</v>
      </c>
      <c r="O566" s="31">
        <v>1500.15</v>
      </c>
      <c r="P566" s="31">
        <v>2648.38</v>
      </c>
      <c r="Q566" s="28">
        <v>175</v>
      </c>
      <c r="R566" s="29">
        <v>8455</v>
      </c>
      <c r="S566" s="29">
        <v>21615</v>
      </c>
      <c r="T566" s="28">
        <v>7</v>
      </c>
      <c r="U566" s="28">
        <v>14</v>
      </c>
      <c r="V566" s="28">
        <v>23</v>
      </c>
      <c r="W566" s="30">
        <v>46275.5</v>
      </c>
      <c r="X566" s="32"/>
      <c r="Y566" s="28">
        <v>0</v>
      </c>
      <c r="Z566" s="33">
        <v>21884</v>
      </c>
      <c r="AA566">
        <v>646.05000000000007</v>
      </c>
      <c r="AB566" s="18">
        <v>0.7564102564102565</v>
      </c>
      <c r="AC566" s="19">
        <v>1.7564102564102564</v>
      </c>
      <c r="AD566" s="19">
        <v>2.1304347826086958</v>
      </c>
      <c r="AE566" s="19">
        <v>1.4202898550724639</v>
      </c>
    </row>
    <row r="567" spans="1:31">
      <c r="A567">
        <v>571</v>
      </c>
      <c r="B567" t="s">
        <v>177</v>
      </c>
      <c r="C567" t="s">
        <v>181</v>
      </c>
      <c r="D567" t="s">
        <v>178</v>
      </c>
      <c r="E567" s="20">
        <v>46098</v>
      </c>
      <c r="F567" s="21" t="s">
        <v>215</v>
      </c>
      <c r="G567" s="25"/>
      <c r="H567" s="21" t="s">
        <v>140</v>
      </c>
      <c r="I567" s="22">
        <v>75000</v>
      </c>
      <c r="J567" s="21" t="s">
        <v>141</v>
      </c>
      <c r="K567" s="23">
        <v>46198.791666666664</v>
      </c>
      <c r="L567" s="21">
        <v>683</v>
      </c>
      <c r="M567" s="22">
        <v>3097</v>
      </c>
      <c r="N567" s="24">
        <v>333</v>
      </c>
      <c r="O567" s="24">
        <v>594.91999999999996</v>
      </c>
      <c r="P567" s="24">
        <v>1117.8</v>
      </c>
      <c r="Q567" s="21">
        <v>169</v>
      </c>
      <c r="R567" s="22">
        <v>6684</v>
      </c>
      <c r="S567" s="22">
        <v>17196</v>
      </c>
      <c r="T567" s="21">
        <v>4</v>
      </c>
      <c r="U567" s="21">
        <v>15</v>
      </c>
      <c r="V567" s="21">
        <v>22</v>
      </c>
      <c r="W567" s="23">
        <v>46275.5</v>
      </c>
      <c r="X567" s="25"/>
      <c r="Y567" s="21">
        <v>0</v>
      </c>
      <c r="Z567" s="26">
        <v>17403</v>
      </c>
      <c r="AA567">
        <v>261.91999999999996</v>
      </c>
      <c r="AB567" s="18">
        <v>0.78654654654654643</v>
      </c>
      <c r="AC567" s="19">
        <v>1.7865465465465464</v>
      </c>
      <c r="AD567" s="19">
        <v>1.2727272727272727</v>
      </c>
      <c r="AE567" s="19">
        <v>1.5909090909090911</v>
      </c>
    </row>
    <row r="568" spans="1:31">
      <c r="A568">
        <v>572</v>
      </c>
      <c r="B568" t="s">
        <v>125</v>
      </c>
      <c r="C568" t="s">
        <v>120</v>
      </c>
      <c r="D568" t="s">
        <v>122</v>
      </c>
      <c r="E568" s="27">
        <v>46098</v>
      </c>
      <c r="F568" s="28" t="s">
        <v>216</v>
      </c>
      <c r="G568" s="32"/>
      <c r="H568" s="28" t="s">
        <v>127</v>
      </c>
      <c r="I568" s="29">
        <v>68756</v>
      </c>
      <c r="J568" s="28" t="s">
        <v>128</v>
      </c>
      <c r="K568" s="30">
        <v>46199.625</v>
      </c>
      <c r="L568" s="28">
        <v>882</v>
      </c>
      <c r="M568" s="29">
        <v>4408</v>
      </c>
      <c r="N568" s="31">
        <v>689.47</v>
      </c>
      <c r="O568" s="31">
        <v>1171.6600000000001</v>
      </c>
      <c r="P568" s="31">
        <v>2057.92</v>
      </c>
      <c r="Q568" s="28">
        <v>186</v>
      </c>
      <c r="R568" s="29">
        <v>8634</v>
      </c>
      <c r="S568" s="29">
        <v>22387</v>
      </c>
      <c r="T568" s="28">
        <v>3</v>
      </c>
      <c r="U568" s="28">
        <v>8</v>
      </c>
      <c r="V568" s="28">
        <v>25</v>
      </c>
      <c r="W568" s="30">
        <v>46275.625</v>
      </c>
      <c r="X568" s="32"/>
      <c r="Y568" s="28">
        <v>0</v>
      </c>
      <c r="Z568" s="33">
        <v>22700</v>
      </c>
      <c r="AA568">
        <v>482.19000000000005</v>
      </c>
      <c r="AB568" s="18">
        <v>0.69936327904042239</v>
      </c>
      <c r="AC568" s="19">
        <v>1.6993632790404225</v>
      </c>
      <c r="AD568" s="19">
        <v>0.84</v>
      </c>
      <c r="AE568" s="19">
        <v>0.74666666666666659</v>
      </c>
    </row>
    <row r="569" spans="1:31">
      <c r="A569">
        <v>573</v>
      </c>
      <c r="B569" t="s">
        <v>121</v>
      </c>
      <c r="C569" t="s">
        <v>124</v>
      </c>
      <c r="D569" t="s">
        <v>122</v>
      </c>
      <c r="E569" s="20">
        <v>46098</v>
      </c>
      <c r="F569" s="21" t="s">
        <v>217</v>
      </c>
      <c r="G569" s="25"/>
      <c r="H569" s="21" t="s">
        <v>146</v>
      </c>
      <c r="I569" s="22">
        <v>30000</v>
      </c>
      <c r="J569" s="21" t="s">
        <v>147</v>
      </c>
      <c r="K569" s="23">
        <v>46199.625</v>
      </c>
      <c r="L569" s="21">
        <v>410</v>
      </c>
      <c r="M569" s="22">
        <v>1989</v>
      </c>
      <c r="N569" s="24">
        <v>392.11</v>
      </c>
      <c r="O569" s="24">
        <v>584.94000000000005</v>
      </c>
      <c r="P569" s="24">
        <v>810.43</v>
      </c>
      <c r="Q569" s="21">
        <v>196</v>
      </c>
      <c r="R569" s="22">
        <v>7827</v>
      </c>
      <c r="S569" s="22">
        <v>20093</v>
      </c>
      <c r="T569" s="21">
        <v>1</v>
      </c>
      <c r="U569" s="21">
        <v>2</v>
      </c>
      <c r="V569" s="21">
        <v>8</v>
      </c>
      <c r="W569" s="23">
        <v>46275.5</v>
      </c>
      <c r="X569" s="25"/>
      <c r="Y569" s="21">
        <v>0</v>
      </c>
      <c r="Z569" s="26">
        <v>20346</v>
      </c>
      <c r="AA569">
        <v>192.83000000000004</v>
      </c>
      <c r="AB569" s="18">
        <v>0.49177526714442382</v>
      </c>
      <c r="AC569" s="19">
        <v>1.4917752671444238</v>
      </c>
      <c r="AD569" s="19">
        <v>0.875</v>
      </c>
      <c r="AE569" s="19">
        <v>0.58333333333333337</v>
      </c>
    </row>
    <row r="570" spans="1:31">
      <c r="A570">
        <v>574</v>
      </c>
      <c r="B570" t="s">
        <v>116</v>
      </c>
      <c r="C570" t="s">
        <v>109</v>
      </c>
      <c r="D570" t="s">
        <v>111</v>
      </c>
      <c r="E570" s="27">
        <v>46098</v>
      </c>
      <c r="F570" s="28" t="s">
        <v>218</v>
      </c>
      <c r="G570" s="32"/>
      <c r="H570" s="28" t="s">
        <v>118</v>
      </c>
      <c r="I570" s="29">
        <v>67000</v>
      </c>
      <c r="J570" s="28" t="s">
        <v>119</v>
      </c>
      <c r="K570" s="30">
        <v>46199.833333333336</v>
      </c>
      <c r="L570" s="28">
        <v>744</v>
      </c>
      <c r="M570" s="29">
        <v>3451</v>
      </c>
      <c r="N570" s="31">
        <v>241.39</v>
      </c>
      <c r="O570" s="31">
        <v>462.9</v>
      </c>
      <c r="P570" s="31">
        <v>900</v>
      </c>
      <c r="Q570" s="28">
        <v>157</v>
      </c>
      <c r="R570" s="29">
        <v>7843</v>
      </c>
      <c r="S570" s="29">
        <v>20251</v>
      </c>
      <c r="T570" s="28">
        <v>3</v>
      </c>
      <c r="U570" s="28">
        <v>9</v>
      </c>
      <c r="V570" s="28">
        <v>16</v>
      </c>
      <c r="W570" s="30">
        <v>46275.5</v>
      </c>
      <c r="X570" s="32"/>
      <c r="Y570" s="28">
        <v>0</v>
      </c>
      <c r="Z570" s="33">
        <v>20503</v>
      </c>
      <c r="AA570">
        <v>221.51</v>
      </c>
      <c r="AB570" s="18">
        <v>0.91764364720990932</v>
      </c>
      <c r="AC570" s="19">
        <v>1.9176436472099092</v>
      </c>
      <c r="AD570" s="19">
        <v>1.3125</v>
      </c>
      <c r="AE570" s="19">
        <v>1.3125</v>
      </c>
    </row>
    <row r="571" spans="1:31">
      <c r="A571">
        <v>575</v>
      </c>
      <c r="B571" t="s">
        <v>110</v>
      </c>
      <c r="C571" t="s">
        <v>115</v>
      </c>
      <c r="D571" t="s">
        <v>111</v>
      </c>
      <c r="E571" s="20">
        <v>46098</v>
      </c>
      <c r="F571" s="21" t="s">
        <v>219</v>
      </c>
      <c r="G571" s="25"/>
      <c r="H571" s="21" t="s">
        <v>164</v>
      </c>
      <c r="I571" s="22">
        <v>54500</v>
      </c>
      <c r="J571" s="21" t="s">
        <v>165</v>
      </c>
      <c r="K571" s="23">
        <v>46199.833333333336</v>
      </c>
      <c r="L571" s="21">
        <v>536</v>
      </c>
      <c r="M571" s="22">
        <v>2653</v>
      </c>
      <c r="N571" s="24">
        <v>359.5</v>
      </c>
      <c r="O571" s="24">
        <v>529.84</v>
      </c>
      <c r="P571" s="24">
        <v>1043.69</v>
      </c>
      <c r="Q571" s="21">
        <v>184</v>
      </c>
      <c r="R571" s="22">
        <v>8905</v>
      </c>
      <c r="S571" s="22">
        <v>21483</v>
      </c>
      <c r="T571" s="21">
        <v>3</v>
      </c>
      <c r="U571" s="21">
        <v>17</v>
      </c>
      <c r="V571" s="21">
        <v>34</v>
      </c>
      <c r="W571" s="23">
        <v>46275.375</v>
      </c>
      <c r="X571" s="25"/>
      <c r="Y571" s="21">
        <v>0</v>
      </c>
      <c r="Z571" s="26">
        <v>21734</v>
      </c>
      <c r="AA571">
        <v>170.34000000000003</v>
      </c>
      <c r="AB571" s="18">
        <v>0.47382475660639789</v>
      </c>
      <c r="AC571" s="19">
        <v>1.4738247566063978</v>
      </c>
      <c r="AD571" s="19">
        <v>0.61764705882352944</v>
      </c>
      <c r="AE571" s="19">
        <v>1.1666666666666667</v>
      </c>
    </row>
    <row r="572" spans="1:31">
      <c r="A572">
        <v>576</v>
      </c>
      <c r="B572" t="s">
        <v>107</v>
      </c>
      <c r="C572" t="s">
        <v>102</v>
      </c>
      <c r="D572" t="s">
        <v>104</v>
      </c>
      <c r="E572" s="27">
        <v>46098</v>
      </c>
      <c r="F572" s="28" t="s">
        <v>220</v>
      </c>
      <c r="G572" s="32"/>
      <c r="H572" s="28" t="s">
        <v>62</v>
      </c>
      <c r="I572" s="29">
        <v>71500</v>
      </c>
      <c r="J572" s="28" t="s">
        <v>63</v>
      </c>
      <c r="K572" s="30">
        <v>46199.791666666664</v>
      </c>
      <c r="L572" s="28">
        <v>882</v>
      </c>
      <c r="M572" s="29">
        <v>4042</v>
      </c>
      <c r="N572" s="31">
        <v>134.99</v>
      </c>
      <c r="O572" s="31">
        <v>350</v>
      </c>
      <c r="P572" s="31">
        <v>926.93</v>
      </c>
      <c r="Q572" s="28">
        <v>159</v>
      </c>
      <c r="R572" s="29">
        <v>7605</v>
      </c>
      <c r="S572" s="29">
        <v>19697</v>
      </c>
      <c r="T572" s="28">
        <v>2</v>
      </c>
      <c r="U572" s="28">
        <v>7</v>
      </c>
      <c r="V572" s="28">
        <v>19</v>
      </c>
      <c r="W572" s="30">
        <v>46275.583333333336</v>
      </c>
      <c r="X572" s="32"/>
      <c r="Y572" s="28">
        <v>0</v>
      </c>
      <c r="Z572" s="33">
        <v>19940</v>
      </c>
      <c r="AA572">
        <v>215.01</v>
      </c>
      <c r="AB572" s="18">
        <v>1.5927846507148675</v>
      </c>
      <c r="AC572" s="19">
        <v>2.5927846507148677</v>
      </c>
      <c r="AD572" s="19">
        <v>0.73684210526315785</v>
      </c>
      <c r="AE572" s="19">
        <v>0.85964912280701755</v>
      </c>
    </row>
    <row r="573" spans="1:31">
      <c r="A573">
        <v>577</v>
      </c>
      <c r="B573" t="s">
        <v>103</v>
      </c>
      <c r="C573" t="s">
        <v>106</v>
      </c>
      <c r="D573" t="s">
        <v>104</v>
      </c>
      <c r="E573" s="20">
        <v>46098</v>
      </c>
      <c r="F573" s="21" t="s">
        <v>221</v>
      </c>
      <c r="G573" s="25"/>
      <c r="H573" s="21" t="s">
        <v>135</v>
      </c>
      <c r="I573" s="22">
        <v>49800</v>
      </c>
      <c r="J573" s="21" t="s">
        <v>136</v>
      </c>
      <c r="K573" s="23">
        <v>46199.791666666664</v>
      </c>
      <c r="L573" s="21">
        <v>536</v>
      </c>
      <c r="M573" s="22">
        <v>3112</v>
      </c>
      <c r="N573" s="24">
        <v>882.7</v>
      </c>
      <c r="O573" s="24">
        <v>1394.58</v>
      </c>
      <c r="P573" s="24">
        <v>2318.02</v>
      </c>
      <c r="Q573" s="21">
        <v>206</v>
      </c>
      <c r="R573" s="22">
        <v>8197</v>
      </c>
      <c r="S573" s="22">
        <v>21151</v>
      </c>
      <c r="T573" s="21">
        <v>1</v>
      </c>
      <c r="U573" s="21">
        <v>7</v>
      </c>
      <c r="V573" s="21">
        <v>21</v>
      </c>
      <c r="W573" s="23">
        <v>46275.541666666664</v>
      </c>
      <c r="X573" s="25"/>
      <c r="Y573" s="21">
        <v>0</v>
      </c>
      <c r="Z573" s="26">
        <v>21414</v>
      </c>
      <c r="AA573">
        <v>511.87999999999988</v>
      </c>
      <c r="AB573" s="18">
        <v>0.5799025716551488</v>
      </c>
      <c r="AC573" s="19">
        <v>1.5799025716551489</v>
      </c>
      <c r="AD573" s="19">
        <v>0.33333333333333331</v>
      </c>
      <c r="AE573" s="19">
        <v>0.77777777777777779</v>
      </c>
    </row>
    <row r="574" spans="1:31">
      <c r="A574">
        <v>578</v>
      </c>
      <c r="B574" t="s">
        <v>143</v>
      </c>
      <c r="C574" t="s">
        <v>148</v>
      </c>
      <c r="D574" t="s">
        <v>144</v>
      </c>
      <c r="E574" s="27">
        <v>46098</v>
      </c>
      <c r="F574" s="28" t="s">
        <v>222</v>
      </c>
      <c r="G574" s="32"/>
      <c r="H574" s="28" t="s">
        <v>91</v>
      </c>
      <c r="I574" s="29">
        <v>82500</v>
      </c>
      <c r="J574" s="28" t="s">
        <v>92</v>
      </c>
      <c r="K574" s="30">
        <v>46200.708333333336</v>
      </c>
      <c r="L574" s="28">
        <v>957</v>
      </c>
      <c r="M574" s="29">
        <v>4788</v>
      </c>
      <c r="N574" s="31">
        <v>600</v>
      </c>
      <c r="O574" s="31">
        <v>1175.07</v>
      </c>
      <c r="P574" s="31">
        <v>1800</v>
      </c>
      <c r="Q574" s="28">
        <v>96</v>
      </c>
      <c r="R574" s="29">
        <v>3769</v>
      </c>
      <c r="S574" s="29">
        <v>9681</v>
      </c>
      <c r="T574" s="28">
        <v>4</v>
      </c>
      <c r="U574" s="28">
        <v>18</v>
      </c>
      <c r="V574" s="28">
        <v>39</v>
      </c>
      <c r="W574" s="30">
        <v>46275.625</v>
      </c>
      <c r="X574" s="32"/>
      <c r="Y574" s="28">
        <v>0</v>
      </c>
      <c r="Z574" s="33">
        <v>9798</v>
      </c>
      <c r="AA574">
        <v>575.06999999999994</v>
      </c>
      <c r="AB574" s="18">
        <v>0.95844999999999991</v>
      </c>
      <c r="AC574" s="19">
        <v>1.9584499999999998</v>
      </c>
      <c r="AD574" s="19">
        <v>0.71794871794871795</v>
      </c>
      <c r="AE574" s="19">
        <v>1.0769230769230769</v>
      </c>
    </row>
    <row r="575" spans="1:31">
      <c r="A575">
        <v>579</v>
      </c>
      <c r="B575" t="s">
        <v>149</v>
      </c>
      <c r="C575" t="s">
        <v>142</v>
      </c>
      <c r="D575" t="s">
        <v>144</v>
      </c>
      <c r="E575" s="20">
        <v>46098</v>
      </c>
      <c r="F575" s="21" t="s">
        <v>223</v>
      </c>
      <c r="G575" s="25"/>
      <c r="H575" s="21" t="s">
        <v>171</v>
      </c>
      <c r="I575" s="22">
        <v>69176</v>
      </c>
      <c r="J575" s="21" t="s">
        <v>172</v>
      </c>
      <c r="K575" s="23">
        <v>46200.708333333336</v>
      </c>
      <c r="L575" s="21">
        <v>743</v>
      </c>
      <c r="M575" s="22">
        <v>3424</v>
      </c>
      <c r="N575" s="24">
        <v>432</v>
      </c>
      <c r="O575" s="24">
        <v>661.46</v>
      </c>
      <c r="P575" s="24">
        <v>1191.6300000000001</v>
      </c>
      <c r="Q575" s="21">
        <v>178</v>
      </c>
      <c r="R575" s="22">
        <v>8262</v>
      </c>
      <c r="S575" s="22">
        <v>21072</v>
      </c>
      <c r="T575" s="21">
        <v>6</v>
      </c>
      <c r="U575" s="21">
        <v>17</v>
      </c>
      <c r="V575" s="21">
        <v>33</v>
      </c>
      <c r="W575" s="23">
        <v>46275.625</v>
      </c>
      <c r="X575" s="25"/>
      <c r="Y575" s="21">
        <v>0</v>
      </c>
      <c r="Z575" s="26">
        <v>21346</v>
      </c>
      <c r="AA575">
        <v>229.46000000000004</v>
      </c>
      <c r="AB575" s="18">
        <v>0.53115740740740747</v>
      </c>
      <c r="AC575" s="19">
        <v>1.5311574074074075</v>
      </c>
      <c r="AD575" s="19">
        <v>1.2727272727272727</v>
      </c>
      <c r="AE575" s="19">
        <v>1.202020202020202</v>
      </c>
    </row>
    <row r="576" spans="1:31">
      <c r="A576">
        <v>580</v>
      </c>
      <c r="B576" t="s">
        <v>130</v>
      </c>
      <c r="C576" t="s">
        <v>137</v>
      </c>
      <c r="D576" t="s">
        <v>131</v>
      </c>
      <c r="E576" s="27">
        <v>46098</v>
      </c>
      <c r="F576" s="28" t="s">
        <v>224</v>
      </c>
      <c r="G576" s="32"/>
      <c r="H576" s="28" t="s">
        <v>68</v>
      </c>
      <c r="I576" s="29">
        <v>76416</v>
      </c>
      <c r="J576" s="28" t="s">
        <v>69</v>
      </c>
      <c r="K576" s="30">
        <v>46200.875</v>
      </c>
      <c r="L576" s="28">
        <v>618</v>
      </c>
      <c r="M576" s="29">
        <v>3020</v>
      </c>
      <c r="N576" s="31">
        <v>274.5</v>
      </c>
      <c r="O576" s="31">
        <v>505</v>
      </c>
      <c r="P576" s="31">
        <v>1372.5</v>
      </c>
      <c r="Q576" s="28">
        <v>141</v>
      </c>
      <c r="R576" s="29">
        <v>6277</v>
      </c>
      <c r="S576" s="29">
        <v>16293</v>
      </c>
      <c r="T576" s="28">
        <v>1</v>
      </c>
      <c r="U576" s="28">
        <v>8</v>
      </c>
      <c r="V576" s="28">
        <v>14</v>
      </c>
      <c r="W576" s="30">
        <v>46275.583333333336</v>
      </c>
      <c r="X576" s="32"/>
      <c r="Y576" s="28">
        <v>0</v>
      </c>
      <c r="Z576" s="33">
        <v>16491</v>
      </c>
      <c r="AA576">
        <v>230.5</v>
      </c>
      <c r="AB576" s="18">
        <v>0.83970856102003644</v>
      </c>
      <c r="AC576" s="19">
        <v>1.8397085610200363</v>
      </c>
      <c r="AD576" s="19">
        <v>0.5</v>
      </c>
      <c r="AE576" s="19">
        <v>1.3333333333333333</v>
      </c>
    </row>
    <row r="577" spans="1:31">
      <c r="A577">
        <v>581</v>
      </c>
      <c r="B577" t="s">
        <v>138</v>
      </c>
      <c r="C577" t="s">
        <v>129</v>
      </c>
      <c r="D577" t="s">
        <v>131</v>
      </c>
      <c r="E577" s="20">
        <v>46098</v>
      </c>
      <c r="F577" s="21" t="s">
        <v>226</v>
      </c>
      <c r="G577" s="25"/>
      <c r="H577" s="21" t="s">
        <v>74</v>
      </c>
      <c r="I577" s="22">
        <v>80000</v>
      </c>
      <c r="J577" s="21" t="s">
        <v>75</v>
      </c>
      <c r="K577" s="23">
        <v>46200.875</v>
      </c>
      <c r="L577" s="21">
        <v>706</v>
      </c>
      <c r="M577" s="22">
        <v>3218</v>
      </c>
      <c r="N577" s="24">
        <v>737.2</v>
      </c>
      <c r="O577" s="24">
        <v>1191.27</v>
      </c>
      <c r="P577" s="24">
        <v>1932.31</v>
      </c>
      <c r="Q577" s="21">
        <v>177</v>
      </c>
      <c r="R577" s="22">
        <v>8420</v>
      </c>
      <c r="S577" s="22">
        <v>21734</v>
      </c>
      <c r="T577" s="21">
        <v>4</v>
      </c>
      <c r="U577" s="21">
        <v>14</v>
      </c>
      <c r="V577" s="21">
        <v>26</v>
      </c>
      <c r="W577" s="23">
        <v>46275.583333333336</v>
      </c>
      <c r="X577" s="25"/>
      <c r="Y577" s="21">
        <v>0</v>
      </c>
      <c r="Z577" s="26">
        <v>22019</v>
      </c>
      <c r="AA577">
        <v>454.06999999999994</v>
      </c>
      <c r="AB577" s="18">
        <v>0.61593868692349418</v>
      </c>
      <c r="AC577" s="19">
        <v>1.6159386869234942</v>
      </c>
      <c r="AD577" s="19">
        <v>1.0769230769230769</v>
      </c>
      <c r="AE577" s="19">
        <v>1.2564102564102564</v>
      </c>
    </row>
    <row r="578" spans="1:31">
      <c r="A578">
        <v>582</v>
      </c>
      <c r="B578" t="s">
        <v>155</v>
      </c>
      <c r="C578" t="s">
        <v>151</v>
      </c>
      <c r="D578" t="s">
        <v>152</v>
      </c>
      <c r="E578" s="27">
        <v>46098</v>
      </c>
      <c r="F578" s="28" t="s">
        <v>227</v>
      </c>
      <c r="G578" s="32"/>
      <c r="H578" s="28" t="s">
        <v>85</v>
      </c>
      <c r="I578" s="29">
        <v>76100</v>
      </c>
      <c r="J578" s="28" t="s">
        <v>86</v>
      </c>
      <c r="K578" s="30">
        <v>46200.8125</v>
      </c>
      <c r="L578" s="29">
        <v>1021</v>
      </c>
      <c r="M578" s="29">
        <v>5802</v>
      </c>
      <c r="N578" s="31">
        <v>1466.67</v>
      </c>
      <c r="O578" s="31">
        <v>3050.1</v>
      </c>
      <c r="P578" s="31">
        <v>6257.7</v>
      </c>
      <c r="Q578" s="28">
        <v>296</v>
      </c>
      <c r="R578" s="29">
        <v>12054</v>
      </c>
      <c r="S578" s="29">
        <v>32531</v>
      </c>
      <c r="T578" s="28">
        <v>4</v>
      </c>
      <c r="U578" s="28">
        <v>18</v>
      </c>
      <c r="V578" s="28">
        <v>48</v>
      </c>
      <c r="W578" s="30">
        <v>46275.625</v>
      </c>
      <c r="X578" s="32"/>
      <c r="Y578" s="28">
        <v>0</v>
      </c>
      <c r="Z578" s="33">
        <v>33014</v>
      </c>
      <c r="AA578">
        <v>1583.4299999999998</v>
      </c>
      <c r="AB578" s="18">
        <v>1.0796089099797499</v>
      </c>
      <c r="AC578" s="19">
        <v>2.0796089099797497</v>
      </c>
      <c r="AD578" s="19">
        <v>0.58333333333333337</v>
      </c>
      <c r="AE578" s="19">
        <v>0.875</v>
      </c>
    </row>
    <row r="579" spans="1:31">
      <c r="A579">
        <v>583</v>
      </c>
      <c r="B579" t="s">
        <v>124</v>
      </c>
      <c r="C579" t="s">
        <v>154</v>
      </c>
      <c r="D579" t="s">
        <v>152</v>
      </c>
      <c r="E579" s="20">
        <v>46098</v>
      </c>
      <c r="F579" s="21" t="s">
        <v>228</v>
      </c>
      <c r="G579" s="25"/>
      <c r="H579" s="21" t="s">
        <v>79</v>
      </c>
      <c r="I579" s="22">
        <v>71000</v>
      </c>
      <c r="J579" s="21" t="s">
        <v>80</v>
      </c>
      <c r="K579" s="23">
        <v>46200.8125</v>
      </c>
      <c r="L579" s="21">
        <v>734</v>
      </c>
      <c r="M579" s="22">
        <v>3366</v>
      </c>
      <c r="N579" s="24">
        <v>218.36</v>
      </c>
      <c r="O579" s="24">
        <v>431.86</v>
      </c>
      <c r="P579" s="24">
        <v>900</v>
      </c>
      <c r="Q579" s="21">
        <v>133</v>
      </c>
      <c r="R579" s="22">
        <v>6347</v>
      </c>
      <c r="S579" s="22">
        <v>16282</v>
      </c>
      <c r="T579" s="21">
        <v>0</v>
      </c>
      <c r="U579" s="21">
        <v>8</v>
      </c>
      <c r="V579" s="21">
        <v>19</v>
      </c>
      <c r="W579" s="23">
        <v>46275.625</v>
      </c>
      <c r="X579" s="25"/>
      <c r="Y579" s="21">
        <v>0</v>
      </c>
      <c r="Z579" s="26">
        <v>16484</v>
      </c>
      <c r="AA579">
        <v>213.5</v>
      </c>
      <c r="AB579" s="18">
        <v>0.97774317640593511</v>
      </c>
      <c r="AC579" s="19">
        <v>1.977743176405935</v>
      </c>
      <c r="AD579" s="19">
        <v>0</v>
      </c>
      <c r="AE579" s="19">
        <v>0.98245614035087714</v>
      </c>
    </row>
    <row r="580" spans="1:31">
      <c r="A580">
        <v>584</v>
      </c>
      <c r="B580" t="s">
        <v>229</v>
      </c>
      <c r="C580" t="s">
        <v>230</v>
      </c>
      <c r="D580" t="s">
        <v>231</v>
      </c>
      <c r="E580" s="27">
        <v>46098</v>
      </c>
      <c r="F580" s="28" t="s">
        <v>232</v>
      </c>
      <c r="G580" s="32"/>
      <c r="H580" s="28" t="s">
        <v>113</v>
      </c>
      <c r="I580" s="29">
        <v>70240</v>
      </c>
      <c r="J580" s="28" t="s">
        <v>114</v>
      </c>
      <c r="K580" s="30">
        <v>46201.5</v>
      </c>
      <c r="L580" s="28">
        <v>846</v>
      </c>
      <c r="M580" s="29">
        <v>3878</v>
      </c>
      <c r="N580" s="31">
        <v>611.1</v>
      </c>
      <c r="O580" s="31">
        <v>1039.57</v>
      </c>
      <c r="P580" s="31">
        <v>1721.45</v>
      </c>
      <c r="Q580" s="28">
        <v>68</v>
      </c>
      <c r="R580" s="29">
        <v>2791</v>
      </c>
      <c r="S580" s="29">
        <v>7234</v>
      </c>
      <c r="T580" s="28">
        <v>0</v>
      </c>
      <c r="U580" s="28">
        <v>2</v>
      </c>
      <c r="V580" s="28">
        <v>9</v>
      </c>
      <c r="W580" s="30">
        <v>46275.5</v>
      </c>
      <c r="X580" s="32"/>
      <c r="Y580" s="28">
        <v>0</v>
      </c>
      <c r="Z580" s="33">
        <v>7328</v>
      </c>
      <c r="AA580">
        <v>428.46999999999991</v>
      </c>
      <c r="AB580" s="18">
        <v>0.70114547537227934</v>
      </c>
      <c r="AC580" s="19">
        <v>1.7011454753722792</v>
      </c>
      <c r="AD580" s="19">
        <v>0</v>
      </c>
      <c r="AE580" s="19">
        <v>0.51851851851851849</v>
      </c>
    </row>
    <row r="581" spans="1:31">
      <c r="A581">
        <v>585</v>
      </c>
      <c r="B581" t="s">
        <v>233</v>
      </c>
      <c r="C581" t="s">
        <v>234</v>
      </c>
      <c r="D581" t="s">
        <v>231</v>
      </c>
      <c r="E581" s="20">
        <v>46098</v>
      </c>
      <c r="F581" s="21" t="s">
        <v>235</v>
      </c>
      <c r="G581" s="25"/>
      <c r="H581" s="21" t="s">
        <v>127</v>
      </c>
      <c r="I581" s="22">
        <v>68756</v>
      </c>
      <c r="J581" s="21" t="s">
        <v>128</v>
      </c>
      <c r="K581" s="23">
        <v>46202.6875</v>
      </c>
      <c r="L581" s="21">
        <v>729</v>
      </c>
      <c r="M581" s="22">
        <v>3373</v>
      </c>
      <c r="N581" s="24">
        <v>538.34</v>
      </c>
      <c r="O581" s="24">
        <v>855.61</v>
      </c>
      <c r="P581" s="24">
        <v>1530</v>
      </c>
      <c r="Q581" s="21">
        <v>72</v>
      </c>
      <c r="R581" s="22">
        <v>2629</v>
      </c>
      <c r="S581" s="22">
        <v>6773</v>
      </c>
      <c r="T581" s="21">
        <v>4</v>
      </c>
      <c r="U581" s="21">
        <v>10</v>
      </c>
      <c r="V581" s="21">
        <v>18</v>
      </c>
      <c r="W581" s="23">
        <v>46275.625</v>
      </c>
      <c r="X581" s="25"/>
      <c r="Y581" s="21">
        <v>0</v>
      </c>
      <c r="Z581" s="26">
        <v>6853</v>
      </c>
      <c r="AA581">
        <v>317.27</v>
      </c>
      <c r="AB581" s="18">
        <v>0.58934873871530991</v>
      </c>
      <c r="AC581" s="19">
        <v>1.58934873871531</v>
      </c>
      <c r="AD581" s="19">
        <v>1.5555555555555554</v>
      </c>
      <c r="AE581" s="19">
        <v>1.2962962962962963</v>
      </c>
    </row>
    <row r="582" spans="1:31">
      <c r="A582">
        <v>586</v>
      </c>
      <c r="B582" t="s">
        <v>236</v>
      </c>
      <c r="C582" t="s">
        <v>237</v>
      </c>
      <c r="D582" t="s">
        <v>231</v>
      </c>
      <c r="E582" s="27">
        <v>46098</v>
      </c>
      <c r="F582" s="28" t="s">
        <v>238</v>
      </c>
      <c r="G582" s="32"/>
      <c r="H582" s="28" t="s">
        <v>100</v>
      </c>
      <c r="I582" s="29">
        <v>52237</v>
      </c>
      <c r="J582" s="28" t="s">
        <v>101</v>
      </c>
      <c r="K582" s="30">
        <v>46202.833333333336</v>
      </c>
      <c r="L582" s="28">
        <v>452</v>
      </c>
      <c r="M582" s="29">
        <v>2210</v>
      </c>
      <c r="N582" s="31">
        <v>402.55</v>
      </c>
      <c r="O582" s="31">
        <v>683.62</v>
      </c>
      <c r="P582" s="31">
        <v>1078.0899999999999</v>
      </c>
      <c r="Q582" s="28">
        <v>65</v>
      </c>
      <c r="R582" s="29">
        <v>2491</v>
      </c>
      <c r="S582" s="29">
        <v>6175</v>
      </c>
      <c r="T582" s="28">
        <v>0</v>
      </c>
      <c r="U582" s="28">
        <v>2</v>
      </c>
      <c r="V582" s="28">
        <v>9</v>
      </c>
      <c r="W582" s="30">
        <v>46275.541666666664</v>
      </c>
      <c r="X582" s="32"/>
      <c r="Y582" s="28">
        <v>0</v>
      </c>
      <c r="Z582" s="33">
        <v>6236</v>
      </c>
      <c r="AA582">
        <v>281.07</v>
      </c>
      <c r="AB582" s="18">
        <v>0.6982238231275617</v>
      </c>
      <c r="AC582" s="19">
        <v>1.6982238231275617</v>
      </c>
      <c r="AD582" s="19">
        <v>0</v>
      </c>
      <c r="AE582" s="19">
        <v>0.51851851851851849</v>
      </c>
    </row>
    <row r="583" spans="1:31">
      <c r="A583">
        <v>587</v>
      </c>
      <c r="B583" t="s">
        <v>239</v>
      </c>
      <c r="C583" t="s">
        <v>240</v>
      </c>
      <c r="D583" t="s">
        <v>231</v>
      </c>
      <c r="E583" s="20">
        <v>46098</v>
      </c>
      <c r="F583" s="21" t="s">
        <v>241</v>
      </c>
      <c r="G583" s="25"/>
      <c r="H583" s="21" t="s">
        <v>62</v>
      </c>
      <c r="I583" s="22">
        <v>71500</v>
      </c>
      <c r="J583" s="21" t="s">
        <v>63</v>
      </c>
      <c r="K583" s="23">
        <v>46202.5</v>
      </c>
      <c r="L583" s="21">
        <v>806</v>
      </c>
      <c r="M583" s="22">
        <v>3729</v>
      </c>
      <c r="N583" s="24">
        <v>572.29</v>
      </c>
      <c r="O583" s="24">
        <v>979.06</v>
      </c>
      <c r="P583" s="24">
        <v>1702.44</v>
      </c>
      <c r="Q583" s="21">
        <v>65</v>
      </c>
      <c r="R583" s="22">
        <v>2684</v>
      </c>
      <c r="S583" s="22">
        <v>6803</v>
      </c>
      <c r="T583" s="21">
        <v>0</v>
      </c>
      <c r="U583" s="21">
        <v>7</v>
      </c>
      <c r="V583" s="21">
        <v>13</v>
      </c>
      <c r="W583" s="23">
        <v>46275.583333333336</v>
      </c>
      <c r="X583" s="25"/>
      <c r="Y583" s="21">
        <v>0</v>
      </c>
      <c r="Z583" s="26">
        <v>6884</v>
      </c>
      <c r="AA583">
        <v>406.77</v>
      </c>
      <c r="AB583" s="18">
        <v>0.71077600517220296</v>
      </c>
      <c r="AC583" s="19">
        <v>1.710776005172203</v>
      </c>
      <c r="AD583" s="19">
        <v>0</v>
      </c>
      <c r="AE583" s="19">
        <v>1.2564102564102564</v>
      </c>
    </row>
    <row r="584" spans="1:31">
      <c r="A584">
        <v>588</v>
      </c>
      <c r="B584" t="s">
        <v>242</v>
      </c>
      <c r="C584" t="s">
        <v>243</v>
      </c>
      <c r="D584" t="s">
        <v>231</v>
      </c>
      <c r="E584" s="27">
        <v>46098</v>
      </c>
      <c r="F584" s="28" t="s">
        <v>244</v>
      </c>
      <c r="G584" s="32"/>
      <c r="H584" s="28" t="s">
        <v>91</v>
      </c>
      <c r="I584" s="29">
        <v>82500</v>
      </c>
      <c r="J584" s="28" t="s">
        <v>92</v>
      </c>
      <c r="K584" s="30">
        <v>46203.708333333336</v>
      </c>
      <c r="L584" s="28">
        <v>811</v>
      </c>
      <c r="M584" s="29">
        <v>3631</v>
      </c>
      <c r="N584" s="31">
        <v>597.5</v>
      </c>
      <c r="O584" s="31">
        <v>978.97</v>
      </c>
      <c r="P584" s="31">
        <v>1540</v>
      </c>
      <c r="Q584" s="28">
        <v>75</v>
      </c>
      <c r="R584" s="29">
        <v>2995</v>
      </c>
      <c r="S584" s="29">
        <v>7347</v>
      </c>
      <c r="T584" s="28">
        <v>3</v>
      </c>
      <c r="U584" s="28">
        <v>7</v>
      </c>
      <c r="V584" s="28">
        <v>17</v>
      </c>
      <c r="W584" s="30">
        <v>46275.625</v>
      </c>
      <c r="X584" s="32"/>
      <c r="Y584" s="28">
        <v>0</v>
      </c>
      <c r="Z584" s="33">
        <v>7430</v>
      </c>
      <c r="AA584">
        <v>381.47</v>
      </c>
      <c r="AB584" s="18">
        <v>0.63844351464435156</v>
      </c>
      <c r="AC584" s="19">
        <v>1.6384435146443515</v>
      </c>
      <c r="AD584" s="19">
        <v>1.2352941176470589</v>
      </c>
      <c r="AE584" s="19">
        <v>0.96078431372549034</v>
      </c>
    </row>
    <row r="585" spans="1:31">
      <c r="A585">
        <v>589</v>
      </c>
      <c r="B585" t="s">
        <v>245</v>
      </c>
      <c r="C585" t="s">
        <v>246</v>
      </c>
      <c r="D585" t="s">
        <v>231</v>
      </c>
      <c r="E585" s="20">
        <v>46098</v>
      </c>
      <c r="F585" s="21" t="s">
        <v>247</v>
      </c>
      <c r="G585" s="25"/>
      <c r="H585" s="21" t="s">
        <v>74</v>
      </c>
      <c r="I585" s="22">
        <v>80000</v>
      </c>
      <c r="J585" s="21" t="s">
        <v>75</v>
      </c>
      <c r="K585" s="23">
        <v>46203.5</v>
      </c>
      <c r="L585" s="21">
        <v>816</v>
      </c>
      <c r="M585" s="22">
        <v>3726</v>
      </c>
      <c r="N585" s="24">
        <v>435.5</v>
      </c>
      <c r="O585" s="24">
        <v>824.88</v>
      </c>
      <c r="P585" s="24">
        <v>1357.29</v>
      </c>
      <c r="Q585" s="21">
        <v>61</v>
      </c>
      <c r="R585" s="22">
        <v>2509</v>
      </c>
      <c r="S585" s="22">
        <v>6311</v>
      </c>
      <c r="T585" s="21">
        <v>1</v>
      </c>
      <c r="U585" s="21">
        <v>6</v>
      </c>
      <c r="V585" s="21">
        <v>13</v>
      </c>
      <c r="W585" s="23">
        <v>46275.583333333336</v>
      </c>
      <c r="X585" s="25"/>
      <c r="Y585" s="21">
        <v>0</v>
      </c>
      <c r="Z585" s="26">
        <v>6383</v>
      </c>
      <c r="AA585">
        <v>389.38</v>
      </c>
      <c r="AB585" s="18">
        <v>0.89409873708381171</v>
      </c>
      <c r="AC585" s="19">
        <v>1.8940987370838116</v>
      </c>
      <c r="AD585" s="19">
        <v>0.53846153846153844</v>
      </c>
      <c r="AE585" s="19">
        <v>1.0769230769230769</v>
      </c>
    </row>
    <row r="586" spans="1:31">
      <c r="A586">
        <v>590</v>
      </c>
      <c r="B586" t="s">
        <v>248</v>
      </c>
      <c r="C586" t="s">
        <v>249</v>
      </c>
      <c r="D586" t="s">
        <v>231</v>
      </c>
      <c r="E586" s="27">
        <v>46098</v>
      </c>
      <c r="F586" s="28" t="s">
        <v>250</v>
      </c>
      <c r="G586" s="32"/>
      <c r="H586" s="28" t="s">
        <v>56</v>
      </c>
      <c r="I586" s="29">
        <v>98500</v>
      </c>
      <c r="J586" s="28" t="s">
        <v>57</v>
      </c>
      <c r="K586" s="30">
        <v>46203.833333333336</v>
      </c>
      <c r="L586" s="28">
        <v>392</v>
      </c>
      <c r="M586" s="29">
        <v>2096</v>
      </c>
      <c r="N586" s="31">
        <v>645.77</v>
      </c>
      <c r="O586" s="31">
        <v>999.38</v>
      </c>
      <c r="P586" s="31">
        <v>1440.6</v>
      </c>
      <c r="Q586" s="28">
        <v>60</v>
      </c>
      <c r="R586" s="29">
        <v>2510</v>
      </c>
      <c r="S586" s="29">
        <v>6251</v>
      </c>
      <c r="T586" s="28">
        <v>2</v>
      </c>
      <c r="U586" s="28">
        <v>6</v>
      </c>
      <c r="V586" s="28">
        <v>17</v>
      </c>
      <c r="W586" s="30">
        <v>46275.541666666664</v>
      </c>
      <c r="X586" s="32"/>
      <c r="Y586" s="28">
        <v>0</v>
      </c>
      <c r="Z586" s="33">
        <v>6337</v>
      </c>
      <c r="AA586">
        <v>353.61</v>
      </c>
      <c r="AB586" s="18">
        <v>0.54757885934620687</v>
      </c>
      <c r="AC586" s="19">
        <v>1.547578859346207</v>
      </c>
      <c r="AD586" s="19">
        <v>0.82352941176470595</v>
      </c>
      <c r="AE586" s="19">
        <v>0.82352941176470595</v>
      </c>
    </row>
    <row r="587" spans="1:31">
      <c r="A587">
        <v>591</v>
      </c>
      <c r="B587" t="s">
        <v>252</v>
      </c>
      <c r="C587" t="s">
        <v>253</v>
      </c>
      <c r="D587" t="s">
        <v>231</v>
      </c>
      <c r="E587" s="20">
        <v>46098</v>
      </c>
      <c r="F587" s="21" t="s">
        <v>254</v>
      </c>
      <c r="G587" s="25"/>
      <c r="H587" s="21" t="s">
        <v>79</v>
      </c>
      <c r="I587" s="22">
        <v>71000</v>
      </c>
      <c r="J587" s="21" t="s">
        <v>80</v>
      </c>
      <c r="K587" s="23">
        <v>46204.5</v>
      </c>
      <c r="L587" s="21">
        <v>798</v>
      </c>
      <c r="M587" s="22">
        <v>3718</v>
      </c>
      <c r="N587" s="24">
        <v>424.97</v>
      </c>
      <c r="O587" s="24">
        <v>882.14</v>
      </c>
      <c r="P587" s="24">
        <v>1561.87</v>
      </c>
      <c r="Q587" s="21">
        <v>72</v>
      </c>
      <c r="R587" s="22">
        <v>2627</v>
      </c>
      <c r="S587" s="22">
        <v>6583</v>
      </c>
      <c r="T587" s="21">
        <v>5</v>
      </c>
      <c r="U587" s="21">
        <v>7</v>
      </c>
      <c r="V587" s="21">
        <v>17</v>
      </c>
      <c r="W587" s="23">
        <v>46275.625</v>
      </c>
      <c r="X587" s="25"/>
      <c r="Y587" s="21">
        <v>0</v>
      </c>
      <c r="Z587" s="26">
        <v>6664</v>
      </c>
      <c r="AA587">
        <v>457.16999999999996</v>
      </c>
      <c r="AB587" s="18">
        <v>1.0757700543567779</v>
      </c>
      <c r="AC587" s="19">
        <v>2.0757700543567781</v>
      </c>
      <c r="AD587" s="19">
        <v>2.0588235294117649</v>
      </c>
      <c r="AE587" s="19">
        <v>0.96078431372549034</v>
      </c>
    </row>
    <row r="588" spans="1:31">
      <c r="A588">
        <v>592</v>
      </c>
      <c r="B588" t="s">
        <v>255</v>
      </c>
      <c r="C588" t="s">
        <v>256</v>
      </c>
      <c r="D588" t="s">
        <v>231</v>
      </c>
      <c r="E588" s="27">
        <v>46098</v>
      </c>
      <c r="F588" s="28" t="s">
        <v>257</v>
      </c>
      <c r="G588" s="32"/>
      <c r="H588" s="28" t="s">
        <v>140</v>
      </c>
      <c r="I588" s="29">
        <v>75000</v>
      </c>
      <c r="J588" s="28" t="s">
        <v>141</v>
      </c>
      <c r="K588" s="30">
        <v>46204.708333333336</v>
      </c>
      <c r="L588" s="28">
        <v>932</v>
      </c>
      <c r="M588" s="29">
        <v>4152</v>
      </c>
      <c r="N588" s="31">
        <v>561.53</v>
      </c>
      <c r="O588" s="31">
        <v>1000</v>
      </c>
      <c r="P588" s="31">
        <v>1713.11</v>
      </c>
      <c r="Q588" s="28">
        <v>74</v>
      </c>
      <c r="R588" s="29">
        <v>2717</v>
      </c>
      <c r="S588" s="29">
        <v>7012</v>
      </c>
      <c r="T588" s="28">
        <v>1</v>
      </c>
      <c r="U588" s="28">
        <v>6</v>
      </c>
      <c r="V588" s="28">
        <v>16</v>
      </c>
      <c r="W588" s="30">
        <v>46275.5</v>
      </c>
      <c r="X588" s="32"/>
      <c r="Y588" s="28">
        <v>0</v>
      </c>
      <c r="Z588" s="33">
        <v>7082</v>
      </c>
      <c r="AA588">
        <v>438.47</v>
      </c>
      <c r="AB588" s="18">
        <v>0.78084875251544894</v>
      </c>
      <c r="AC588" s="19">
        <v>1.7808487525154491</v>
      </c>
      <c r="AD588" s="19">
        <v>0.4375</v>
      </c>
      <c r="AE588" s="19">
        <v>0.875</v>
      </c>
    </row>
    <row r="589" spans="1:31">
      <c r="A589">
        <v>593</v>
      </c>
      <c r="B589" t="s">
        <v>258</v>
      </c>
      <c r="C589" t="s">
        <v>259</v>
      </c>
      <c r="D589" t="s">
        <v>231</v>
      </c>
      <c r="E589" s="20">
        <v>46098</v>
      </c>
      <c r="F589" s="21" t="s">
        <v>260</v>
      </c>
      <c r="G589" s="25"/>
      <c r="H589" s="21" t="s">
        <v>118</v>
      </c>
      <c r="I589" s="22">
        <v>67000</v>
      </c>
      <c r="J589" s="21" t="s">
        <v>119</v>
      </c>
      <c r="K589" s="23">
        <v>46204.541666666664</v>
      </c>
      <c r="L589" s="21">
        <v>765</v>
      </c>
      <c r="M589" s="22">
        <v>3568</v>
      </c>
      <c r="N589" s="24">
        <v>399.06</v>
      </c>
      <c r="O589" s="24">
        <v>765</v>
      </c>
      <c r="P589" s="24">
        <v>1380</v>
      </c>
      <c r="Q589" s="21">
        <v>63</v>
      </c>
      <c r="R589" s="22">
        <v>2441</v>
      </c>
      <c r="S589" s="22">
        <v>6176</v>
      </c>
      <c r="T589" s="21">
        <v>1</v>
      </c>
      <c r="U589" s="21">
        <v>6</v>
      </c>
      <c r="V589" s="21">
        <v>12</v>
      </c>
      <c r="W589" s="23">
        <v>46275.5</v>
      </c>
      <c r="X589" s="25"/>
      <c r="Y589" s="21">
        <v>0</v>
      </c>
      <c r="Z589" s="26">
        <v>6246</v>
      </c>
      <c r="AA589">
        <v>365.94</v>
      </c>
      <c r="AB589" s="18">
        <v>0.91700496165990075</v>
      </c>
      <c r="AC589" s="19">
        <v>1.9170049616599008</v>
      </c>
      <c r="AD589" s="19">
        <v>0.58333333333333337</v>
      </c>
      <c r="AE589" s="19">
        <v>1.1666666666666667</v>
      </c>
    </row>
    <row r="590" spans="1:31">
      <c r="A590">
        <v>594</v>
      </c>
      <c r="B590" t="s">
        <v>261</v>
      </c>
      <c r="C590" t="s">
        <v>262</v>
      </c>
      <c r="D590" t="s">
        <v>231</v>
      </c>
      <c r="E590" s="27">
        <v>46098</v>
      </c>
      <c r="F590" s="28" t="s">
        <v>263</v>
      </c>
      <c r="G590" s="32"/>
      <c r="H590" s="28" t="s">
        <v>146</v>
      </c>
      <c r="I590" s="29">
        <v>30000</v>
      </c>
      <c r="J590" s="28" t="s">
        <v>147</v>
      </c>
      <c r="K590" s="30">
        <v>46205.791666666664</v>
      </c>
      <c r="L590" s="28">
        <v>424</v>
      </c>
      <c r="M590" s="29">
        <v>2098</v>
      </c>
      <c r="N590" s="31">
        <v>972.61</v>
      </c>
      <c r="O590" s="31">
        <v>1393.66</v>
      </c>
      <c r="P590" s="31">
        <v>2355.29</v>
      </c>
      <c r="Q590" s="28">
        <v>80</v>
      </c>
      <c r="R590" s="29">
        <v>3343</v>
      </c>
      <c r="S590" s="29">
        <v>7664</v>
      </c>
      <c r="T590" s="28">
        <v>3</v>
      </c>
      <c r="U590" s="28">
        <v>4</v>
      </c>
      <c r="V590" s="28">
        <v>10</v>
      </c>
      <c r="W590" s="30">
        <v>46275.5</v>
      </c>
      <c r="X590" s="32"/>
      <c r="Y590" s="28">
        <v>0</v>
      </c>
      <c r="Z590" s="33">
        <v>7748</v>
      </c>
      <c r="AA590">
        <v>421.05000000000007</v>
      </c>
      <c r="AB590" s="18">
        <v>0.43290733181850904</v>
      </c>
      <c r="AC590" s="19">
        <v>1.432907331818509</v>
      </c>
      <c r="AD590" s="19">
        <v>2.1</v>
      </c>
      <c r="AE590" s="19">
        <v>0.93333333333333324</v>
      </c>
    </row>
    <row r="591" spans="1:31">
      <c r="A591">
        <v>595</v>
      </c>
      <c r="B591" t="s">
        <v>264</v>
      </c>
      <c r="C591" t="s">
        <v>265</v>
      </c>
      <c r="D591" t="s">
        <v>231</v>
      </c>
      <c r="E591" s="20">
        <v>46098</v>
      </c>
      <c r="F591" s="21" t="s">
        <v>266</v>
      </c>
      <c r="G591" s="25"/>
      <c r="H591" s="21" t="s">
        <v>113</v>
      </c>
      <c r="I591" s="22">
        <v>70240</v>
      </c>
      <c r="J591" s="21" t="s">
        <v>114</v>
      </c>
      <c r="K591" s="23">
        <v>46205.5</v>
      </c>
      <c r="L591" s="21">
        <v>845</v>
      </c>
      <c r="M591" s="22">
        <v>3690</v>
      </c>
      <c r="N591" s="24">
        <v>637</v>
      </c>
      <c r="O591" s="24">
        <v>1121.1600000000001</v>
      </c>
      <c r="P591" s="24">
        <v>1715</v>
      </c>
      <c r="Q591" s="21">
        <v>67</v>
      </c>
      <c r="R591" s="22">
        <v>2638</v>
      </c>
      <c r="S591" s="22">
        <v>6642</v>
      </c>
      <c r="T591" s="21">
        <v>0</v>
      </c>
      <c r="U591" s="21">
        <v>4</v>
      </c>
      <c r="V591" s="21">
        <v>9</v>
      </c>
      <c r="W591" s="23">
        <v>46275.5</v>
      </c>
      <c r="X591" s="25"/>
      <c r="Y591" s="21">
        <v>0</v>
      </c>
      <c r="Z591" s="26">
        <v>6719</v>
      </c>
      <c r="AA591">
        <v>484.16000000000008</v>
      </c>
      <c r="AB591" s="18">
        <v>0.76006279434850876</v>
      </c>
      <c r="AC591" s="19">
        <v>1.7600627943485088</v>
      </c>
      <c r="AD591" s="19">
        <v>0</v>
      </c>
      <c r="AE591" s="19">
        <v>1.037037037037037</v>
      </c>
    </row>
    <row r="592" spans="1:31">
      <c r="A592">
        <v>596</v>
      </c>
      <c r="B592" t="s">
        <v>267</v>
      </c>
      <c r="C592" t="s">
        <v>268</v>
      </c>
      <c r="D592" t="s">
        <v>231</v>
      </c>
      <c r="E592" s="27">
        <v>46098</v>
      </c>
      <c r="F592" s="28" t="s">
        <v>269</v>
      </c>
      <c r="G592" s="32"/>
      <c r="H592" s="28" t="s">
        <v>164</v>
      </c>
      <c r="I592" s="29">
        <v>54500</v>
      </c>
      <c r="J592" s="28" t="s">
        <v>165</v>
      </c>
      <c r="K592" s="30">
        <v>46205.833333333336</v>
      </c>
      <c r="L592" s="28">
        <v>616</v>
      </c>
      <c r="M592" s="29">
        <v>3032</v>
      </c>
      <c r="N592" s="31">
        <v>580.4</v>
      </c>
      <c r="O592" s="31">
        <v>1027.6400000000001</v>
      </c>
      <c r="P592" s="31">
        <v>1710.67</v>
      </c>
      <c r="Q592" s="28">
        <v>369</v>
      </c>
      <c r="R592" s="29">
        <v>19806</v>
      </c>
      <c r="S592" s="29">
        <v>50758</v>
      </c>
      <c r="T592" s="28">
        <v>0</v>
      </c>
      <c r="U592" s="28">
        <v>2</v>
      </c>
      <c r="V592" s="28">
        <v>6</v>
      </c>
      <c r="W592" s="30">
        <v>46275.375</v>
      </c>
      <c r="X592" s="32"/>
      <c r="Y592" s="28">
        <v>0</v>
      </c>
      <c r="Z592" s="33">
        <v>51415</v>
      </c>
      <c r="AA592">
        <v>447.24000000000012</v>
      </c>
      <c r="AB592" s="18">
        <v>0.77057201929703678</v>
      </c>
      <c r="AC592" s="19">
        <v>1.7705720192970367</v>
      </c>
      <c r="AD592" s="19">
        <v>0</v>
      </c>
      <c r="AE592" s="19">
        <v>0.77777777777777779</v>
      </c>
    </row>
    <row r="593" spans="1:31">
      <c r="A593">
        <v>597</v>
      </c>
      <c r="B593" t="s">
        <v>270</v>
      </c>
      <c r="C593" t="s">
        <v>271</v>
      </c>
      <c r="D593" t="s">
        <v>231</v>
      </c>
      <c r="E593" s="20">
        <v>46098</v>
      </c>
      <c r="F593" s="21" t="s">
        <v>272</v>
      </c>
      <c r="G593" s="25"/>
      <c r="H593" s="21" t="s">
        <v>85</v>
      </c>
      <c r="I593" s="22">
        <v>76100</v>
      </c>
      <c r="J593" s="21" t="s">
        <v>86</v>
      </c>
      <c r="K593" s="23">
        <v>46206.75</v>
      </c>
      <c r="L593" s="21">
        <v>794</v>
      </c>
      <c r="M593" s="22">
        <v>4170</v>
      </c>
      <c r="N593" s="24">
        <v>1448.3</v>
      </c>
      <c r="O593" s="24">
        <v>2245.73</v>
      </c>
      <c r="P593" s="24">
        <v>3919.59</v>
      </c>
      <c r="Q593" s="21">
        <v>377</v>
      </c>
      <c r="R593" s="22">
        <v>20193</v>
      </c>
      <c r="S593" s="22">
        <v>51476</v>
      </c>
      <c r="T593" s="21">
        <v>2</v>
      </c>
      <c r="U593" s="21">
        <v>4</v>
      </c>
      <c r="V593" s="21">
        <v>17</v>
      </c>
      <c r="W593" s="23">
        <v>46275.625</v>
      </c>
      <c r="X593" s="25"/>
      <c r="Y593" s="21">
        <v>0</v>
      </c>
      <c r="Z593" s="26">
        <v>52165</v>
      </c>
      <c r="AA593">
        <v>797.43000000000006</v>
      </c>
      <c r="AB593" s="18">
        <v>0.55059725195056275</v>
      </c>
      <c r="AC593" s="19">
        <v>1.5505972519505629</v>
      </c>
      <c r="AD593" s="19">
        <v>0.82352941176470595</v>
      </c>
      <c r="AE593" s="19">
        <v>0.5490196078431373</v>
      </c>
    </row>
    <row r="594" spans="1:31">
      <c r="A594">
        <v>598</v>
      </c>
      <c r="B594" t="s">
        <v>273</v>
      </c>
      <c r="C594" t="s">
        <v>274</v>
      </c>
      <c r="D594" t="s">
        <v>231</v>
      </c>
      <c r="E594" s="27">
        <v>46098</v>
      </c>
      <c r="F594" s="28" t="s">
        <v>275</v>
      </c>
      <c r="G594" s="32"/>
      <c r="H594" s="28" t="s">
        <v>68</v>
      </c>
      <c r="I594" s="29">
        <v>76416</v>
      </c>
      <c r="J594" s="28" t="s">
        <v>69</v>
      </c>
      <c r="K594" s="30">
        <v>46206.854166666664</v>
      </c>
      <c r="L594" s="28">
        <v>905</v>
      </c>
      <c r="M594" s="29">
        <v>4070</v>
      </c>
      <c r="N594" s="31">
        <v>540</v>
      </c>
      <c r="O594" s="31">
        <v>874.42</v>
      </c>
      <c r="P594" s="31">
        <v>1665.87</v>
      </c>
      <c r="Q594" s="28">
        <v>357</v>
      </c>
      <c r="R594" s="29">
        <v>19782</v>
      </c>
      <c r="S594" s="29">
        <v>50769</v>
      </c>
      <c r="T594" s="28">
        <v>5</v>
      </c>
      <c r="U594" s="28">
        <v>11</v>
      </c>
      <c r="V594" s="28">
        <v>23</v>
      </c>
      <c r="W594" s="30">
        <v>46275.583333333336</v>
      </c>
      <c r="X594" s="32"/>
      <c r="Y594" s="28">
        <v>0</v>
      </c>
      <c r="Z594" s="33">
        <v>51429</v>
      </c>
      <c r="AA594">
        <v>334.41999999999996</v>
      </c>
      <c r="AB594" s="18">
        <v>0.61929629629629623</v>
      </c>
      <c r="AC594" s="19">
        <v>1.6192962962962962</v>
      </c>
      <c r="AD594" s="19">
        <v>1.5217391304347827</v>
      </c>
      <c r="AE594" s="19">
        <v>1.1159420289855073</v>
      </c>
    </row>
    <row r="595" spans="1:31">
      <c r="A595">
        <v>599</v>
      </c>
      <c r="B595" t="s">
        <v>276</v>
      </c>
      <c r="C595" t="s">
        <v>277</v>
      </c>
      <c r="D595" t="s">
        <v>231</v>
      </c>
      <c r="E595" s="20">
        <v>46098</v>
      </c>
      <c r="F595" s="21" t="s">
        <v>278</v>
      </c>
      <c r="G595" s="25"/>
      <c r="H595" s="21" t="s">
        <v>74</v>
      </c>
      <c r="I595" s="22">
        <v>80000</v>
      </c>
      <c r="J595" s="21" t="s">
        <v>75</v>
      </c>
      <c r="K595" s="23">
        <v>46206.541666666664</v>
      </c>
      <c r="L595" s="21">
        <v>780</v>
      </c>
      <c r="M595" s="22">
        <v>3541</v>
      </c>
      <c r="N595" s="24">
        <v>466.44</v>
      </c>
      <c r="O595" s="24">
        <v>820</v>
      </c>
      <c r="P595" s="24">
        <v>1194.3800000000001</v>
      </c>
      <c r="Q595" s="21">
        <v>400</v>
      </c>
      <c r="R595" s="22">
        <v>19776</v>
      </c>
      <c r="S595" s="22">
        <v>50509</v>
      </c>
      <c r="T595" s="21">
        <v>1</v>
      </c>
      <c r="U595" s="21">
        <v>1</v>
      </c>
      <c r="V595" s="21">
        <v>12</v>
      </c>
      <c r="W595" s="23">
        <v>46275.583333333336</v>
      </c>
      <c r="X595" s="25"/>
      <c r="Y595" s="21">
        <v>0</v>
      </c>
      <c r="Z595" s="26">
        <v>51158</v>
      </c>
      <c r="AA595">
        <v>353.56</v>
      </c>
      <c r="AB595" s="18">
        <v>0.75799674127433325</v>
      </c>
      <c r="AC595" s="19">
        <v>1.7579967412743334</v>
      </c>
      <c r="AD595" s="19">
        <v>0.58333333333333337</v>
      </c>
      <c r="AE595" s="19">
        <v>0.19444444444444445</v>
      </c>
    </row>
    <row r="596" spans="1:31">
      <c r="A596">
        <v>600</v>
      </c>
      <c r="B596" t="s">
        <v>279</v>
      </c>
      <c r="C596" t="s">
        <v>280</v>
      </c>
      <c r="D596" t="s">
        <v>281</v>
      </c>
      <c r="E596" s="27">
        <v>46098</v>
      </c>
      <c r="F596" s="28" t="s">
        <v>282</v>
      </c>
      <c r="G596" s="32"/>
      <c r="H596" s="28" t="s">
        <v>171</v>
      </c>
      <c r="I596" s="29">
        <v>69176</v>
      </c>
      <c r="J596" s="28" t="s">
        <v>172</v>
      </c>
      <c r="K596" s="30">
        <v>46207.708333333336</v>
      </c>
      <c r="L596" s="28">
        <v>734</v>
      </c>
      <c r="M596" s="29">
        <v>3364</v>
      </c>
      <c r="N596" s="31">
        <v>816.92</v>
      </c>
      <c r="O596" s="31">
        <v>1566.62</v>
      </c>
      <c r="P596" s="31">
        <v>2501.08</v>
      </c>
      <c r="Q596" s="28">
        <v>407</v>
      </c>
      <c r="R596" s="29">
        <v>20104</v>
      </c>
      <c r="S596" s="29">
        <v>52894</v>
      </c>
      <c r="T596" s="28">
        <v>1</v>
      </c>
      <c r="U596" s="28">
        <v>9</v>
      </c>
      <c r="V596" s="28">
        <v>23</v>
      </c>
      <c r="W596" s="30">
        <v>46275.625</v>
      </c>
      <c r="X596" s="32"/>
      <c r="Y596" s="28">
        <v>0</v>
      </c>
      <c r="Z596" s="33">
        <v>53553</v>
      </c>
      <c r="AA596">
        <v>749.69999999999993</v>
      </c>
      <c r="AB596" s="18">
        <v>0.91771532096166086</v>
      </c>
      <c r="AC596" s="19">
        <v>1.9177153209616609</v>
      </c>
      <c r="AD596" s="19">
        <v>0.30434782608695654</v>
      </c>
      <c r="AE596" s="19">
        <v>0.91304347826086962</v>
      </c>
    </row>
    <row r="597" spans="1:31">
      <c r="A597">
        <v>601</v>
      </c>
      <c r="B597" t="s">
        <v>284</v>
      </c>
      <c r="C597" t="s">
        <v>285</v>
      </c>
      <c r="D597" t="s">
        <v>281</v>
      </c>
      <c r="E597" s="20">
        <v>46098</v>
      </c>
      <c r="F597" s="21" t="s">
        <v>286</v>
      </c>
      <c r="G597" s="25"/>
      <c r="H597" s="21" t="s">
        <v>62</v>
      </c>
      <c r="I597" s="22">
        <v>71500</v>
      </c>
      <c r="J597" s="21" t="s">
        <v>63</v>
      </c>
      <c r="K597" s="23">
        <v>46207.5</v>
      </c>
      <c r="L597" s="21">
        <v>881</v>
      </c>
      <c r="M597" s="22">
        <v>4048</v>
      </c>
      <c r="N597" s="24">
        <v>652.5</v>
      </c>
      <c r="O597" s="24">
        <v>1300</v>
      </c>
      <c r="P597" s="24">
        <v>2383.0700000000002</v>
      </c>
      <c r="Q597" s="21">
        <v>376</v>
      </c>
      <c r="R597" s="22">
        <v>19866</v>
      </c>
      <c r="S597" s="22">
        <v>50885</v>
      </c>
      <c r="T597" s="21">
        <v>10</v>
      </c>
      <c r="U597" s="21">
        <v>14</v>
      </c>
      <c r="V597" s="21">
        <v>25</v>
      </c>
      <c r="W597" s="23">
        <v>46275.583333333336</v>
      </c>
      <c r="X597" s="25"/>
      <c r="Y597" s="21">
        <v>0</v>
      </c>
      <c r="Z597" s="26">
        <v>51544</v>
      </c>
      <c r="AA597">
        <v>647.5</v>
      </c>
      <c r="AB597" s="18">
        <v>0.9923371647509579</v>
      </c>
      <c r="AC597" s="19">
        <v>1.9923371647509578</v>
      </c>
      <c r="AD597" s="19">
        <v>2.8</v>
      </c>
      <c r="AE597" s="19">
        <v>1.3066666666666666</v>
      </c>
    </row>
    <row r="598" spans="1:31">
      <c r="A598">
        <v>602</v>
      </c>
      <c r="B598" t="s">
        <v>287</v>
      </c>
      <c r="C598" t="s">
        <v>288</v>
      </c>
      <c r="D598" t="s">
        <v>281</v>
      </c>
      <c r="E598" s="27">
        <v>46098</v>
      </c>
      <c r="F598" s="28" t="s">
        <v>289</v>
      </c>
      <c r="G598" s="32"/>
      <c r="H598" s="28" t="s">
        <v>91</v>
      </c>
      <c r="I598" s="29">
        <v>82500</v>
      </c>
      <c r="J598" s="28" t="s">
        <v>92</v>
      </c>
      <c r="K598" s="30">
        <v>46208.666666666664</v>
      </c>
      <c r="L598" s="28">
        <v>810</v>
      </c>
      <c r="M598" s="29">
        <v>3644</v>
      </c>
      <c r="N598" s="31">
        <v>902.1</v>
      </c>
      <c r="O598" s="31">
        <v>1485.32</v>
      </c>
      <c r="P598" s="31">
        <v>2250.84</v>
      </c>
      <c r="Q598" s="28">
        <v>407</v>
      </c>
      <c r="R598" s="29">
        <v>20205</v>
      </c>
      <c r="S598" s="29">
        <v>51640</v>
      </c>
      <c r="T598" s="28">
        <v>2</v>
      </c>
      <c r="U598" s="28">
        <v>5</v>
      </c>
      <c r="V598" s="28">
        <v>22</v>
      </c>
      <c r="W598" s="30">
        <v>46275.625</v>
      </c>
      <c r="X598" s="32"/>
      <c r="Y598" s="28">
        <v>0</v>
      </c>
      <c r="Z598" s="33">
        <v>52305</v>
      </c>
      <c r="AA598">
        <v>583.21999999999991</v>
      </c>
      <c r="AB598" s="18">
        <v>0.64651369027823957</v>
      </c>
      <c r="AC598" s="19">
        <v>1.6465136902782396</v>
      </c>
      <c r="AD598" s="19">
        <v>0.63636363636363635</v>
      </c>
      <c r="AE598" s="19">
        <v>0.53030303030303039</v>
      </c>
    </row>
    <row r="599" spans="1:31">
      <c r="A599">
        <v>603</v>
      </c>
      <c r="B599" t="s">
        <v>290</v>
      </c>
      <c r="C599" t="s">
        <v>291</v>
      </c>
      <c r="D599" t="s">
        <v>281</v>
      </c>
      <c r="E599" s="20">
        <v>46098</v>
      </c>
      <c r="F599" s="21" t="s">
        <v>292</v>
      </c>
      <c r="G599" s="25"/>
      <c r="H599" s="21" t="s">
        <v>56</v>
      </c>
      <c r="I599" s="22">
        <v>98500</v>
      </c>
      <c r="J599" s="21" t="s">
        <v>57</v>
      </c>
      <c r="K599" s="23">
        <v>46208.791666666664</v>
      </c>
      <c r="L599" s="21">
        <v>436</v>
      </c>
      <c r="M599" s="22">
        <v>2207</v>
      </c>
      <c r="N599" s="24">
        <v>791.7</v>
      </c>
      <c r="O599" s="24">
        <v>1307.0999999999999</v>
      </c>
      <c r="P599" s="24">
        <v>1990</v>
      </c>
      <c r="Q599" s="21">
        <v>348</v>
      </c>
      <c r="R599" s="22">
        <v>19796</v>
      </c>
      <c r="S599" s="22">
        <v>50623</v>
      </c>
      <c r="T599" s="21">
        <v>1</v>
      </c>
      <c r="U599" s="21">
        <v>4</v>
      </c>
      <c r="V599" s="21">
        <v>11</v>
      </c>
      <c r="W599" s="23">
        <v>46275.541666666664</v>
      </c>
      <c r="X599" s="25"/>
      <c r="Y599" s="21">
        <v>0</v>
      </c>
      <c r="Z599" s="26">
        <v>51297</v>
      </c>
      <c r="AA599">
        <v>515.39999999999986</v>
      </c>
      <c r="AB599" s="18">
        <v>0.6510041682455473</v>
      </c>
      <c r="AC599" s="19">
        <v>1.6510041682455474</v>
      </c>
      <c r="AD599" s="19">
        <v>0.63636363636363635</v>
      </c>
      <c r="AE599" s="19">
        <v>0.84848484848484851</v>
      </c>
    </row>
    <row r="600" spans="1:31">
      <c r="A600">
        <v>604</v>
      </c>
      <c r="B600" t="s">
        <v>293</v>
      </c>
      <c r="C600" t="s">
        <v>294</v>
      </c>
      <c r="D600" t="s">
        <v>281</v>
      </c>
      <c r="E600" s="27">
        <v>46098</v>
      </c>
      <c r="F600" s="28" t="s">
        <v>295</v>
      </c>
      <c r="G600" s="32"/>
      <c r="H600" s="28" t="s">
        <v>74</v>
      </c>
      <c r="I600" s="29">
        <v>80000</v>
      </c>
      <c r="J600" s="28" t="s">
        <v>75</v>
      </c>
      <c r="K600" s="30">
        <v>46209.583333333336</v>
      </c>
      <c r="L600" s="28">
        <v>810</v>
      </c>
      <c r="M600" s="29">
        <v>3665</v>
      </c>
      <c r="N600" s="31">
        <v>773.47</v>
      </c>
      <c r="O600" s="31">
        <v>1387.09</v>
      </c>
      <c r="P600" s="31">
        <v>2126.1999999999998</v>
      </c>
      <c r="Q600" s="28">
        <v>349</v>
      </c>
      <c r="R600" s="29">
        <v>19763</v>
      </c>
      <c r="S600" s="29">
        <v>50608</v>
      </c>
      <c r="T600" s="28">
        <v>2</v>
      </c>
      <c r="U600" s="28">
        <v>4</v>
      </c>
      <c r="V600" s="28">
        <v>11</v>
      </c>
      <c r="W600" s="30">
        <v>46275.583333333336</v>
      </c>
      <c r="X600" s="32"/>
      <c r="Y600" s="28">
        <v>0</v>
      </c>
      <c r="Z600" s="33">
        <v>51266</v>
      </c>
      <c r="AA600">
        <v>613.61999999999989</v>
      </c>
      <c r="AB600" s="18">
        <v>0.79333393667498397</v>
      </c>
      <c r="AC600" s="19">
        <v>1.7933339366749841</v>
      </c>
      <c r="AD600" s="19">
        <v>1.2727272727272727</v>
      </c>
      <c r="AE600" s="19">
        <v>0.84848484848484851</v>
      </c>
    </row>
    <row r="601" spans="1:31">
      <c r="A601">
        <v>605</v>
      </c>
      <c r="B601" t="s">
        <v>296</v>
      </c>
      <c r="C601" t="s">
        <v>297</v>
      </c>
      <c r="D601" t="s">
        <v>281</v>
      </c>
      <c r="E601" s="20">
        <v>46098</v>
      </c>
      <c r="F601" s="21" t="s">
        <v>298</v>
      </c>
      <c r="G601" s="25"/>
      <c r="H601" s="21" t="s">
        <v>118</v>
      </c>
      <c r="I601" s="22">
        <v>67000</v>
      </c>
      <c r="J601" s="21" t="s">
        <v>119</v>
      </c>
      <c r="K601" s="23">
        <v>46209.708333333336</v>
      </c>
      <c r="L601" s="21">
        <v>758</v>
      </c>
      <c r="M601" s="22">
        <v>3515</v>
      </c>
      <c r="N601" s="24">
        <v>754.48</v>
      </c>
      <c r="O601" s="24">
        <v>1366.49</v>
      </c>
      <c r="P601" s="24">
        <v>2160</v>
      </c>
      <c r="Q601" s="21">
        <v>355</v>
      </c>
      <c r="R601" s="22">
        <v>19780</v>
      </c>
      <c r="S601" s="22">
        <v>50885</v>
      </c>
      <c r="T601" s="21">
        <v>1</v>
      </c>
      <c r="U601" s="21">
        <v>2</v>
      </c>
      <c r="V601" s="21">
        <v>7</v>
      </c>
      <c r="W601" s="23">
        <v>46275.5</v>
      </c>
      <c r="X601" s="25"/>
      <c r="Y601" s="21">
        <v>0</v>
      </c>
      <c r="Z601" s="26">
        <v>51538</v>
      </c>
      <c r="AA601">
        <v>612.01</v>
      </c>
      <c r="AB601" s="18">
        <v>0.8111679567384158</v>
      </c>
      <c r="AC601" s="19">
        <v>1.8111679567384158</v>
      </c>
      <c r="AD601" s="19">
        <v>1</v>
      </c>
      <c r="AE601" s="19">
        <v>0.66666666666666663</v>
      </c>
    </row>
    <row r="602" spans="1:31">
      <c r="A602">
        <v>606</v>
      </c>
      <c r="B602" t="s">
        <v>299</v>
      </c>
      <c r="C602" t="s">
        <v>300</v>
      </c>
      <c r="D602" t="s">
        <v>281</v>
      </c>
      <c r="E602" s="27">
        <v>46098</v>
      </c>
      <c r="F602" s="28" t="s">
        <v>301</v>
      </c>
      <c r="G602" s="32"/>
      <c r="H602" s="28" t="s">
        <v>79</v>
      </c>
      <c r="I602" s="29">
        <v>71000</v>
      </c>
      <c r="J602" s="28" t="s">
        <v>80</v>
      </c>
      <c r="K602" s="30">
        <v>46210.5</v>
      </c>
      <c r="L602" s="28">
        <v>860</v>
      </c>
      <c r="M602" s="29">
        <v>3965</v>
      </c>
      <c r="N602" s="31">
        <v>718.69</v>
      </c>
      <c r="O602" s="31">
        <v>1278.6300000000001</v>
      </c>
      <c r="P602" s="31">
        <v>2400.14</v>
      </c>
      <c r="Q602" s="28">
        <v>371</v>
      </c>
      <c r="R602" s="29">
        <v>19979</v>
      </c>
      <c r="S602" s="29">
        <v>51157</v>
      </c>
      <c r="T602" s="28">
        <v>2</v>
      </c>
      <c r="U602" s="28">
        <v>6</v>
      </c>
      <c r="V602" s="28">
        <v>9</v>
      </c>
      <c r="W602" s="30">
        <v>46275.625</v>
      </c>
      <c r="X602" s="32"/>
      <c r="Y602" s="28">
        <v>0</v>
      </c>
      <c r="Z602" s="33">
        <v>51825</v>
      </c>
      <c r="AA602">
        <v>559.94000000000005</v>
      </c>
      <c r="AB602" s="18">
        <v>0.77911199543614074</v>
      </c>
      <c r="AC602" s="19">
        <v>1.7791119954361407</v>
      </c>
      <c r="AD602" s="19">
        <v>1.5555555555555554</v>
      </c>
      <c r="AE602" s="19">
        <v>1.5555555555555554</v>
      </c>
    </row>
    <row r="603" spans="1:31">
      <c r="A603">
        <v>607</v>
      </c>
      <c r="B603" t="s">
        <v>302</v>
      </c>
      <c r="C603" t="s">
        <v>303</v>
      </c>
      <c r="D603" t="s">
        <v>281</v>
      </c>
      <c r="E603" s="20">
        <v>46098</v>
      </c>
      <c r="F603" s="21" t="s">
        <v>304</v>
      </c>
      <c r="G603" s="25"/>
      <c r="H603" s="21" t="s">
        <v>164</v>
      </c>
      <c r="I603" s="22">
        <v>54500</v>
      </c>
      <c r="J603" s="21" t="s">
        <v>165</v>
      </c>
      <c r="K603" s="23">
        <v>46210.541666666664</v>
      </c>
      <c r="L603" s="21">
        <v>678</v>
      </c>
      <c r="M603" s="22">
        <v>3136</v>
      </c>
      <c r="N603" s="24">
        <v>865.8</v>
      </c>
      <c r="O603" s="24">
        <v>1631.63</v>
      </c>
      <c r="P603" s="24">
        <v>2521.27</v>
      </c>
      <c r="Q603" s="21">
        <v>374</v>
      </c>
      <c r="R603" s="22">
        <v>20153</v>
      </c>
      <c r="S603" s="22">
        <v>51801</v>
      </c>
      <c r="T603" s="21">
        <v>2</v>
      </c>
      <c r="U603" s="21">
        <v>3</v>
      </c>
      <c r="V603" s="21">
        <v>8</v>
      </c>
      <c r="W603" s="23">
        <v>46275.375</v>
      </c>
      <c r="X603" s="25"/>
      <c r="Y603" s="21">
        <v>0</v>
      </c>
      <c r="Z603" s="26">
        <v>52489</v>
      </c>
      <c r="AA603">
        <v>765.83000000000015</v>
      </c>
      <c r="AB603" s="18">
        <v>0.88453453453453479</v>
      </c>
      <c r="AC603" s="19">
        <v>1.8845345345345348</v>
      </c>
      <c r="AD603" s="19">
        <v>1.75</v>
      </c>
      <c r="AE603" s="19">
        <v>0.875</v>
      </c>
    </row>
    <row r="604" spans="1:31">
      <c r="A604">
        <v>608</v>
      </c>
      <c r="B604" t="s">
        <v>305</v>
      </c>
      <c r="C604" t="s">
        <v>306</v>
      </c>
      <c r="D604" t="s">
        <v>66</v>
      </c>
      <c r="E604" s="27">
        <v>46098</v>
      </c>
      <c r="F604" s="28" t="s">
        <v>307</v>
      </c>
      <c r="G604" s="32"/>
      <c r="H604" s="28" t="s">
        <v>127</v>
      </c>
      <c r="I604" s="29">
        <v>68756</v>
      </c>
      <c r="J604" s="28" t="s">
        <v>128</v>
      </c>
      <c r="K604" s="30">
        <v>46212.666666666664</v>
      </c>
      <c r="L604" s="28">
        <v>695</v>
      </c>
      <c r="M604" s="29">
        <v>3302</v>
      </c>
      <c r="N604" s="31">
        <v>1045.77</v>
      </c>
      <c r="O604" s="31">
        <v>1822.6</v>
      </c>
      <c r="P604" s="31">
        <v>2772.89</v>
      </c>
      <c r="Q604" s="28">
        <v>72</v>
      </c>
      <c r="R604" s="29">
        <v>2843</v>
      </c>
      <c r="S604" s="29">
        <v>6895</v>
      </c>
      <c r="T604" s="28">
        <v>0</v>
      </c>
      <c r="U604" s="28">
        <v>3</v>
      </c>
      <c r="V604" s="28">
        <v>19</v>
      </c>
      <c r="W604" s="30">
        <v>46275.625</v>
      </c>
      <c r="X604" s="32"/>
      <c r="Y604" s="28">
        <v>0</v>
      </c>
      <c r="Z604" s="33">
        <v>6979</v>
      </c>
      <c r="AA604">
        <v>776.82999999999993</v>
      </c>
      <c r="AB604" s="18">
        <v>0.74283064153685796</v>
      </c>
      <c r="AC604" s="19">
        <v>1.742830641536858</v>
      </c>
      <c r="AD604" s="19">
        <v>0</v>
      </c>
      <c r="AE604" s="19">
        <v>0.36842105263157893</v>
      </c>
    </row>
    <row r="605" spans="1:31">
      <c r="A605">
        <v>609</v>
      </c>
      <c r="B605" t="s">
        <v>308</v>
      </c>
      <c r="C605" t="s">
        <v>309</v>
      </c>
      <c r="D605" t="s">
        <v>66</v>
      </c>
      <c r="E605" s="20">
        <v>46098</v>
      </c>
      <c r="F605" s="21" t="s">
        <v>310</v>
      </c>
      <c r="G605" s="25"/>
      <c r="H605" s="21" t="s">
        <v>113</v>
      </c>
      <c r="I605" s="22">
        <v>70240</v>
      </c>
      <c r="J605" s="21" t="s">
        <v>114</v>
      </c>
      <c r="K605" s="23">
        <v>46213.5</v>
      </c>
      <c r="L605" s="21">
        <v>833</v>
      </c>
      <c r="M605" s="22">
        <v>3770</v>
      </c>
      <c r="N605" s="24">
        <v>1341.96</v>
      </c>
      <c r="O605" s="24">
        <v>2150</v>
      </c>
      <c r="P605" s="24">
        <v>3310.47</v>
      </c>
      <c r="Q605" s="21">
        <v>708</v>
      </c>
      <c r="R605" s="22">
        <v>37280</v>
      </c>
      <c r="S605" s="22">
        <v>95995</v>
      </c>
      <c r="T605" s="21">
        <v>1</v>
      </c>
      <c r="U605" s="21">
        <v>8</v>
      </c>
      <c r="V605" s="21">
        <v>13</v>
      </c>
      <c r="W605" s="23">
        <v>46275.5</v>
      </c>
      <c r="X605" s="25"/>
      <c r="Y605" s="21">
        <v>0</v>
      </c>
      <c r="Z605" s="26">
        <v>97241</v>
      </c>
      <c r="AA605">
        <v>808.04</v>
      </c>
      <c r="AB605" s="18">
        <v>0.60213419177918859</v>
      </c>
      <c r="AC605" s="19">
        <v>1.6021341917791887</v>
      </c>
      <c r="AD605" s="19">
        <v>0.53846153846153844</v>
      </c>
      <c r="AE605" s="19">
        <v>1.4358974358974357</v>
      </c>
    </row>
    <row r="606" spans="1:31">
      <c r="A606">
        <v>610</v>
      </c>
      <c r="B606" t="s">
        <v>311</v>
      </c>
      <c r="C606" t="s">
        <v>312</v>
      </c>
      <c r="D606" t="s">
        <v>66</v>
      </c>
      <c r="E606" s="27">
        <v>46098</v>
      </c>
      <c r="F606" s="28" t="s">
        <v>313</v>
      </c>
      <c r="G606" s="32"/>
      <c r="H606" s="28" t="s">
        <v>85</v>
      </c>
      <c r="I606" s="29">
        <v>76100</v>
      </c>
      <c r="J606" s="28" t="s">
        <v>86</v>
      </c>
      <c r="K606" s="30">
        <v>46214.708333333336</v>
      </c>
      <c r="L606" s="28">
        <v>760</v>
      </c>
      <c r="M606" s="29">
        <v>3463</v>
      </c>
      <c r="N606" s="31">
        <v>1326.23</v>
      </c>
      <c r="O606" s="31">
        <v>2253.31</v>
      </c>
      <c r="P606" s="31">
        <v>3289.51</v>
      </c>
      <c r="Q606" s="28">
        <v>658</v>
      </c>
      <c r="R606" s="29">
        <v>37222</v>
      </c>
      <c r="S606" s="29">
        <v>95138</v>
      </c>
      <c r="T606" s="28">
        <v>3</v>
      </c>
      <c r="U606" s="28">
        <v>6</v>
      </c>
      <c r="V606" s="28">
        <v>11</v>
      </c>
      <c r="W606" s="30">
        <v>46275.625</v>
      </c>
      <c r="X606" s="32"/>
      <c r="Y606" s="28">
        <v>0</v>
      </c>
      <c r="Z606" s="33">
        <v>96421</v>
      </c>
      <c r="AA606">
        <v>927.07999999999993</v>
      </c>
      <c r="AB606" s="18">
        <v>0.6990341041900725</v>
      </c>
      <c r="AC606" s="19">
        <v>1.6990341041900725</v>
      </c>
      <c r="AD606" s="19">
        <v>1.9090909090909092</v>
      </c>
      <c r="AE606" s="19">
        <v>1.2727272727272727</v>
      </c>
    </row>
    <row r="607" spans="1:31">
      <c r="A607">
        <v>611</v>
      </c>
      <c r="B607" t="s">
        <v>64</v>
      </c>
      <c r="C607" t="s">
        <v>65</v>
      </c>
      <c r="D607" t="s">
        <v>66</v>
      </c>
      <c r="E607" s="20">
        <v>46098</v>
      </c>
      <c r="F607" s="21" t="s">
        <v>67</v>
      </c>
      <c r="G607" s="25"/>
      <c r="H607" s="21" t="s">
        <v>68</v>
      </c>
      <c r="I607" s="22">
        <v>76416</v>
      </c>
      <c r="J607" s="21" t="s">
        <v>69</v>
      </c>
      <c r="K607" s="23">
        <v>46214.833333333336</v>
      </c>
      <c r="L607" s="21">
        <v>663</v>
      </c>
      <c r="M607" s="22">
        <v>3101</v>
      </c>
      <c r="N607" s="24">
        <v>1269.1500000000001</v>
      </c>
      <c r="O607" s="24">
        <v>2355.4299999999998</v>
      </c>
      <c r="P607" s="24">
        <v>3250</v>
      </c>
      <c r="Q607" s="21">
        <v>732</v>
      </c>
      <c r="R607" s="22">
        <v>37485</v>
      </c>
      <c r="S607" s="22">
        <v>96103</v>
      </c>
      <c r="T607" s="21">
        <v>1</v>
      </c>
      <c r="U607" s="21">
        <v>3</v>
      </c>
      <c r="V607" s="21">
        <v>10</v>
      </c>
      <c r="W607" s="23">
        <v>46275.583333333336</v>
      </c>
      <c r="X607" s="25"/>
      <c r="Y607" s="21">
        <v>0</v>
      </c>
      <c r="Z607" s="26">
        <v>97368</v>
      </c>
      <c r="AA607">
        <v>1086.2799999999997</v>
      </c>
      <c r="AB607" s="18">
        <v>0.85591143678840143</v>
      </c>
      <c r="AC607" s="19">
        <v>1.8559114367884013</v>
      </c>
      <c r="AD607" s="19">
        <v>0.7</v>
      </c>
      <c r="AE607" s="19">
        <v>0.7</v>
      </c>
    </row>
    <row r="608" spans="1:31">
      <c r="A608">
        <v>612</v>
      </c>
      <c r="B608" t="s">
        <v>70</v>
      </c>
      <c r="C608" t="s">
        <v>71</v>
      </c>
      <c r="D608" t="s">
        <v>72</v>
      </c>
      <c r="E608" s="27">
        <v>46098</v>
      </c>
      <c r="F608" s="28" t="s">
        <v>73</v>
      </c>
      <c r="G608" s="32"/>
      <c r="H608" s="28" t="s">
        <v>74</v>
      </c>
      <c r="I608" s="29">
        <v>80000</v>
      </c>
      <c r="J608" s="28" t="s">
        <v>75</v>
      </c>
      <c r="K608" s="30">
        <v>46217.583333333336</v>
      </c>
      <c r="L608" s="28">
        <v>731</v>
      </c>
      <c r="M608" s="29">
        <v>3408</v>
      </c>
      <c r="N608" s="31">
        <v>1770</v>
      </c>
      <c r="O608" s="31">
        <v>3182.89</v>
      </c>
      <c r="P608" s="31">
        <v>5145.21</v>
      </c>
      <c r="Q608" s="28">
        <v>707</v>
      </c>
      <c r="R608" s="29">
        <v>37062</v>
      </c>
      <c r="S608" s="29">
        <v>96194</v>
      </c>
      <c r="T608" s="28">
        <v>0</v>
      </c>
      <c r="U608" s="28">
        <v>6</v>
      </c>
      <c r="V608" s="28">
        <v>15</v>
      </c>
      <c r="W608" s="30">
        <v>46275.583333333336</v>
      </c>
      <c r="X608" s="32"/>
      <c r="Y608" s="28">
        <v>0</v>
      </c>
      <c r="Z608" s="33">
        <v>97448</v>
      </c>
      <c r="AA608">
        <v>1412.8899999999999</v>
      </c>
      <c r="AB608" s="18">
        <v>0.79824293785310729</v>
      </c>
      <c r="AC608" s="19">
        <v>1.7982429378531073</v>
      </c>
      <c r="AD608" s="19">
        <v>0</v>
      </c>
      <c r="AE608" s="19">
        <v>0.93333333333333335</v>
      </c>
    </row>
    <row r="609" spans="1:31">
      <c r="A609">
        <v>613</v>
      </c>
      <c r="B609" t="s">
        <v>76</v>
      </c>
      <c r="C609" t="s">
        <v>77</v>
      </c>
      <c r="D609" t="s">
        <v>72</v>
      </c>
      <c r="E609" s="20">
        <v>46098</v>
      </c>
      <c r="F609" s="21" t="s">
        <v>78</v>
      </c>
      <c r="G609" s="25"/>
      <c r="H609" s="21" t="s">
        <v>79</v>
      </c>
      <c r="I609" s="22">
        <v>71000</v>
      </c>
      <c r="J609" s="21" t="s">
        <v>80</v>
      </c>
      <c r="K609" s="23">
        <v>46218.625</v>
      </c>
      <c r="L609" s="21">
        <v>767</v>
      </c>
      <c r="M609" s="22">
        <v>3473</v>
      </c>
      <c r="N609" s="24">
        <v>1624.48</v>
      </c>
      <c r="O609" s="24">
        <v>3237.62</v>
      </c>
      <c r="P609" s="24">
        <v>5000</v>
      </c>
      <c r="Q609" s="21">
        <v>749</v>
      </c>
      <c r="R609" s="22">
        <v>38262</v>
      </c>
      <c r="S609" s="22">
        <v>97054</v>
      </c>
      <c r="T609" s="21">
        <v>0</v>
      </c>
      <c r="U609" s="21">
        <v>8</v>
      </c>
      <c r="V609" s="21">
        <v>11</v>
      </c>
      <c r="W609" s="23">
        <v>46275.625</v>
      </c>
      <c r="X609" s="25"/>
      <c r="Y609" s="21">
        <v>0</v>
      </c>
      <c r="Z609" s="26">
        <v>98322</v>
      </c>
      <c r="AA609">
        <v>1613.1399999999999</v>
      </c>
      <c r="AB609" s="18">
        <v>0.99301930463902288</v>
      </c>
      <c r="AC609" s="19">
        <v>1.9930193046390228</v>
      </c>
      <c r="AD609" s="19">
        <v>0</v>
      </c>
      <c r="AE609" s="19">
        <v>1.696969696969697</v>
      </c>
    </row>
    <row r="610" spans="1:31">
      <c r="A610">
        <v>614</v>
      </c>
      <c r="B610" t="s">
        <v>81</v>
      </c>
      <c r="C610" t="s">
        <v>82</v>
      </c>
      <c r="D610" t="s">
        <v>83</v>
      </c>
      <c r="E610" s="27">
        <v>46098</v>
      </c>
      <c r="F610" s="28" t="s">
        <v>84</v>
      </c>
      <c r="G610" s="32"/>
      <c r="H610" s="28" t="s">
        <v>85</v>
      </c>
      <c r="I610" s="29">
        <v>76100</v>
      </c>
      <c r="J610" s="28" t="s">
        <v>86</v>
      </c>
      <c r="K610" s="30">
        <v>46221.708333333336</v>
      </c>
      <c r="L610" s="28">
        <v>788</v>
      </c>
      <c r="M610" s="29">
        <v>3508</v>
      </c>
      <c r="N610" s="31">
        <v>782.1</v>
      </c>
      <c r="O610" s="31">
        <v>1344.97</v>
      </c>
      <c r="P610" s="31">
        <v>2250</v>
      </c>
      <c r="Q610" s="28">
        <v>644</v>
      </c>
      <c r="R610" s="29">
        <v>43456</v>
      </c>
      <c r="S610" s="29">
        <v>117585</v>
      </c>
      <c r="T610" s="28">
        <v>2</v>
      </c>
      <c r="U610" s="28">
        <v>6</v>
      </c>
      <c r="V610" s="28">
        <v>13</v>
      </c>
      <c r="W610" s="30">
        <v>46275.625</v>
      </c>
      <c r="X610" s="32"/>
      <c r="Y610" s="28">
        <v>0</v>
      </c>
      <c r="Z610" s="33">
        <v>118225</v>
      </c>
      <c r="AA610">
        <v>562.87</v>
      </c>
      <c r="AB610" s="18">
        <v>0.71969057665260194</v>
      </c>
      <c r="AC610" s="19">
        <v>1.7196905766526021</v>
      </c>
      <c r="AD610" s="19">
        <v>1.0769230769230769</v>
      </c>
      <c r="AE610" s="19">
        <v>1.0769230769230769</v>
      </c>
    </row>
    <row r="611" spans="1:31">
      <c r="A611">
        <v>615</v>
      </c>
      <c r="B611" t="s">
        <v>87</v>
      </c>
      <c r="C611" t="s">
        <v>88</v>
      </c>
      <c r="D611" t="s">
        <v>89</v>
      </c>
      <c r="E611" s="20">
        <v>46098</v>
      </c>
      <c r="F611" s="21" t="s">
        <v>90</v>
      </c>
      <c r="G611" s="25"/>
      <c r="H611" s="21" t="s">
        <v>91</v>
      </c>
      <c r="I611" s="22">
        <v>82500</v>
      </c>
      <c r="J611" s="21" t="s">
        <v>92</v>
      </c>
      <c r="K611" s="23">
        <v>46222.625</v>
      </c>
      <c r="L611" s="21">
        <v>540</v>
      </c>
      <c r="M611" s="22">
        <v>2450</v>
      </c>
      <c r="N611" s="24">
        <v>6852.67</v>
      </c>
      <c r="O611" s="24">
        <v>11786.2</v>
      </c>
      <c r="P611" s="24">
        <v>16148.33</v>
      </c>
      <c r="Q611" s="21">
        <v>825</v>
      </c>
      <c r="R611" s="22">
        <v>41322</v>
      </c>
      <c r="S611" s="22">
        <v>103727</v>
      </c>
      <c r="T611" s="21">
        <v>1</v>
      </c>
      <c r="U611" s="21">
        <v>5</v>
      </c>
      <c r="V611" s="21">
        <v>12</v>
      </c>
      <c r="W611" s="23">
        <v>46275.625</v>
      </c>
      <c r="X611" s="25"/>
      <c r="Y611" s="21">
        <v>0</v>
      </c>
      <c r="Z611" s="26">
        <v>105072</v>
      </c>
      <c r="AA611">
        <v>4933.5300000000007</v>
      </c>
      <c r="AB611" s="18">
        <v>0.71994273764824523</v>
      </c>
      <c r="AC611" s="19">
        <v>1.7199427376482452</v>
      </c>
      <c r="AD611" s="19">
        <v>0.58333333333333337</v>
      </c>
      <c r="AE611" s="19">
        <v>0.97222222222222232</v>
      </c>
    </row>
    <row r="612" spans="1:31">
      <c r="A612">
        <v>616</v>
      </c>
      <c r="B612" t="s">
        <v>81</v>
      </c>
      <c r="C612" t="s">
        <v>82</v>
      </c>
      <c r="D612" t="s">
        <v>83</v>
      </c>
      <c r="E612" s="27">
        <v>46107</v>
      </c>
      <c r="F612" s="28" t="s">
        <v>84</v>
      </c>
      <c r="G612" s="32"/>
      <c r="H612" s="28" t="s">
        <v>85</v>
      </c>
      <c r="I612" s="29">
        <v>76100</v>
      </c>
      <c r="J612" s="28" t="s">
        <v>86</v>
      </c>
      <c r="K612" s="30">
        <v>46221.708333333336</v>
      </c>
      <c r="L612" s="28">
        <v>787</v>
      </c>
      <c r="M612" s="29">
        <v>3499</v>
      </c>
      <c r="N612" s="31">
        <v>868.8</v>
      </c>
      <c r="O612" s="31">
        <v>1399.5</v>
      </c>
      <c r="P612" s="31">
        <v>2548.66</v>
      </c>
      <c r="Q612" s="29">
        <v>1666</v>
      </c>
      <c r="R612" s="29">
        <v>50126</v>
      </c>
      <c r="S612" s="29">
        <v>127405</v>
      </c>
      <c r="T612" s="28">
        <v>0</v>
      </c>
      <c r="U612" s="28">
        <v>1</v>
      </c>
      <c r="V612" s="28">
        <v>10</v>
      </c>
      <c r="W612" s="30">
        <v>46275.625</v>
      </c>
      <c r="X612" s="32"/>
      <c r="Y612" s="28">
        <v>0</v>
      </c>
      <c r="Z612" s="33">
        <v>127979</v>
      </c>
      <c r="AA612">
        <v>530.70000000000005</v>
      </c>
      <c r="AB612" s="18">
        <v>0.61084254143646421</v>
      </c>
      <c r="AC612" s="19">
        <v>1.6108425414364642</v>
      </c>
      <c r="AD612" s="19">
        <v>0</v>
      </c>
      <c r="AE612" s="19">
        <v>0.23333333333333331</v>
      </c>
    </row>
    <row r="613" spans="1:31">
      <c r="A613">
        <v>617</v>
      </c>
      <c r="B613" t="s">
        <v>87</v>
      </c>
      <c r="C613" t="s">
        <v>88</v>
      </c>
      <c r="D613" t="s">
        <v>89</v>
      </c>
      <c r="E613" s="20">
        <v>46107</v>
      </c>
      <c r="F613" s="21" t="s">
        <v>90</v>
      </c>
      <c r="G613" s="25"/>
      <c r="H613" s="21" t="s">
        <v>91</v>
      </c>
      <c r="I613" s="22">
        <v>82500</v>
      </c>
      <c r="J613" s="21" t="s">
        <v>92</v>
      </c>
      <c r="K613" s="23">
        <v>46222.625</v>
      </c>
      <c r="L613" s="21">
        <v>607</v>
      </c>
      <c r="M613" s="22">
        <v>2703</v>
      </c>
      <c r="N613" s="24">
        <v>6248</v>
      </c>
      <c r="O613" s="24">
        <v>11765.08</v>
      </c>
      <c r="P613" s="24">
        <v>16198.69</v>
      </c>
      <c r="Q613" s="22">
        <v>1239</v>
      </c>
      <c r="R613" s="22">
        <v>42341</v>
      </c>
      <c r="S613" s="22">
        <v>113454</v>
      </c>
      <c r="T613" s="21">
        <v>1</v>
      </c>
      <c r="U613" s="21">
        <v>3</v>
      </c>
      <c r="V613" s="21">
        <v>13</v>
      </c>
      <c r="W613" s="23">
        <v>46275.625</v>
      </c>
      <c r="X613" s="25"/>
      <c r="Y613" s="21">
        <v>0</v>
      </c>
      <c r="Z613" s="26">
        <v>114252</v>
      </c>
      <c r="AA613">
        <v>5517.08</v>
      </c>
      <c r="AB613" s="18">
        <v>0.88301536491677335</v>
      </c>
      <c r="AC613" s="19">
        <v>1.8830153649167733</v>
      </c>
      <c r="AD613" s="19">
        <v>0.53846153846153844</v>
      </c>
      <c r="AE613" s="19">
        <v>0.53846153846153844</v>
      </c>
    </row>
    <row r="614" spans="1:31">
      <c r="A614">
        <v>618</v>
      </c>
      <c r="B614" t="s">
        <v>308</v>
      </c>
      <c r="C614" t="s">
        <v>309</v>
      </c>
      <c r="D614" t="s">
        <v>66</v>
      </c>
      <c r="E614" s="27">
        <v>46107</v>
      </c>
      <c r="F614" s="28" t="s">
        <v>310</v>
      </c>
      <c r="G614" s="32"/>
      <c r="H614" s="28" t="s">
        <v>113</v>
      </c>
      <c r="I614" s="29">
        <v>70240</v>
      </c>
      <c r="J614" s="28" t="s">
        <v>114</v>
      </c>
      <c r="K614" s="30">
        <v>46213.5</v>
      </c>
      <c r="L614" s="28">
        <v>882</v>
      </c>
      <c r="M614" s="29">
        <v>3901</v>
      </c>
      <c r="N614" s="31">
        <v>1193.0999999999999</v>
      </c>
      <c r="O614" s="31">
        <v>2175.5</v>
      </c>
      <c r="P614" s="31">
        <v>3310.47</v>
      </c>
      <c r="Q614" s="29">
        <v>1239</v>
      </c>
      <c r="R614" s="29">
        <v>39425</v>
      </c>
      <c r="S614" s="29">
        <v>105624</v>
      </c>
      <c r="T614" s="28">
        <v>2</v>
      </c>
      <c r="U614" s="28">
        <v>11</v>
      </c>
      <c r="V614" s="28">
        <v>15</v>
      </c>
      <c r="W614" s="30">
        <v>46275.5</v>
      </c>
      <c r="X614" s="32"/>
      <c r="Y614" s="28">
        <v>0</v>
      </c>
      <c r="Z614" s="33">
        <v>106364</v>
      </c>
      <c r="AA614">
        <v>982.40000000000009</v>
      </c>
      <c r="AB614" s="18">
        <v>0.82340122370295887</v>
      </c>
      <c r="AC614" s="19">
        <v>1.8234012237029589</v>
      </c>
      <c r="AD614" s="19">
        <v>0.93333333333333335</v>
      </c>
      <c r="AE614" s="19">
        <v>1.711111111111111</v>
      </c>
    </row>
    <row r="615" spans="1:31">
      <c r="A615">
        <v>619</v>
      </c>
      <c r="B615" t="s">
        <v>70</v>
      </c>
      <c r="C615" t="s">
        <v>71</v>
      </c>
      <c r="D615" t="s">
        <v>72</v>
      </c>
      <c r="E615" s="20">
        <v>46107</v>
      </c>
      <c r="F615" s="21" t="s">
        <v>73</v>
      </c>
      <c r="G615" s="25"/>
      <c r="H615" s="21" t="s">
        <v>74</v>
      </c>
      <c r="I615" s="22">
        <v>80000</v>
      </c>
      <c r="J615" s="21" t="s">
        <v>75</v>
      </c>
      <c r="K615" s="23">
        <v>46217.583333333336</v>
      </c>
      <c r="L615" s="21">
        <v>761</v>
      </c>
      <c r="M615" s="22">
        <v>3522</v>
      </c>
      <c r="N615" s="24">
        <v>1939</v>
      </c>
      <c r="O615" s="24">
        <v>3255</v>
      </c>
      <c r="P615" s="24">
        <v>5197.53</v>
      </c>
      <c r="Q615" s="22">
        <v>1174</v>
      </c>
      <c r="R615" s="22">
        <v>39009</v>
      </c>
      <c r="S615" s="22">
        <v>105029</v>
      </c>
      <c r="T615" s="21">
        <v>1</v>
      </c>
      <c r="U615" s="21">
        <v>6</v>
      </c>
      <c r="V615" s="21">
        <v>12</v>
      </c>
      <c r="W615" s="23">
        <v>46275.583333333336</v>
      </c>
      <c r="X615" s="25"/>
      <c r="Y615" s="21">
        <v>0</v>
      </c>
      <c r="Z615" s="26">
        <v>105764</v>
      </c>
      <c r="AA615">
        <v>1316</v>
      </c>
      <c r="AB615" s="18">
        <v>0.67870036101083031</v>
      </c>
      <c r="AC615" s="19">
        <v>1.6787003610108304</v>
      </c>
      <c r="AD615" s="19">
        <v>0.58333333333333337</v>
      </c>
      <c r="AE615" s="19">
        <v>1.1666666666666667</v>
      </c>
    </row>
    <row r="616" spans="1:31">
      <c r="A616">
        <v>620</v>
      </c>
      <c r="B616" t="s">
        <v>311</v>
      </c>
      <c r="C616" t="s">
        <v>312</v>
      </c>
      <c r="D616" t="s">
        <v>66</v>
      </c>
      <c r="E616" s="27">
        <v>46107</v>
      </c>
      <c r="F616" s="28" t="s">
        <v>313</v>
      </c>
      <c r="G616" s="32"/>
      <c r="H616" s="28" t="s">
        <v>85</v>
      </c>
      <c r="I616" s="29">
        <v>76100</v>
      </c>
      <c r="J616" s="28" t="s">
        <v>86</v>
      </c>
      <c r="K616" s="30">
        <v>46214.708333333336</v>
      </c>
      <c r="L616" s="28">
        <v>791</v>
      </c>
      <c r="M616" s="29">
        <v>3562</v>
      </c>
      <c r="N616" s="31">
        <v>1425.9</v>
      </c>
      <c r="O616" s="31">
        <v>2282.21</v>
      </c>
      <c r="P616" s="31">
        <v>3410.51</v>
      </c>
      <c r="Q616" s="29">
        <v>1144</v>
      </c>
      <c r="R616" s="29">
        <v>39041</v>
      </c>
      <c r="S616" s="29">
        <v>104994</v>
      </c>
      <c r="T616" s="28">
        <v>0</v>
      </c>
      <c r="U616" s="28">
        <v>3</v>
      </c>
      <c r="V616" s="28">
        <v>13</v>
      </c>
      <c r="W616" s="30">
        <v>46275.625</v>
      </c>
      <c r="X616" s="32"/>
      <c r="Y616" s="28">
        <v>0</v>
      </c>
      <c r="Z616" s="33">
        <v>105729</v>
      </c>
      <c r="AA616">
        <v>856.31</v>
      </c>
      <c r="AB616" s="18">
        <v>0.60054000981836031</v>
      </c>
      <c r="AC616" s="19">
        <v>1.6005400098183602</v>
      </c>
      <c r="AD616" s="19">
        <v>0</v>
      </c>
      <c r="AE616" s="19">
        <v>0.53846153846153844</v>
      </c>
    </row>
    <row r="617" spans="1:31">
      <c r="A617">
        <v>621</v>
      </c>
      <c r="B617" t="s">
        <v>76</v>
      </c>
      <c r="C617" t="s">
        <v>77</v>
      </c>
      <c r="D617" t="s">
        <v>72</v>
      </c>
      <c r="E617" s="20">
        <v>46107</v>
      </c>
      <c r="F617" s="21" t="s">
        <v>78</v>
      </c>
      <c r="G617" s="25"/>
      <c r="H617" s="21" t="s">
        <v>79</v>
      </c>
      <c r="I617" s="22">
        <v>71000</v>
      </c>
      <c r="J617" s="21" t="s">
        <v>80</v>
      </c>
      <c r="K617" s="23">
        <v>46218.625</v>
      </c>
      <c r="L617" s="21">
        <v>809</v>
      </c>
      <c r="M617" s="22">
        <v>3599</v>
      </c>
      <c r="N617" s="24">
        <v>1697.5</v>
      </c>
      <c r="O617" s="24">
        <v>3242.08</v>
      </c>
      <c r="P617" s="24">
        <v>5060</v>
      </c>
      <c r="Q617" s="22">
        <v>1110</v>
      </c>
      <c r="R617" s="22">
        <v>37933</v>
      </c>
      <c r="S617" s="22">
        <v>103306</v>
      </c>
      <c r="T617" s="21">
        <v>1</v>
      </c>
      <c r="U617" s="21">
        <v>4</v>
      </c>
      <c r="V617" s="21">
        <v>11</v>
      </c>
      <c r="W617" s="23">
        <v>46275.625</v>
      </c>
      <c r="X617" s="25"/>
      <c r="Y617" s="21">
        <v>0</v>
      </c>
      <c r="Z617" s="26">
        <v>104041</v>
      </c>
      <c r="AA617">
        <v>1544.58</v>
      </c>
      <c r="AB617" s="18">
        <v>0.90991458026509564</v>
      </c>
      <c r="AC617" s="19">
        <v>1.9099145802650956</v>
      </c>
      <c r="AD617" s="19">
        <v>0.63636363636363635</v>
      </c>
      <c r="AE617" s="19">
        <v>0.84848484848484851</v>
      </c>
    </row>
    <row r="618" spans="1:31">
      <c r="A618">
        <v>622</v>
      </c>
      <c r="B618" t="s">
        <v>64</v>
      </c>
      <c r="C618" t="s">
        <v>65</v>
      </c>
      <c r="D618" t="s">
        <v>66</v>
      </c>
      <c r="E618" s="27">
        <v>46107</v>
      </c>
      <c r="F618" s="28" t="s">
        <v>67</v>
      </c>
      <c r="G618" s="32"/>
      <c r="H618" s="28" t="s">
        <v>68</v>
      </c>
      <c r="I618" s="29">
        <v>76416</v>
      </c>
      <c r="J618" s="28" t="s">
        <v>69</v>
      </c>
      <c r="K618" s="30">
        <v>46214.833333333336</v>
      </c>
      <c r="L618" s="28">
        <v>698</v>
      </c>
      <c r="M618" s="29">
        <v>3211</v>
      </c>
      <c r="N618" s="31">
        <v>1160.6300000000001</v>
      </c>
      <c r="O618" s="31">
        <v>2361.3000000000002</v>
      </c>
      <c r="P618" s="31">
        <v>3253.9</v>
      </c>
      <c r="Q618" s="29">
        <v>1108</v>
      </c>
      <c r="R618" s="29">
        <v>37658</v>
      </c>
      <c r="S618" s="29">
        <v>102598</v>
      </c>
      <c r="T618" s="28">
        <v>1</v>
      </c>
      <c r="U618" s="28">
        <v>4</v>
      </c>
      <c r="V618" s="28">
        <v>6</v>
      </c>
      <c r="W618" s="30">
        <v>46275.583333333336</v>
      </c>
      <c r="X618" s="32"/>
      <c r="Y618" s="28">
        <v>0</v>
      </c>
      <c r="Z618" s="33">
        <v>103337</v>
      </c>
      <c r="AA618">
        <v>1200.67</v>
      </c>
      <c r="AB618" s="18">
        <v>1.034498505122218</v>
      </c>
      <c r="AC618" s="19">
        <v>2.034498505122218</v>
      </c>
      <c r="AD618" s="19">
        <v>1.1666666666666667</v>
      </c>
      <c r="AE618" s="19">
        <v>1.5555555555555556</v>
      </c>
    </row>
    <row r="619" spans="1:31">
      <c r="A619">
        <v>623</v>
      </c>
      <c r="B619" t="s">
        <v>279</v>
      </c>
      <c r="C619" t="s">
        <v>280</v>
      </c>
      <c r="D619" t="s">
        <v>281</v>
      </c>
      <c r="E619" s="20">
        <v>46107</v>
      </c>
      <c r="F619" s="21" t="s">
        <v>282</v>
      </c>
      <c r="G619" s="25"/>
      <c r="H619" s="21" t="s">
        <v>171</v>
      </c>
      <c r="I619" s="22">
        <v>69176</v>
      </c>
      <c r="J619" s="21" t="s">
        <v>172</v>
      </c>
      <c r="K619" s="23">
        <v>46207.708333333336</v>
      </c>
      <c r="L619" s="21">
        <v>790</v>
      </c>
      <c r="M619" s="22">
        <v>3550</v>
      </c>
      <c r="N619" s="24">
        <v>815.82</v>
      </c>
      <c r="O619" s="24">
        <v>1516.48</v>
      </c>
      <c r="P619" s="24">
        <v>2512.75</v>
      </c>
      <c r="Q619" s="21">
        <v>637</v>
      </c>
      <c r="R619" s="22">
        <v>22087</v>
      </c>
      <c r="S619" s="22">
        <v>58190</v>
      </c>
      <c r="T619" s="21">
        <v>3</v>
      </c>
      <c r="U619" s="21">
        <v>8</v>
      </c>
      <c r="V619" s="21">
        <v>17</v>
      </c>
      <c r="W619" s="23">
        <v>46275.625</v>
      </c>
      <c r="X619" s="25"/>
      <c r="Y619" s="21">
        <v>0</v>
      </c>
      <c r="Z619" s="26">
        <v>58608</v>
      </c>
      <c r="AA619">
        <v>700.66</v>
      </c>
      <c r="AB619" s="18">
        <v>0.85884141109558476</v>
      </c>
      <c r="AC619" s="19">
        <v>1.8588414110955847</v>
      </c>
      <c r="AD619" s="19">
        <v>1.2352941176470589</v>
      </c>
      <c r="AE619" s="19">
        <v>1.0980392156862746</v>
      </c>
    </row>
    <row r="620" spans="1:31">
      <c r="A620">
        <v>624</v>
      </c>
      <c r="B620" t="s">
        <v>270</v>
      </c>
      <c r="C620" t="s">
        <v>271</v>
      </c>
      <c r="D620" t="s">
        <v>231</v>
      </c>
      <c r="E620" s="27">
        <v>46107</v>
      </c>
      <c r="F620" s="28" t="s">
        <v>272</v>
      </c>
      <c r="G620" s="32"/>
      <c r="H620" s="28" t="s">
        <v>85</v>
      </c>
      <c r="I620" s="29">
        <v>76100</v>
      </c>
      <c r="J620" s="28" t="s">
        <v>86</v>
      </c>
      <c r="K620" s="30">
        <v>46206.75</v>
      </c>
      <c r="L620" s="28">
        <v>833</v>
      </c>
      <c r="M620" s="29">
        <v>4287</v>
      </c>
      <c r="N620" s="31">
        <v>1409.32</v>
      </c>
      <c r="O620" s="31">
        <v>2225.92</v>
      </c>
      <c r="P620" s="31">
        <v>3667.95</v>
      </c>
      <c r="Q620" s="28">
        <v>661</v>
      </c>
      <c r="R620" s="29">
        <v>22162</v>
      </c>
      <c r="S620" s="29">
        <v>58179</v>
      </c>
      <c r="T620" s="28">
        <v>3</v>
      </c>
      <c r="U620" s="28">
        <v>9</v>
      </c>
      <c r="V620" s="28">
        <v>21</v>
      </c>
      <c r="W620" s="30">
        <v>46275.625</v>
      </c>
      <c r="X620" s="32"/>
      <c r="Y620" s="28">
        <v>0</v>
      </c>
      <c r="Z620" s="33">
        <v>58598</v>
      </c>
      <c r="AA620">
        <v>816.60000000000014</v>
      </c>
      <c r="AB620" s="18">
        <v>0.57942837680583559</v>
      </c>
      <c r="AC620" s="19">
        <v>1.5794283768058355</v>
      </c>
      <c r="AD620" s="19">
        <v>1</v>
      </c>
      <c r="AE620" s="19">
        <v>1</v>
      </c>
    </row>
    <row r="621" spans="1:31">
      <c r="A621">
        <v>625</v>
      </c>
      <c r="B621" t="s">
        <v>287</v>
      </c>
      <c r="C621" t="s">
        <v>288</v>
      </c>
      <c r="D621" t="s">
        <v>281</v>
      </c>
      <c r="E621" s="20">
        <v>46107</v>
      </c>
      <c r="F621" s="21" t="s">
        <v>289</v>
      </c>
      <c r="G621" s="25"/>
      <c r="H621" s="21" t="s">
        <v>91</v>
      </c>
      <c r="I621" s="22">
        <v>82500</v>
      </c>
      <c r="J621" s="21" t="s">
        <v>92</v>
      </c>
      <c r="K621" s="23">
        <v>46208.666666666664</v>
      </c>
      <c r="L621" s="21">
        <v>849</v>
      </c>
      <c r="M621" s="22">
        <v>3775</v>
      </c>
      <c r="N621" s="24">
        <v>902.78</v>
      </c>
      <c r="O621" s="24">
        <v>1485.32</v>
      </c>
      <c r="P621" s="24">
        <v>2324.4699999999998</v>
      </c>
      <c r="Q621" s="21">
        <v>676</v>
      </c>
      <c r="R621" s="22">
        <v>21873</v>
      </c>
      <c r="S621" s="22">
        <v>57816</v>
      </c>
      <c r="T621" s="21">
        <v>2</v>
      </c>
      <c r="U621" s="21">
        <v>5</v>
      </c>
      <c r="V621" s="21">
        <v>11</v>
      </c>
      <c r="W621" s="23">
        <v>46275.625</v>
      </c>
      <c r="X621" s="25"/>
      <c r="Y621" s="21">
        <v>0</v>
      </c>
      <c r="Z621" s="26">
        <v>58244</v>
      </c>
      <c r="AA621">
        <v>582.54</v>
      </c>
      <c r="AB621" s="18">
        <v>0.64527348855756661</v>
      </c>
      <c r="AC621" s="19">
        <v>1.6452734885575666</v>
      </c>
      <c r="AD621" s="19">
        <v>1.2727272727272727</v>
      </c>
      <c r="AE621" s="19">
        <v>1.0606060606060608</v>
      </c>
    </row>
    <row r="622" spans="1:31">
      <c r="A622">
        <v>626</v>
      </c>
      <c r="B622" t="s">
        <v>302</v>
      </c>
      <c r="C622" t="s">
        <v>303</v>
      </c>
      <c r="D622" t="s">
        <v>281</v>
      </c>
      <c r="E622" s="27">
        <v>46107</v>
      </c>
      <c r="F622" s="28" t="s">
        <v>304</v>
      </c>
      <c r="G622" s="32"/>
      <c r="H622" s="28" t="s">
        <v>164</v>
      </c>
      <c r="I622" s="29">
        <v>54500</v>
      </c>
      <c r="J622" s="28" t="s">
        <v>165</v>
      </c>
      <c r="K622" s="30">
        <v>46210.541666666664</v>
      </c>
      <c r="L622" s="28">
        <v>714</v>
      </c>
      <c r="M622" s="29">
        <v>3239</v>
      </c>
      <c r="N622" s="31">
        <v>842.73</v>
      </c>
      <c r="O622" s="31">
        <v>1631.63</v>
      </c>
      <c r="P622" s="31">
        <v>2550.52</v>
      </c>
      <c r="Q622" s="28">
        <v>634</v>
      </c>
      <c r="R622" s="29">
        <v>21730</v>
      </c>
      <c r="S622" s="29">
        <v>57573</v>
      </c>
      <c r="T622" s="28">
        <v>2</v>
      </c>
      <c r="U622" s="28">
        <v>5</v>
      </c>
      <c r="V622" s="28">
        <v>9</v>
      </c>
      <c r="W622" s="30">
        <v>46275.375</v>
      </c>
      <c r="X622" s="32"/>
      <c r="Y622" s="28">
        <v>0</v>
      </c>
      <c r="Z622" s="33">
        <v>57993</v>
      </c>
      <c r="AA622">
        <v>788.90000000000009</v>
      </c>
      <c r="AB622" s="18">
        <v>0.93612426281252603</v>
      </c>
      <c r="AC622" s="19">
        <v>1.9361242628125261</v>
      </c>
      <c r="AD622" s="19">
        <v>1.5555555555555554</v>
      </c>
      <c r="AE622" s="19">
        <v>1.2962962962962963</v>
      </c>
    </row>
    <row r="623" spans="1:31">
      <c r="A623">
        <v>627</v>
      </c>
      <c r="B623" t="s">
        <v>284</v>
      </c>
      <c r="C623" t="s">
        <v>285</v>
      </c>
      <c r="D623" t="s">
        <v>281</v>
      </c>
      <c r="E623" s="20">
        <v>46107</v>
      </c>
      <c r="F623" s="21" t="s">
        <v>286</v>
      </c>
      <c r="G623" s="25"/>
      <c r="H623" s="21" t="s">
        <v>62</v>
      </c>
      <c r="I623" s="22">
        <v>71500</v>
      </c>
      <c r="J623" s="21" t="s">
        <v>63</v>
      </c>
      <c r="K623" s="23">
        <v>46207.5</v>
      </c>
      <c r="L623" s="21">
        <v>860</v>
      </c>
      <c r="M623" s="22">
        <v>3939</v>
      </c>
      <c r="N623" s="24">
        <v>645.61</v>
      </c>
      <c r="O623" s="24">
        <v>1270.6300000000001</v>
      </c>
      <c r="P623" s="24">
        <v>2299.6</v>
      </c>
      <c r="Q623" s="21">
        <v>630</v>
      </c>
      <c r="R623" s="22">
        <v>21666</v>
      </c>
      <c r="S623" s="22">
        <v>57225</v>
      </c>
      <c r="T623" s="21">
        <v>3</v>
      </c>
      <c r="U623" s="21">
        <v>9</v>
      </c>
      <c r="V623" s="21">
        <v>26</v>
      </c>
      <c r="W623" s="23">
        <v>46275.583333333336</v>
      </c>
      <c r="X623" s="25"/>
      <c r="Y623" s="21">
        <v>0</v>
      </c>
      <c r="Z623" s="26">
        <v>57643</v>
      </c>
      <c r="AA623">
        <v>625.0200000000001</v>
      </c>
      <c r="AB623" s="18">
        <v>0.96810768110778966</v>
      </c>
      <c r="AC623" s="19">
        <v>1.9681076811077896</v>
      </c>
      <c r="AD623" s="19">
        <v>0.80769230769230771</v>
      </c>
      <c r="AE623" s="19">
        <v>0.80769230769230771</v>
      </c>
    </row>
    <row r="624" spans="1:31">
      <c r="A624">
        <v>628</v>
      </c>
      <c r="B624" t="s">
        <v>276</v>
      </c>
      <c r="C624" t="s">
        <v>277</v>
      </c>
      <c r="D624" t="s">
        <v>231</v>
      </c>
      <c r="E624" s="27">
        <v>46107</v>
      </c>
      <c r="F624" s="28" t="s">
        <v>278</v>
      </c>
      <c r="G624" s="32"/>
      <c r="H624" s="28" t="s">
        <v>74</v>
      </c>
      <c r="I624" s="29">
        <v>80000</v>
      </c>
      <c r="J624" s="28" t="s">
        <v>75</v>
      </c>
      <c r="K624" s="30">
        <v>46206.541666666664</v>
      </c>
      <c r="L624" s="28">
        <v>794</v>
      </c>
      <c r="M624" s="29">
        <v>3596</v>
      </c>
      <c r="N624" s="31">
        <v>464.5</v>
      </c>
      <c r="O624" s="31">
        <v>836.11</v>
      </c>
      <c r="P624" s="31">
        <v>1324.19</v>
      </c>
      <c r="Q624" s="28">
        <v>616</v>
      </c>
      <c r="R624" s="29">
        <v>21412</v>
      </c>
      <c r="S624" s="29">
        <v>56579</v>
      </c>
      <c r="T624" s="28">
        <v>2</v>
      </c>
      <c r="U624" s="28">
        <v>6</v>
      </c>
      <c r="V624" s="28">
        <v>19</v>
      </c>
      <c r="W624" s="30">
        <v>46275.583333333336</v>
      </c>
      <c r="X624" s="32"/>
      <c r="Y624" s="28">
        <v>0</v>
      </c>
      <c r="Z624" s="33">
        <v>56994</v>
      </c>
      <c r="AA624">
        <v>371.61</v>
      </c>
      <c r="AB624" s="18">
        <v>0.80002152852529607</v>
      </c>
      <c r="AC624" s="19">
        <v>1.8000215285252961</v>
      </c>
      <c r="AD624" s="19">
        <v>0.73684210526315785</v>
      </c>
      <c r="AE624" s="19">
        <v>0.73684210526315785</v>
      </c>
    </row>
    <row r="625" spans="1:31">
      <c r="A625">
        <v>629</v>
      </c>
      <c r="B625" t="s">
        <v>293</v>
      </c>
      <c r="C625" t="s">
        <v>294</v>
      </c>
      <c r="D625" t="s">
        <v>281</v>
      </c>
      <c r="E625" s="20">
        <v>46107</v>
      </c>
      <c r="F625" s="21" t="s">
        <v>295</v>
      </c>
      <c r="G625" s="25"/>
      <c r="H625" s="21" t="s">
        <v>74</v>
      </c>
      <c r="I625" s="22">
        <v>80000</v>
      </c>
      <c r="J625" s="21" t="s">
        <v>75</v>
      </c>
      <c r="K625" s="23">
        <v>46209.583333333336</v>
      </c>
      <c r="L625" s="21">
        <v>819</v>
      </c>
      <c r="M625" s="22">
        <v>3710</v>
      </c>
      <c r="N625" s="24">
        <v>786.75</v>
      </c>
      <c r="O625" s="24">
        <v>1363.83</v>
      </c>
      <c r="P625" s="24">
        <v>2134.08</v>
      </c>
      <c r="Q625" s="21">
        <v>618</v>
      </c>
      <c r="R625" s="22">
        <v>21240</v>
      </c>
      <c r="S625" s="22">
        <v>56527</v>
      </c>
      <c r="T625" s="21">
        <v>3</v>
      </c>
      <c r="U625" s="21">
        <v>5</v>
      </c>
      <c r="V625" s="21">
        <v>18</v>
      </c>
      <c r="W625" s="23">
        <v>46275.583333333336</v>
      </c>
      <c r="X625" s="25"/>
      <c r="Y625" s="21">
        <v>0</v>
      </c>
      <c r="Z625" s="26">
        <v>56944</v>
      </c>
      <c r="AA625">
        <v>577.07999999999993</v>
      </c>
      <c r="AB625" s="18">
        <v>0.73349857006673014</v>
      </c>
      <c r="AC625" s="19">
        <v>1.73349857006673</v>
      </c>
      <c r="AD625" s="19">
        <v>1.1666666666666665</v>
      </c>
      <c r="AE625" s="19">
        <v>0.64814814814814814</v>
      </c>
    </row>
    <row r="626" spans="1:31">
      <c r="A626">
        <v>630</v>
      </c>
      <c r="B626" t="s">
        <v>290</v>
      </c>
      <c r="C626" t="s">
        <v>291</v>
      </c>
      <c r="D626" t="s">
        <v>281</v>
      </c>
      <c r="E626" s="27">
        <v>46107</v>
      </c>
      <c r="F626" s="28" t="s">
        <v>292</v>
      </c>
      <c r="G626" s="32"/>
      <c r="H626" s="28" t="s">
        <v>56</v>
      </c>
      <c r="I626" s="29">
        <v>98500</v>
      </c>
      <c r="J626" s="28" t="s">
        <v>57</v>
      </c>
      <c r="K626" s="30">
        <v>46208.791666666664</v>
      </c>
      <c r="L626" s="28">
        <v>464</v>
      </c>
      <c r="M626" s="29">
        <v>2311</v>
      </c>
      <c r="N626" s="31">
        <v>764.21</v>
      </c>
      <c r="O626" s="31">
        <v>1333.79</v>
      </c>
      <c r="P626" s="31">
        <v>2200.77</v>
      </c>
      <c r="Q626" s="28">
        <v>650</v>
      </c>
      <c r="R626" s="29">
        <v>20766</v>
      </c>
      <c r="S626" s="29">
        <v>55589</v>
      </c>
      <c r="T626" s="28">
        <v>3</v>
      </c>
      <c r="U626" s="28">
        <v>11</v>
      </c>
      <c r="V626" s="28">
        <v>22</v>
      </c>
      <c r="W626" s="30">
        <v>46275.541666666664</v>
      </c>
      <c r="X626" s="32"/>
      <c r="Y626" s="28">
        <v>0</v>
      </c>
      <c r="Z626" s="33">
        <v>56011</v>
      </c>
      <c r="AA626">
        <v>569.57999999999993</v>
      </c>
      <c r="AB626" s="18">
        <v>0.74531869512306814</v>
      </c>
      <c r="AC626" s="19">
        <v>1.7453186951230681</v>
      </c>
      <c r="AD626" s="19">
        <v>0.95454545454545459</v>
      </c>
      <c r="AE626" s="19">
        <v>1.1666666666666667</v>
      </c>
    </row>
    <row r="627" spans="1:31">
      <c r="A627">
        <v>631</v>
      </c>
      <c r="B627" t="s">
        <v>296</v>
      </c>
      <c r="C627" t="s">
        <v>297</v>
      </c>
      <c r="D627" t="s">
        <v>281</v>
      </c>
      <c r="E627" s="20">
        <v>46107</v>
      </c>
      <c r="F627" s="21" t="s">
        <v>298</v>
      </c>
      <c r="G627" s="25"/>
      <c r="H627" s="21" t="s">
        <v>118</v>
      </c>
      <c r="I627" s="22">
        <v>67000</v>
      </c>
      <c r="J627" s="21" t="s">
        <v>119</v>
      </c>
      <c r="K627" s="23">
        <v>46209.708333333336</v>
      </c>
      <c r="L627" s="21">
        <v>797</v>
      </c>
      <c r="M627" s="22">
        <v>3650</v>
      </c>
      <c r="N627" s="24">
        <v>725.2</v>
      </c>
      <c r="O627" s="24">
        <v>1388.7</v>
      </c>
      <c r="P627" s="24">
        <v>2207.15</v>
      </c>
      <c r="Q627" s="21">
        <v>600</v>
      </c>
      <c r="R627" s="22">
        <v>20672</v>
      </c>
      <c r="S627" s="22">
        <v>55432</v>
      </c>
      <c r="T627" s="21">
        <v>3</v>
      </c>
      <c r="U627" s="21">
        <v>6</v>
      </c>
      <c r="V627" s="21">
        <v>18</v>
      </c>
      <c r="W627" s="23">
        <v>46275.5</v>
      </c>
      <c r="X627" s="25"/>
      <c r="Y627" s="21">
        <v>0</v>
      </c>
      <c r="Z627" s="26">
        <v>55851</v>
      </c>
      <c r="AA627">
        <v>663.5</v>
      </c>
      <c r="AB627" s="18">
        <v>0.91492002206287915</v>
      </c>
      <c r="AC627" s="19">
        <v>1.9149200220628793</v>
      </c>
      <c r="AD627" s="19">
        <v>1.1666666666666665</v>
      </c>
      <c r="AE627" s="19">
        <v>0.77777777777777768</v>
      </c>
    </row>
    <row r="628" spans="1:31">
      <c r="A628">
        <v>632</v>
      </c>
      <c r="B628" t="s">
        <v>273</v>
      </c>
      <c r="C628" t="s">
        <v>274</v>
      </c>
      <c r="D628" t="s">
        <v>231</v>
      </c>
      <c r="E628" s="27">
        <v>46107</v>
      </c>
      <c r="F628" s="28" t="s">
        <v>275</v>
      </c>
      <c r="G628" s="32"/>
      <c r="H628" s="28" t="s">
        <v>68</v>
      </c>
      <c r="I628" s="29">
        <v>76416</v>
      </c>
      <c r="J628" s="28" t="s">
        <v>69</v>
      </c>
      <c r="K628" s="30">
        <v>46206.854166666664</v>
      </c>
      <c r="L628" s="28">
        <v>903</v>
      </c>
      <c r="M628" s="29">
        <v>4093</v>
      </c>
      <c r="N628" s="31">
        <v>525.53</v>
      </c>
      <c r="O628" s="31">
        <v>891.99</v>
      </c>
      <c r="P628" s="31">
        <v>1678.5</v>
      </c>
      <c r="Q628" s="28">
        <v>611</v>
      </c>
      <c r="R628" s="29">
        <v>20605</v>
      </c>
      <c r="S628" s="29">
        <v>55250</v>
      </c>
      <c r="T628" s="28">
        <v>3</v>
      </c>
      <c r="U628" s="28">
        <v>7</v>
      </c>
      <c r="V628" s="28">
        <v>24</v>
      </c>
      <c r="W628" s="30">
        <v>46275.583333333336</v>
      </c>
      <c r="X628" s="32"/>
      <c r="Y628" s="28">
        <v>0</v>
      </c>
      <c r="Z628" s="33">
        <v>55670</v>
      </c>
      <c r="AA628">
        <v>366.46000000000004</v>
      </c>
      <c r="AB628" s="18">
        <v>0.69731509143150738</v>
      </c>
      <c r="AC628" s="19">
        <v>1.6973150914315074</v>
      </c>
      <c r="AD628" s="19">
        <v>0.875</v>
      </c>
      <c r="AE628" s="19">
        <v>0.68055555555555569</v>
      </c>
    </row>
    <row r="629" spans="1:31">
      <c r="A629">
        <v>633</v>
      </c>
      <c r="B629" t="s">
        <v>299</v>
      </c>
      <c r="C629" t="s">
        <v>300</v>
      </c>
      <c r="D629" t="s">
        <v>281</v>
      </c>
      <c r="E629" s="20">
        <v>46107</v>
      </c>
      <c r="F629" s="21" t="s">
        <v>301</v>
      </c>
      <c r="G629" s="25"/>
      <c r="H629" s="21" t="s">
        <v>79</v>
      </c>
      <c r="I629" s="22">
        <v>71000</v>
      </c>
      <c r="J629" s="21" t="s">
        <v>80</v>
      </c>
      <c r="K629" s="23">
        <v>46210.5</v>
      </c>
      <c r="L629" s="21">
        <v>871</v>
      </c>
      <c r="M629" s="22">
        <v>3961</v>
      </c>
      <c r="N629" s="24">
        <v>689.04</v>
      </c>
      <c r="O629" s="24">
        <v>1245.42</v>
      </c>
      <c r="P629" s="24">
        <v>2287.0100000000002</v>
      </c>
      <c r="Q629" s="21">
        <v>628</v>
      </c>
      <c r="R629" s="22">
        <v>20120</v>
      </c>
      <c r="S629" s="22">
        <v>54936</v>
      </c>
      <c r="T629" s="21">
        <v>3</v>
      </c>
      <c r="U629" s="21">
        <v>6</v>
      </c>
      <c r="V629" s="21">
        <v>15</v>
      </c>
      <c r="W629" s="23">
        <v>46275.625</v>
      </c>
      <c r="X629" s="25"/>
      <c r="Y629" s="21">
        <v>0</v>
      </c>
      <c r="Z629" s="26">
        <v>55356</v>
      </c>
      <c r="AA629">
        <v>556.38000000000011</v>
      </c>
      <c r="AB629" s="18">
        <v>0.80747126436781624</v>
      </c>
      <c r="AC629" s="19">
        <v>1.8074712643678164</v>
      </c>
      <c r="AD629" s="19">
        <v>1.4000000000000001</v>
      </c>
      <c r="AE629" s="19">
        <v>0.93333333333333335</v>
      </c>
    </row>
    <row r="630" spans="1:31">
      <c r="A630">
        <v>634</v>
      </c>
      <c r="B630" t="s">
        <v>267</v>
      </c>
      <c r="C630" t="s">
        <v>268</v>
      </c>
      <c r="D630" t="s">
        <v>231</v>
      </c>
      <c r="E630" s="27">
        <v>46107</v>
      </c>
      <c r="F630" s="28" t="s">
        <v>269</v>
      </c>
      <c r="G630" s="32"/>
      <c r="H630" s="28" t="s">
        <v>164</v>
      </c>
      <c r="I630" s="29">
        <v>54500</v>
      </c>
      <c r="J630" s="28" t="s">
        <v>165</v>
      </c>
      <c r="K630" s="30">
        <v>46205.833333333336</v>
      </c>
      <c r="L630" s="28">
        <v>660</v>
      </c>
      <c r="M630" s="29">
        <v>3178</v>
      </c>
      <c r="N630" s="31">
        <v>557.11</v>
      </c>
      <c r="O630" s="31">
        <v>1002.87</v>
      </c>
      <c r="P630" s="31">
        <v>1721.1</v>
      </c>
      <c r="Q630" s="28">
        <v>583</v>
      </c>
      <c r="R630" s="29">
        <v>20021</v>
      </c>
      <c r="S630" s="29">
        <v>54437</v>
      </c>
      <c r="T630" s="28">
        <v>0</v>
      </c>
      <c r="U630" s="28">
        <v>0</v>
      </c>
      <c r="V630" s="28">
        <v>4</v>
      </c>
      <c r="W630" s="30">
        <v>46275.375</v>
      </c>
      <c r="X630" s="32"/>
      <c r="Y630" s="28">
        <v>0</v>
      </c>
      <c r="Z630" s="33">
        <v>54861</v>
      </c>
      <c r="AA630">
        <v>445.76</v>
      </c>
      <c r="AB630" s="18">
        <v>0.80012923839098204</v>
      </c>
      <c r="AC630" s="19">
        <v>1.8001292383909819</v>
      </c>
      <c r="AD630" s="19">
        <v>0</v>
      </c>
      <c r="AE630" s="19">
        <v>0</v>
      </c>
    </row>
    <row r="631" spans="1:31">
      <c r="A631">
        <v>635</v>
      </c>
      <c r="B631" t="s">
        <v>167</v>
      </c>
      <c r="C631" t="s">
        <v>175</v>
      </c>
      <c r="D631" t="s">
        <v>169</v>
      </c>
      <c r="E631" s="20">
        <v>46107</v>
      </c>
      <c r="F631" s="21" t="s">
        <v>225</v>
      </c>
      <c r="G631" s="25"/>
      <c r="H631" s="21" t="s">
        <v>91</v>
      </c>
      <c r="I631" s="22">
        <v>82500</v>
      </c>
      <c r="J631" s="21" t="s">
        <v>92</v>
      </c>
      <c r="K631" s="23">
        <v>46186.75</v>
      </c>
      <c r="L631" s="22">
        <v>1017</v>
      </c>
      <c r="M631" s="22">
        <v>4855</v>
      </c>
      <c r="N631" s="24">
        <v>844.11</v>
      </c>
      <c r="O631" s="24">
        <v>1556.23</v>
      </c>
      <c r="P631" s="24">
        <v>2429.7600000000002</v>
      </c>
      <c r="Q631" s="21">
        <v>351</v>
      </c>
      <c r="R631" s="22">
        <v>18049</v>
      </c>
      <c r="S631" s="22">
        <v>42526</v>
      </c>
      <c r="T631" s="21">
        <v>7</v>
      </c>
      <c r="U631" s="21">
        <v>18</v>
      </c>
      <c r="V631" s="21">
        <v>46</v>
      </c>
      <c r="W631" s="23">
        <v>46275.625</v>
      </c>
      <c r="X631" s="25"/>
      <c r="Y631" s="21">
        <v>0</v>
      </c>
      <c r="Z631" s="26">
        <v>42713</v>
      </c>
      <c r="AA631">
        <v>712.12</v>
      </c>
      <c r="AB631" s="18">
        <v>0.84363412351470779</v>
      </c>
      <c r="AC631" s="19">
        <v>1.8436341235147078</v>
      </c>
      <c r="AD631" s="19">
        <v>1.0652173913043479</v>
      </c>
      <c r="AE631" s="19">
        <v>0.91304347826086962</v>
      </c>
    </row>
    <row r="632" spans="1:31">
      <c r="A632">
        <v>636</v>
      </c>
      <c r="B632" t="s">
        <v>51</v>
      </c>
      <c r="C632" t="s">
        <v>52</v>
      </c>
      <c r="D632" t="s">
        <v>53</v>
      </c>
      <c r="E632" s="27">
        <v>46107</v>
      </c>
      <c r="F632" s="28" t="s">
        <v>54</v>
      </c>
      <c r="G632" s="32"/>
      <c r="H632" s="28" t="s">
        <v>56</v>
      </c>
      <c r="I632" s="29">
        <v>98500</v>
      </c>
      <c r="J632" s="28" t="s">
        <v>57</v>
      </c>
      <c r="K632" s="30">
        <v>46184.583333333336</v>
      </c>
      <c r="L632" s="28">
        <v>577</v>
      </c>
      <c r="M632" s="29">
        <v>3513</v>
      </c>
      <c r="N632" s="31">
        <v>2340.9</v>
      </c>
      <c r="O632" s="31">
        <v>4456.25</v>
      </c>
      <c r="P632" s="31">
        <v>6630</v>
      </c>
      <c r="Q632" s="28">
        <v>432</v>
      </c>
      <c r="R632" s="29">
        <v>16523</v>
      </c>
      <c r="S632" s="29">
        <v>41240</v>
      </c>
      <c r="T632" s="28">
        <v>1</v>
      </c>
      <c r="U632" s="28">
        <v>5</v>
      </c>
      <c r="V632" s="28">
        <v>11</v>
      </c>
      <c r="W632" s="30">
        <v>46275.541666666664</v>
      </c>
      <c r="X632" s="32"/>
      <c r="Y632" s="28">
        <v>0</v>
      </c>
      <c r="Z632" s="33">
        <v>41506</v>
      </c>
      <c r="AA632">
        <v>2115.35</v>
      </c>
      <c r="AB632" s="18">
        <v>0.9036481695074543</v>
      </c>
      <c r="AC632" s="19">
        <v>1.9036481695074543</v>
      </c>
      <c r="AD632" s="19">
        <v>0.63636363636363635</v>
      </c>
      <c r="AE632" s="19">
        <v>1.0606060606060608</v>
      </c>
    </row>
    <row r="633" spans="1:31">
      <c r="A633">
        <v>637</v>
      </c>
      <c r="B633" t="s">
        <v>155</v>
      </c>
      <c r="C633" t="s">
        <v>151</v>
      </c>
      <c r="D633" t="s">
        <v>152</v>
      </c>
      <c r="E633" s="20">
        <v>46107</v>
      </c>
      <c r="F633" s="21" t="s">
        <v>227</v>
      </c>
      <c r="G633" s="25"/>
      <c r="H633" s="21" t="s">
        <v>85</v>
      </c>
      <c r="I633" s="22">
        <v>76100</v>
      </c>
      <c r="J633" s="21" t="s">
        <v>86</v>
      </c>
      <c r="K633" s="23">
        <v>46200.8125</v>
      </c>
      <c r="L633" s="22">
        <v>1061</v>
      </c>
      <c r="M633" s="22">
        <v>5918</v>
      </c>
      <c r="N633" s="24">
        <v>1749.25</v>
      </c>
      <c r="O633" s="24">
        <v>3060</v>
      </c>
      <c r="P633" s="24">
        <v>5400</v>
      </c>
      <c r="Q633" s="21">
        <v>289</v>
      </c>
      <c r="R633" s="22">
        <v>13959</v>
      </c>
      <c r="S633" s="22">
        <v>33026</v>
      </c>
      <c r="T633" s="21">
        <v>5</v>
      </c>
      <c r="U633" s="21">
        <v>16</v>
      </c>
      <c r="V633" s="21">
        <v>45</v>
      </c>
      <c r="W633" s="23">
        <v>46275.625</v>
      </c>
      <c r="X633" s="25"/>
      <c r="Y633" s="21">
        <v>0</v>
      </c>
      <c r="Z633" s="26">
        <v>33205</v>
      </c>
      <c r="AA633">
        <v>1310.75</v>
      </c>
      <c r="AB633" s="18">
        <v>0.74932113763041308</v>
      </c>
      <c r="AC633" s="19">
        <v>1.749321137630413</v>
      </c>
      <c r="AD633" s="19">
        <v>0.77777777777777779</v>
      </c>
      <c r="AE633" s="19">
        <v>0.82962962962962961</v>
      </c>
    </row>
    <row r="634" spans="1:31">
      <c r="A634">
        <v>638</v>
      </c>
      <c r="B634" t="s">
        <v>180</v>
      </c>
      <c r="C634" t="s">
        <v>177</v>
      </c>
      <c r="D634" t="s">
        <v>178</v>
      </c>
      <c r="E634" s="27">
        <v>46107</v>
      </c>
      <c r="F634" s="28" t="s">
        <v>192</v>
      </c>
      <c r="G634" s="32"/>
      <c r="H634" s="28" t="s">
        <v>113</v>
      </c>
      <c r="I634" s="29">
        <v>70240</v>
      </c>
      <c r="J634" s="28" t="s">
        <v>114</v>
      </c>
      <c r="K634" s="30">
        <v>46185.75</v>
      </c>
      <c r="L634" s="28">
        <v>850</v>
      </c>
      <c r="M634" s="29">
        <v>3578</v>
      </c>
      <c r="N634" s="31">
        <v>1166.42</v>
      </c>
      <c r="O634" s="31">
        <v>2042.33</v>
      </c>
      <c r="P634" s="31">
        <v>3004.04</v>
      </c>
      <c r="Q634" s="28">
        <v>388</v>
      </c>
      <c r="R634" s="29">
        <v>12656</v>
      </c>
      <c r="S634" s="29">
        <v>31024</v>
      </c>
      <c r="T634" s="28">
        <v>4</v>
      </c>
      <c r="U634" s="28">
        <v>10</v>
      </c>
      <c r="V634" s="28">
        <v>17</v>
      </c>
      <c r="W634" s="30">
        <v>46275.5</v>
      </c>
      <c r="X634" s="32"/>
      <c r="Y634" s="28">
        <v>0</v>
      </c>
      <c r="Z634" s="33">
        <v>31222</v>
      </c>
      <c r="AA634">
        <v>875.90999999999985</v>
      </c>
      <c r="AB634" s="18">
        <v>0.75093876991135255</v>
      </c>
      <c r="AC634" s="19">
        <v>1.7509387699113526</v>
      </c>
      <c r="AD634" s="19">
        <v>1.6470588235294119</v>
      </c>
      <c r="AE634" s="19">
        <v>1.3725490196078434</v>
      </c>
    </row>
    <row r="635" spans="1:31">
      <c r="A635">
        <v>639</v>
      </c>
      <c r="B635" t="s">
        <v>151</v>
      </c>
      <c r="C635" t="s">
        <v>124</v>
      </c>
      <c r="D635" t="s">
        <v>152</v>
      </c>
      <c r="E635" s="20">
        <v>46107</v>
      </c>
      <c r="F635" s="21" t="s">
        <v>153</v>
      </c>
      <c r="G635" s="25"/>
      <c r="H635" s="21" t="s">
        <v>62</v>
      </c>
      <c r="I635" s="22">
        <v>71500</v>
      </c>
      <c r="J635" s="21" t="s">
        <v>63</v>
      </c>
      <c r="K635" s="23">
        <v>46190.5</v>
      </c>
      <c r="L635" s="21">
        <v>984</v>
      </c>
      <c r="M635" s="22">
        <v>4302</v>
      </c>
      <c r="N635" s="24">
        <v>532.79999999999995</v>
      </c>
      <c r="O635" s="24">
        <v>900.74</v>
      </c>
      <c r="P635" s="24">
        <v>1537.86</v>
      </c>
      <c r="Q635" s="21">
        <v>262</v>
      </c>
      <c r="R635" s="22">
        <v>10761</v>
      </c>
      <c r="S635" s="22">
        <v>26411</v>
      </c>
      <c r="T635" s="21">
        <v>6</v>
      </c>
      <c r="U635" s="21">
        <v>25</v>
      </c>
      <c r="V635" s="21">
        <v>58</v>
      </c>
      <c r="W635" s="23">
        <v>46275.583333333336</v>
      </c>
      <c r="X635" s="25"/>
      <c r="Y635" s="21">
        <v>0</v>
      </c>
      <c r="Z635" s="26">
        <v>26578</v>
      </c>
      <c r="AA635">
        <v>367.94000000000005</v>
      </c>
      <c r="AB635" s="18">
        <v>0.69057807807807825</v>
      </c>
      <c r="AC635" s="19">
        <v>1.6905780780780781</v>
      </c>
      <c r="AD635" s="19">
        <v>0.72413793103448265</v>
      </c>
      <c r="AE635" s="19">
        <v>1.0057471264367817</v>
      </c>
    </row>
    <row r="636" spans="1:31">
      <c r="A636">
        <v>640</v>
      </c>
      <c r="B636" t="s">
        <v>120</v>
      </c>
      <c r="C636" t="s">
        <v>121</v>
      </c>
      <c r="D636" t="s">
        <v>122</v>
      </c>
      <c r="E636" s="27">
        <v>46107</v>
      </c>
      <c r="F636" s="28" t="s">
        <v>123</v>
      </c>
      <c r="G636" s="32"/>
      <c r="H636" s="28" t="s">
        <v>91</v>
      </c>
      <c r="I636" s="29">
        <v>82500</v>
      </c>
      <c r="J636" s="28" t="s">
        <v>92</v>
      </c>
      <c r="K636" s="30">
        <v>46189.625</v>
      </c>
      <c r="L636" s="28">
        <v>867</v>
      </c>
      <c r="M636" s="29">
        <v>3856</v>
      </c>
      <c r="N636" s="31">
        <v>533.09</v>
      </c>
      <c r="O636" s="31">
        <v>918.95</v>
      </c>
      <c r="P636" s="31">
        <v>1401.42</v>
      </c>
      <c r="Q636" s="28">
        <v>249</v>
      </c>
      <c r="R636" s="29">
        <v>10644</v>
      </c>
      <c r="S636" s="29">
        <v>26250</v>
      </c>
      <c r="T636" s="28">
        <v>13</v>
      </c>
      <c r="U636" s="28">
        <v>24</v>
      </c>
      <c r="V636" s="28">
        <v>42</v>
      </c>
      <c r="W636" s="30">
        <v>46275.625</v>
      </c>
      <c r="X636" s="32"/>
      <c r="Y636" s="28">
        <v>0</v>
      </c>
      <c r="Z636" s="33">
        <v>26410</v>
      </c>
      <c r="AA636">
        <v>385.86</v>
      </c>
      <c r="AB636" s="18">
        <v>0.72381774184471659</v>
      </c>
      <c r="AC636" s="19">
        <v>1.7238177418447167</v>
      </c>
      <c r="AD636" s="19">
        <v>2.1666666666666665</v>
      </c>
      <c r="AE636" s="19">
        <v>1.3333333333333333</v>
      </c>
    </row>
    <row r="637" spans="1:31">
      <c r="A637">
        <v>641</v>
      </c>
      <c r="B637" t="s">
        <v>185</v>
      </c>
      <c r="C637" t="s">
        <v>58</v>
      </c>
      <c r="D637" t="s">
        <v>60</v>
      </c>
      <c r="E637" s="20">
        <v>46107</v>
      </c>
      <c r="F637" s="21" t="s">
        <v>210</v>
      </c>
      <c r="G637" s="25"/>
      <c r="H637" s="21" t="s">
        <v>91</v>
      </c>
      <c r="I637" s="22">
        <v>82500</v>
      </c>
      <c r="J637" s="21" t="s">
        <v>92</v>
      </c>
      <c r="K637" s="23">
        <v>46198.666666666664</v>
      </c>
      <c r="L637" s="21">
        <v>992</v>
      </c>
      <c r="M637" s="22">
        <v>4813</v>
      </c>
      <c r="N637" s="24">
        <v>702</v>
      </c>
      <c r="O637" s="24">
        <v>1386</v>
      </c>
      <c r="P637" s="24">
        <v>2414.35</v>
      </c>
      <c r="Q637" s="21">
        <v>204</v>
      </c>
      <c r="R637" s="22">
        <v>10894</v>
      </c>
      <c r="S637" s="22">
        <v>26120</v>
      </c>
      <c r="T637" s="21">
        <v>5</v>
      </c>
      <c r="U637" s="21">
        <v>23</v>
      </c>
      <c r="V637" s="21">
        <v>49</v>
      </c>
      <c r="W637" s="23">
        <v>46275.625</v>
      </c>
      <c r="X637" s="25"/>
      <c r="Y637" s="21">
        <v>0</v>
      </c>
      <c r="Z637" s="26">
        <v>26280</v>
      </c>
      <c r="AA637">
        <v>684</v>
      </c>
      <c r="AB637" s="18">
        <v>0.97435897435897434</v>
      </c>
      <c r="AC637" s="19">
        <v>1.9743589743589745</v>
      </c>
      <c r="AD637" s="19">
        <v>0.7142857142857143</v>
      </c>
      <c r="AE637" s="19">
        <v>1.0952380952380953</v>
      </c>
    </row>
    <row r="638" spans="1:31">
      <c r="A638">
        <v>642</v>
      </c>
      <c r="B638" t="s">
        <v>167</v>
      </c>
      <c r="C638" t="s">
        <v>168</v>
      </c>
      <c r="D638" t="s">
        <v>169</v>
      </c>
      <c r="E638" s="27">
        <v>46107</v>
      </c>
      <c r="F638" s="28" t="s">
        <v>170</v>
      </c>
      <c r="G638" s="32"/>
      <c r="H638" s="28" t="s">
        <v>171</v>
      </c>
      <c r="I638" s="29">
        <v>69176</v>
      </c>
      <c r="J638" s="28" t="s">
        <v>172</v>
      </c>
      <c r="K638" s="30">
        <v>46192.875</v>
      </c>
      <c r="L638" s="28">
        <v>850</v>
      </c>
      <c r="M638" s="29">
        <v>3996</v>
      </c>
      <c r="N638" s="31">
        <v>615.61</v>
      </c>
      <c r="O638" s="31">
        <v>1003.61</v>
      </c>
      <c r="P638" s="31">
        <v>1550</v>
      </c>
      <c r="Q638" s="28">
        <v>206</v>
      </c>
      <c r="R638" s="29">
        <v>10606</v>
      </c>
      <c r="S638" s="29">
        <v>26022</v>
      </c>
      <c r="T638" s="28">
        <v>4</v>
      </c>
      <c r="U638" s="28">
        <v>15</v>
      </c>
      <c r="V638" s="28">
        <v>33</v>
      </c>
      <c r="W638" s="30">
        <v>46275.625</v>
      </c>
      <c r="X638" s="32"/>
      <c r="Y638" s="28">
        <v>0</v>
      </c>
      <c r="Z638" s="33">
        <v>26173</v>
      </c>
      <c r="AA638">
        <v>388</v>
      </c>
      <c r="AB638" s="18">
        <v>0.63026916391871479</v>
      </c>
      <c r="AC638" s="19">
        <v>1.6302691639187148</v>
      </c>
      <c r="AD638" s="19">
        <v>0.84848484848484851</v>
      </c>
      <c r="AE638" s="19">
        <v>1.0606060606060606</v>
      </c>
    </row>
    <row r="639" spans="1:31">
      <c r="A639">
        <v>643</v>
      </c>
      <c r="B639" t="s">
        <v>51</v>
      </c>
      <c r="C639" t="s">
        <v>133</v>
      </c>
      <c r="D639" t="s">
        <v>53</v>
      </c>
      <c r="E639" s="20">
        <v>46107</v>
      </c>
      <c r="F639" s="21" t="s">
        <v>166</v>
      </c>
      <c r="G639" s="25"/>
      <c r="H639" s="21" t="s">
        <v>135</v>
      </c>
      <c r="I639" s="22">
        <v>49800</v>
      </c>
      <c r="J639" s="21" t="s">
        <v>136</v>
      </c>
      <c r="K639" s="23">
        <v>46191.833333333336</v>
      </c>
      <c r="L639" s="21">
        <v>481</v>
      </c>
      <c r="M639" s="22">
        <v>3192</v>
      </c>
      <c r="N639" s="24">
        <v>1596.53</v>
      </c>
      <c r="O639" s="24">
        <v>2534</v>
      </c>
      <c r="P639" s="24">
        <v>4002</v>
      </c>
      <c r="Q639" s="21">
        <v>275</v>
      </c>
      <c r="R639" s="22">
        <v>10414</v>
      </c>
      <c r="S639" s="22">
        <v>25757</v>
      </c>
      <c r="T639" s="21">
        <v>3</v>
      </c>
      <c r="U639" s="21">
        <v>7</v>
      </c>
      <c r="V639" s="21">
        <v>17</v>
      </c>
      <c r="W639" s="23">
        <v>46275.541666666664</v>
      </c>
      <c r="X639" s="25"/>
      <c r="Y639" s="21">
        <v>0</v>
      </c>
      <c r="Z639" s="26">
        <v>25932</v>
      </c>
      <c r="AA639">
        <v>937.47</v>
      </c>
      <c r="AB639" s="18">
        <v>0.58719222313392172</v>
      </c>
      <c r="AC639" s="19">
        <v>1.5871922231339217</v>
      </c>
      <c r="AD639" s="19">
        <v>1.2352941176470589</v>
      </c>
      <c r="AE639" s="19">
        <v>0.96078431372549034</v>
      </c>
    </row>
    <row r="640" spans="1:31">
      <c r="A640">
        <v>644</v>
      </c>
      <c r="B640" t="s">
        <v>129</v>
      </c>
      <c r="C640" t="s">
        <v>137</v>
      </c>
      <c r="D640" t="s">
        <v>131</v>
      </c>
      <c r="E640" s="27">
        <v>46107</v>
      </c>
      <c r="F640" s="28" t="s">
        <v>196</v>
      </c>
      <c r="G640" s="32"/>
      <c r="H640" s="28" t="s">
        <v>74</v>
      </c>
      <c r="I640" s="29">
        <v>80000</v>
      </c>
      <c r="J640" s="28" t="s">
        <v>75</v>
      </c>
      <c r="K640" s="30">
        <v>46195.5</v>
      </c>
      <c r="L640" s="28">
        <v>771</v>
      </c>
      <c r="M640" s="29">
        <v>4025</v>
      </c>
      <c r="N640" s="31">
        <v>1000</v>
      </c>
      <c r="O640" s="31">
        <v>1741.46</v>
      </c>
      <c r="P640" s="31">
        <v>2934.36</v>
      </c>
      <c r="Q640" s="28">
        <v>188</v>
      </c>
      <c r="R640" s="29">
        <v>9743</v>
      </c>
      <c r="S640" s="29">
        <v>24472</v>
      </c>
      <c r="T640" s="28">
        <v>2</v>
      </c>
      <c r="U640" s="28">
        <v>14</v>
      </c>
      <c r="V640" s="28">
        <v>35</v>
      </c>
      <c r="W640" s="30">
        <v>46275.583333333336</v>
      </c>
      <c r="X640" s="32"/>
      <c r="Y640" s="28">
        <v>0</v>
      </c>
      <c r="Z640" s="33">
        <v>24647</v>
      </c>
      <c r="AA640">
        <v>741.46</v>
      </c>
      <c r="AB640" s="18">
        <v>0.74146000000000001</v>
      </c>
      <c r="AC640" s="19">
        <v>1.74146</v>
      </c>
      <c r="AD640" s="19">
        <v>0.4</v>
      </c>
      <c r="AE640" s="19">
        <v>0.93333333333333335</v>
      </c>
    </row>
    <row r="641" spans="1:31">
      <c r="A641">
        <v>645</v>
      </c>
      <c r="B641" t="s">
        <v>58</v>
      </c>
      <c r="C641" t="s">
        <v>183</v>
      </c>
      <c r="D641" t="s">
        <v>60</v>
      </c>
      <c r="E641" s="20">
        <v>46107</v>
      </c>
      <c r="F641" s="21" t="s">
        <v>184</v>
      </c>
      <c r="G641" s="25"/>
      <c r="H641" s="21" t="s">
        <v>146</v>
      </c>
      <c r="I641" s="22">
        <v>30000</v>
      </c>
      <c r="J641" s="21" t="s">
        <v>147</v>
      </c>
      <c r="K641" s="23">
        <v>46193.666666666664</v>
      </c>
      <c r="L641" s="21">
        <v>517</v>
      </c>
      <c r="M641" s="22">
        <v>2722</v>
      </c>
      <c r="N641" s="24">
        <v>668.25</v>
      </c>
      <c r="O641" s="24">
        <v>940.5</v>
      </c>
      <c r="P641" s="24">
        <v>1282.3499999999999</v>
      </c>
      <c r="Q641" s="21">
        <v>268</v>
      </c>
      <c r="R641" s="22">
        <v>9803</v>
      </c>
      <c r="S641" s="22">
        <v>23857</v>
      </c>
      <c r="T641" s="21">
        <v>2</v>
      </c>
      <c r="U641" s="21">
        <v>9</v>
      </c>
      <c r="V641" s="21">
        <v>27</v>
      </c>
      <c r="W641" s="23">
        <v>46275.5</v>
      </c>
      <c r="X641" s="25"/>
      <c r="Y641" s="21">
        <v>0</v>
      </c>
      <c r="Z641" s="26">
        <v>24013</v>
      </c>
      <c r="AA641">
        <v>272.25</v>
      </c>
      <c r="AB641" s="18">
        <v>0.40740740740740738</v>
      </c>
      <c r="AC641" s="19">
        <v>1.4074074074074074</v>
      </c>
      <c r="AD641" s="19">
        <v>0.51851851851851849</v>
      </c>
      <c r="AE641" s="19">
        <v>0.77777777777777779</v>
      </c>
    </row>
    <row r="642" spans="1:31">
      <c r="A642">
        <v>646</v>
      </c>
      <c r="B642" t="s">
        <v>180</v>
      </c>
      <c r="C642" t="s">
        <v>181</v>
      </c>
      <c r="D642" t="s">
        <v>178</v>
      </c>
      <c r="E642" s="27">
        <v>46107</v>
      </c>
      <c r="F642" s="28" t="s">
        <v>182</v>
      </c>
      <c r="G642" s="32"/>
      <c r="H642" s="28" t="s">
        <v>118</v>
      </c>
      <c r="I642" s="29">
        <v>67000</v>
      </c>
      <c r="J642" s="28" t="s">
        <v>119</v>
      </c>
      <c r="K642" s="30">
        <v>46192.5</v>
      </c>
      <c r="L642" s="28">
        <v>742</v>
      </c>
      <c r="M642" s="29">
        <v>3785</v>
      </c>
      <c r="N642" s="31">
        <v>1050</v>
      </c>
      <c r="O642" s="31">
        <v>1900</v>
      </c>
      <c r="P642" s="31">
        <v>3262.41</v>
      </c>
      <c r="Q642" s="28">
        <v>234</v>
      </c>
      <c r="R642" s="29">
        <v>9621</v>
      </c>
      <c r="S642" s="29">
        <v>23673</v>
      </c>
      <c r="T642" s="28">
        <v>7</v>
      </c>
      <c r="U642" s="28">
        <v>15</v>
      </c>
      <c r="V642" s="28">
        <v>30</v>
      </c>
      <c r="W642" s="30">
        <v>46275.5</v>
      </c>
      <c r="X642" s="32"/>
      <c r="Y642" s="28">
        <v>1</v>
      </c>
      <c r="Z642" s="33">
        <v>23831</v>
      </c>
      <c r="AA642">
        <v>850</v>
      </c>
      <c r="AB642" s="18">
        <v>0.80952380952380953</v>
      </c>
      <c r="AC642" s="19">
        <v>1.8095238095238095</v>
      </c>
      <c r="AD642" s="19">
        <v>1.6333333333333333</v>
      </c>
      <c r="AE642" s="19">
        <v>1.1666666666666667</v>
      </c>
    </row>
    <row r="643" spans="1:31">
      <c r="A643">
        <v>647</v>
      </c>
      <c r="B643" t="s">
        <v>151</v>
      </c>
      <c r="C643" t="s">
        <v>154</v>
      </c>
      <c r="D643" t="s">
        <v>152</v>
      </c>
      <c r="E643" s="20">
        <v>46107</v>
      </c>
      <c r="F643" s="21" t="s">
        <v>200</v>
      </c>
      <c r="G643" s="25"/>
      <c r="H643" s="21" t="s">
        <v>62</v>
      </c>
      <c r="I643" s="22">
        <v>71500</v>
      </c>
      <c r="J643" s="21" t="s">
        <v>63</v>
      </c>
      <c r="K643" s="23">
        <v>46196.5</v>
      </c>
      <c r="L643" s="22">
        <v>1036</v>
      </c>
      <c r="M643" s="22">
        <v>4574</v>
      </c>
      <c r="N643" s="24">
        <v>496.83</v>
      </c>
      <c r="O643" s="24">
        <v>807.81</v>
      </c>
      <c r="P643" s="24">
        <v>1206.46</v>
      </c>
      <c r="Q643" s="21">
        <v>210</v>
      </c>
      <c r="R643" s="22">
        <v>9444</v>
      </c>
      <c r="S643" s="22">
        <v>23553</v>
      </c>
      <c r="T643" s="21">
        <v>7</v>
      </c>
      <c r="U643" s="21">
        <v>18</v>
      </c>
      <c r="V643" s="21">
        <v>44</v>
      </c>
      <c r="W643" s="23">
        <v>46275.583333333336</v>
      </c>
      <c r="X643" s="25"/>
      <c r="Y643" s="21">
        <v>0</v>
      </c>
      <c r="Z643" s="26">
        <v>23719</v>
      </c>
      <c r="AA643">
        <v>310.97999999999996</v>
      </c>
      <c r="AB643" s="18">
        <v>0.62592838596703093</v>
      </c>
      <c r="AC643" s="19">
        <v>1.6259283859670308</v>
      </c>
      <c r="AD643" s="19">
        <v>1.1136363636363638</v>
      </c>
      <c r="AE643" s="19">
        <v>0.95454545454545459</v>
      </c>
    </row>
    <row r="644" spans="1:31">
      <c r="A644">
        <v>648</v>
      </c>
      <c r="B644" t="s">
        <v>125</v>
      </c>
      <c r="C644" t="s">
        <v>120</v>
      </c>
      <c r="D644" t="s">
        <v>122</v>
      </c>
      <c r="E644" s="27">
        <v>46107</v>
      </c>
      <c r="F644" s="28" t="s">
        <v>216</v>
      </c>
      <c r="G644" s="32"/>
      <c r="H644" s="28" t="s">
        <v>127</v>
      </c>
      <c r="I644" s="29">
        <v>68756</v>
      </c>
      <c r="J644" s="28" t="s">
        <v>128</v>
      </c>
      <c r="K644" s="30">
        <v>46199.625</v>
      </c>
      <c r="L644" s="28">
        <v>912</v>
      </c>
      <c r="M644" s="29">
        <v>4499</v>
      </c>
      <c r="N644" s="31">
        <v>630.48</v>
      </c>
      <c r="O644" s="31">
        <v>1179</v>
      </c>
      <c r="P644" s="31">
        <v>2207.5</v>
      </c>
      <c r="Q644" s="28">
        <v>310</v>
      </c>
      <c r="R644" s="29">
        <v>10433</v>
      </c>
      <c r="S644" s="29">
        <v>23555</v>
      </c>
      <c r="T644" s="28">
        <v>6</v>
      </c>
      <c r="U644" s="28">
        <v>13</v>
      </c>
      <c r="V644" s="28">
        <v>28</v>
      </c>
      <c r="W644" s="30">
        <v>46275.625</v>
      </c>
      <c r="X644" s="32"/>
      <c r="Y644" s="28">
        <v>0</v>
      </c>
      <c r="Z644" s="33">
        <v>23704</v>
      </c>
      <c r="AA644">
        <v>548.52</v>
      </c>
      <c r="AB644" s="18">
        <v>0.87000380662352483</v>
      </c>
      <c r="AC644" s="19">
        <v>1.8700038066235249</v>
      </c>
      <c r="AD644" s="19">
        <v>1.5</v>
      </c>
      <c r="AE644" s="19">
        <v>1.0833333333333333</v>
      </c>
    </row>
    <row r="645" spans="1:31">
      <c r="A645">
        <v>649</v>
      </c>
      <c r="B645" t="s">
        <v>129</v>
      </c>
      <c r="C645" t="s">
        <v>130</v>
      </c>
      <c r="D645" t="s">
        <v>131</v>
      </c>
      <c r="E645" s="20">
        <v>46107</v>
      </c>
      <c r="F645" s="21" t="s">
        <v>132</v>
      </c>
      <c r="G645" s="25"/>
      <c r="H645" s="21" t="s">
        <v>68</v>
      </c>
      <c r="I645" s="22">
        <v>76416</v>
      </c>
      <c r="J645" s="21" t="s">
        <v>69</v>
      </c>
      <c r="K645" s="23">
        <v>46189.833333333336</v>
      </c>
      <c r="L645" s="21">
        <v>900</v>
      </c>
      <c r="M645" s="22">
        <v>3943</v>
      </c>
      <c r="N645" s="24">
        <v>679.5</v>
      </c>
      <c r="O645" s="24">
        <v>1112.31</v>
      </c>
      <c r="P645" s="24">
        <v>1870.63</v>
      </c>
      <c r="Q645" s="21">
        <v>237</v>
      </c>
      <c r="R645" s="22">
        <v>9457</v>
      </c>
      <c r="S645" s="22">
        <v>23337</v>
      </c>
      <c r="T645" s="21">
        <v>4</v>
      </c>
      <c r="U645" s="21">
        <v>14</v>
      </c>
      <c r="V645" s="21">
        <v>34</v>
      </c>
      <c r="W645" s="23">
        <v>46275.583333333336</v>
      </c>
      <c r="X645" s="25"/>
      <c r="Y645" s="21">
        <v>0</v>
      </c>
      <c r="Z645" s="26">
        <v>23509</v>
      </c>
      <c r="AA645">
        <v>432.80999999999995</v>
      </c>
      <c r="AB645" s="18">
        <v>0.6369536423841059</v>
      </c>
      <c r="AC645" s="19">
        <v>1.6369536423841058</v>
      </c>
      <c r="AD645" s="19">
        <v>0.82352941176470595</v>
      </c>
      <c r="AE645" s="19">
        <v>0.96078431372549034</v>
      </c>
    </row>
    <row r="646" spans="1:31">
      <c r="A646">
        <v>650</v>
      </c>
      <c r="B646" t="s">
        <v>143</v>
      </c>
      <c r="C646" t="s">
        <v>149</v>
      </c>
      <c r="D646" t="s">
        <v>144</v>
      </c>
      <c r="E646" s="27">
        <v>46107</v>
      </c>
      <c r="F646" s="28" t="s">
        <v>199</v>
      </c>
      <c r="G646" s="32"/>
      <c r="H646" s="28" t="s">
        <v>146</v>
      </c>
      <c r="I646" s="29">
        <v>30000</v>
      </c>
      <c r="J646" s="28" t="s">
        <v>147</v>
      </c>
      <c r="K646" s="30">
        <v>46196.791666666664</v>
      </c>
      <c r="L646" s="28">
        <v>587</v>
      </c>
      <c r="M646" s="29">
        <v>2550</v>
      </c>
      <c r="N646" s="31">
        <v>426.42</v>
      </c>
      <c r="O646" s="31">
        <v>618.75</v>
      </c>
      <c r="P646" s="31">
        <v>958.98</v>
      </c>
      <c r="Q646" s="28">
        <v>195</v>
      </c>
      <c r="R646" s="29">
        <v>9338</v>
      </c>
      <c r="S646" s="29">
        <v>23339</v>
      </c>
      <c r="T646" s="28">
        <v>5</v>
      </c>
      <c r="U646" s="28">
        <v>19</v>
      </c>
      <c r="V646" s="28">
        <v>35</v>
      </c>
      <c r="W646" s="30">
        <v>46275.5</v>
      </c>
      <c r="X646" s="32"/>
      <c r="Y646" s="28">
        <v>0</v>
      </c>
      <c r="Z646" s="33">
        <v>23491</v>
      </c>
      <c r="AA646">
        <v>192.32999999999998</v>
      </c>
      <c r="AB646" s="18">
        <v>0.451034191642043</v>
      </c>
      <c r="AC646" s="19">
        <v>1.4510341916420431</v>
      </c>
      <c r="AD646" s="19">
        <v>1</v>
      </c>
      <c r="AE646" s="19">
        <v>1.2666666666666666</v>
      </c>
    </row>
    <row r="647" spans="1:31">
      <c r="A647">
        <v>651</v>
      </c>
      <c r="B647" t="s">
        <v>133</v>
      </c>
      <c r="C647" t="s">
        <v>124</v>
      </c>
      <c r="D647" t="s">
        <v>53</v>
      </c>
      <c r="E647" s="20">
        <v>46107</v>
      </c>
      <c r="F647" s="21" t="s">
        <v>134</v>
      </c>
      <c r="G647" s="25"/>
      <c r="H647" s="21" t="s">
        <v>135</v>
      </c>
      <c r="I647" s="22">
        <v>49800</v>
      </c>
      <c r="J647" s="21" t="s">
        <v>136</v>
      </c>
      <c r="K647" s="23">
        <v>46184.875</v>
      </c>
      <c r="L647" s="21">
        <v>420</v>
      </c>
      <c r="M647" s="22">
        <v>2117</v>
      </c>
      <c r="N647" s="24">
        <v>360</v>
      </c>
      <c r="O647" s="24">
        <v>628.48</v>
      </c>
      <c r="P647" s="24">
        <v>1097.52</v>
      </c>
      <c r="Q647" s="21">
        <v>218</v>
      </c>
      <c r="R647" s="22">
        <v>9193</v>
      </c>
      <c r="S647" s="22">
        <v>22968</v>
      </c>
      <c r="T647" s="21">
        <v>3</v>
      </c>
      <c r="U647" s="21">
        <v>8</v>
      </c>
      <c r="V647" s="21">
        <v>16</v>
      </c>
      <c r="W647" s="23">
        <v>46275.541666666664</v>
      </c>
      <c r="X647" s="25"/>
      <c r="Y647" s="21">
        <v>0</v>
      </c>
      <c r="Z647" s="26">
        <v>23132</v>
      </c>
      <c r="AA647">
        <v>268.48</v>
      </c>
      <c r="AB647" s="18">
        <v>0.74577777777777787</v>
      </c>
      <c r="AC647" s="19">
        <v>1.7457777777777779</v>
      </c>
      <c r="AD647" s="19">
        <v>1.3125</v>
      </c>
      <c r="AE647" s="19">
        <v>1.1666666666666667</v>
      </c>
    </row>
    <row r="648" spans="1:31">
      <c r="A648">
        <v>652</v>
      </c>
      <c r="B648" t="s">
        <v>115</v>
      </c>
      <c r="C648" t="s">
        <v>116</v>
      </c>
      <c r="D648" t="s">
        <v>111</v>
      </c>
      <c r="E648" s="27">
        <v>46107</v>
      </c>
      <c r="F648" s="28" t="s">
        <v>117</v>
      </c>
      <c r="G648" s="32"/>
      <c r="H648" s="28" t="s">
        <v>118</v>
      </c>
      <c r="I648" s="29">
        <v>67000</v>
      </c>
      <c r="J648" s="28" t="s">
        <v>119</v>
      </c>
      <c r="K648" s="30">
        <v>46188.5</v>
      </c>
      <c r="L648" s="28">
        <v>674</v>
      </c>
      <c r="M648" s="29">
        <v>2996</v>
      </c>
      <c r="N648" s="31">
        <v>389.07</v>
      </c>
      <c r="O648" s="31">
        <v>661.38</v>
      </c>
      <c r="P648" s="31">
        <v>1108</v>
      </c>
      <c r="Q648" s="28">
        <v>245</v>
      </c>
      <c r="R648" s="29">
        <v>9167</v>
      </c>
      <c r="S648" s="29">
        <v>22456</v>
      </c>
      <c r="T648" s="28">
        <v>7</v>
      </c>
      <c r="U648" s="28">
        <v>13</v>
      </c>
      <c r="V648" s="28">
        <v>22</v>
      </c>
      <c r="W648" s="30">
        <v>46275.5</v>
      </c>
      <c r="X648" s="32"/>
      <c r="Y648" s="28">
        <v>0</v>
      </c>
      <c r="Z648" s="33">
        <v>22618</v>
      </c>
      <c r="AA648">
        <v>272.31</v>
      </c>
      <c r="AB648" s="18">
        <v>0.69989976096846329</v>
      </c>
      <c r="AC648" s="19">
        <v>1.6998997609684632</v>
      </c>
      <c r="AD648" s="19">
        <v>2.2272727272727275</v>
      </c>
      <c r="AE648" s="19">
        <v>1.3787878787878787</v>
      </c>
    </row>
    <row r="649" spans="1:31">
      <c r="A649">
        <v>653</v>
      </c>
      <c r="B649" t="s">
        <v>106</v>
      </c>
      <c r="C649" t="s">
        <v>107</v>
      </c>
      <c r="D649" t="s">
        <v>104</v>
      </c>
      <c r="E649" s="20">
        <v>46107</v>
      </c>
      <c r="F649" s="21" t="s">
        <v>108</v>
      </c>
      <c r="G649" s="25"/>
      <c r="H649" s="21" t="s">
        <v>79</v>
      </c>
      <c r="I649" s="22">
        <v>71000</v>
      </c>
      <c r="J649" s="21" t="s">
        <v>80</v>
      </c>
      <c r="K649" s="23">
        <v>46188.5</v>
      </c>
      <c r="L649" s="21">
        <v>885</v>
      </c>
      <c r="M649" s="22">
        <v>3827</v>
      </c>
      <c r="N649" s="24">
        <v>342.79</v>
      </c>
      <c r="O649" s="24">
        <v>585</v>
      </c>
      <c r="P649" s="24">
        <v>927</v>
      </c>
      <c r="Q649" s="21">
        <v>229</v>
      </c>
      <c r="R649" s="22">
        <v>9433</v>
      </c>
      <c r="S649" s="22">
        <v>22465</v>
      </c>
      <c r="T649" s="21">
        <v>8</v>
      </c>
      <c r="U649" s="21">
        <v>20</v>
      </c>
      <c r="V649" s="21">
        <v>48</v>
      </c>
      <c r="W649" s="23">
        <v>46275.625</v>
      </c>
      <c r="X649" s="25"/>
      <c r="Y649" s="21">
        <v>0</v>
      </c>
      <c r="Z649" s="26">
        <v>22603</v>
      </c>
      <c r="AA649">
        <v>242.20999999999998</v>
      </c>
      <c r="AB649" s="18">
        <v>0.70658420607368932</v>
      </c>
      <c r="AC649" s="19">
        <v>1.7065842060736893</v>
      </c>
      <c r="AD649" s="19">
        <v>1.1666666666666667</v>
      </c>
      <c r="AE649" s="19">
        <v>0.97222222222222232</v>
      </c>
    </row>
    <row r="650" spans="1:31">
      <c r="A650">
        <v>654</v>
      </c>
      <c r="B650" t="s">
        <v>102</v>
      </c>
      <c r="C650" t="s">
        <v>103</v>
      </c>
      <c r="D650" t="s">
        <v>104</v>
      </c>
      <c r="E650" s="27">
        <v>46107</v>
      </c>
      <c r="F650" s="28" t="s">
        <v>105</v>
      </c>
      <c r="G650" s="32"/>
      <c r="H650" s="28" t="s">
        <v>85</v>
      </c>
      <c r="I650" s="29">
        <v>76100</v>
      </c>
      <c r="J650" s="28" t="s">
        <v>86</v>
      </c>
      <c r="K650" s="30">
        <v>46188.75</v>
      </c>
      <c r="L650" s="28">
        <v>944</v>
      </c>
      <c r="M650" s="29">
        <v>4060</v>
      </c>
      <c r="N650" s="31">
        <v>304.11</v>
      </c>
      <c r="O650" s="31">
        <v>507.87</v>
      </c>
      <c r="P650" s="31">
        <v>806.36</v>
      </c>
      <c r="Q650" s="28">
        <v>266</v>
      </c>
      <c r="R650" s="29">
        <v>9078</v>
      </c>
      <c r="S650" s="29">
        <v>22222</v>
      </c>
      <c r="T650" s="28">
        <v>9</v>
      </c>
      <c r="U650" s="28">
        <v>21</v>
      </c>
      <c r="V650" s="28">
        <v>51</v>
      </c>
      <c r="W650" s="30">
        <v>46275.625</v>
      </c>
      <c r="X650" s="32"/>
      <c r="Y650" s="28">
        <v>1</v>
      </c>
      <c r="Z650" s="33">
        <v>22371</v>
      </c>
      <c r="AA650">
        <v>203.76</v>
      </c>
      <c r="AB650" s="18">
        <v>0.67002071618822134</v>
      </c>
      <c r="AC650" s="19">
        <v>1.6700207161882212</v>
      </c>
      <c r="AD650" s="19">
        <v>1.2352941176470589</v>
      </c>
      <c r="AE650" s="19">
        <v>0.96078431372549022</v>
      </c>
    </row>
    <row r="651" spans="1:31">
      <c r="A651">
        <v>655</v>
      </c>
      <c r="B651" t="s">
        <v>103</v>
      </c>
      <c r="C651" t="s">
        <v>106</v>
      </c>
      <c r="D651" t="s">
        <v>104</v>
      </c>
      <c r="E651" s="20">
        <v>46107</v>
      </c>
      <c r="F651" s="21" t="s">
        <v>221</v>
      </c>
      <c r="G651" s="25"/>
      <c r="H651" s="21" t="s">
        <v>135</v>
      </c>
      <c r="I651" s="22">
        <v>49800</v>
      </c>
      <c r="J651" s="21" t="s">
        <v>136</v>
      </c>
      <c r="K651" s="23">
        <v>46199.791666666664</v>
      </c>
      <c r="L651" s="21">
        <v>560</v>
      </c>
      <c r="M651" s="22">
        <v>3211</v>
      </c>
      <c r="N651" s="24">
        <v>960</v>
      </c>
      <c r="O651" s="24">
        <v>1448.25</v>
      </c>
      <c r="P651" s="24">
        <v>2554.66</v>
      </c>
      <c r="Q651" s="21">
        <v>236</v>
      </c>
      <c r="R651" s="22">
        <v>8873</v>
      </c>
      <c r="S651" s="22">
        <v>22188</v>
      </c>
      <c r="T651" s="21">
        <v>4</v>
      </c>
      <c r="U651" s="21">
        <v>11</v>
      </c>
      <c r="V651" s="21">
        <v>32</v>
      </c>
      <c r="W651" s="23">
        <v>46275.541666666664</v>
      </c>
      <c r="X651" s="25"/>
      <c r="Y651" s="21">
        <v>0</v>
      </c>
      <c r="Z651" s="26">
        <v>22353</v>
      </c>
      <c r="AA651">
        <v>488.25</v>
      </c>
      <c r="AB651" s="18">
        <v>0.50859374999999996</v>
      </c>
      <c r="AC651" s="19">
        <v>1.50859375</v>
      </c>
      <c r="AD651" s="19">
        <v>0.875</v>
      </c>
      <c r="AE651" s="19">
        <v>0.80208333333333337</v>
      </c>
    </row>
    <row r="652" spans="1:31">
      <c r="A652">
        <v>656</v>
      </c>
      <c r="B652" t="s">
        <v>142</v>
      </c>
      <c r="C652" t="s">
        <v>143</v>
      </c>
      <c r="D652" t="s">
        <v>144</v>
      </c>
      <c r="E652" s="27">
        <v>46107</v>
      </c>
      <c r="F652" s="28" t="s">
        <v>145</v>
      </c>
      <c r="G652" s="32"/>
      <c r="H652" s="28" t="s">
        <v>146</v>
      </c>
      <c r="I652" s="29">
        <v>30000</v>
      </c>
      <c r="J652" s="28" t="s">
        <v>147</v>
      </c>
      <c r="K652" s="30">
        <v>46190.791666666664</v>
      </c>
      <c r="L652" s="28">
        <v>531</v>
      </c>
      <c r="M652" s="29">
        <v>2527</v>
      </c>
      <c r="N652" s="31">
        <v>350.98</v>
      </c>
      <c r="O652" s="31">
        <v>600.79999999999995</v>
      </c>
      <c r="P652" s="31">
        <v>956.42</v>
      </c>
      <c r="Q652" s="28">
        <v>191</v>
      </c>
      <c r="R652" s="29">
        <v>8829</v>
      </c>
      <c r="S652" s="29">
        <v>21975</v>
      </c>
      <c r="T652" s="28">
        <v>2</v>
      </c>
      <c r="U652" s="28">
        <v>4</v>
      </c>
      <c r="V652" s="28">
        <v>15</v>
      </c>
      <c r="W652" s="30">
        <v>46275.5</v>
      </c>
      <c r="X652" s="32"/>
      <c r="Y652" s="28">
        <v>0</v>
      </c>
      <c r="Z652" s="33">
        <v>22122</v>
      </c>
      <c r="AA652">
        <v>249.81999999999994</v>
      </c>
      <c r="AB652" s="18">
        <v>0.71177844891446784</v>
      </c>
      <c r="AC652" s="19">
        <v>1.7117784489144678</v>
      </c>
      <c r="AD652" s="19">
        <v>0.93333333333333335</v>
      </c>
      <c r="AE652" s="19">
        <v>0.62222222222222223</v>
      </c>
    </row>
    <row r="653" spans="1:31">
      <c r="A653">
        <v>657</v>
      </c>
      <c r="B653" t="s">
        <v>138</v>
      </c>
      <c r="C653" t="s">
        <v>129</v>
      </c>
      <c r="D653" t="s">
        <v>131</v>
      </c>
      <c r="E653" s="20">
        <v>46107</v>
      </c>
      <c r="F653" s="21" t="s">
        <v>226</v>
      </c>
      <c r="G653" s="25"/>
      <c r="H653" s="21" t="s">
        <v>74</v>
      </c>
      <c r="I653" s="22">
        <v>80000</v>
      </c>
      <c r="J653" s="21" t="s">
        <v>75</v>
      </c>
      <c r="K653" s="23">
        <v>46200.875</v>
      </c>
      <c r="L653" s="21">
        <v>757</v>
      </c>
      <c r="M653" s="22">
        <v>3378</v>
      </c>
      <c r="N653" s="24">
        <v>719.1</v>
      </c>
      <c r="O653" s="24">
        <v>1190</v>
      </c>
      <c r="P653" s="24">
        <v>1960</v>
      </c>
      <c r="Q653" s="21">
        <v>217</v>
      </c>
      <c r="R653" s="22">
        <v>9091</v>
      </c>
      <c r="S653" s="22">
        <v>21950</v>
      </c>
      <c r="T653" s="21">
        <v>7</v>
      </c>
      <c r="U653" s="21">
        <v>23</v>
      </c>
      <c r="V653" s="21">
        <v>35</v>
      </c>
      <c r="W653" s="23">
        <v>46275.583333333336</v>
      </c>
      <c r="X653" s="25"/>
      <c r="Y653" s="21">
        <v>1</v>
      </c>
      <c r="Z653" s="26">
        <v>22108</v>
      </c>
      <c r="AA653">
        <v>470.9</v>
      </c>
      <c r="AB653" s="18">
        <v>0.65484633569739947</v>
      </c>
      <c r="AC653" s="19">
        <v>1.6548463356973995</v>
      </c>
      <c r="AD653" s="19">
        <v>1.4</v>
      </c>
      <c r="AE653" s="19">
        <v>1.5333333333333334</v>
      </c>
    </row>
    <row r="654" spans="1:31">
      <c r="A654">
        <v>658</v>
      </c>
      <c r="B654" t="s">
        <v>120</v>
      </c>
      <c r="C654" t="s">
        <v>124</v>
      </c>
      <c r="D654" t="s">
        <v>122</v>
      </c>
      <c r="E654" s="27">
        <v>46107</v>
      </c>
      <c r="F654" s="28" t="s">
        <v>195</v>
      </c>
      <c r="G654" s="32"/>
      <c r="H654" s="28" t="s">
        <v>171</v>
      </c>
      <c r="I654" s="29">
        <v>69176</v>
      </c>
      <c r="J654" s="28" t="s">
        <v>172</v>
      </c>
      <c r="K654" s="30">
        <v>46195.708333333336</v>
      </c>
      <c r="L654" s="28">
        <v>808</v>
      </c>
      <c r="M654" s="29">
        <v>3482</v>
      </c>
      <c r="N654" s="31">
        <v>480.37</v>
      </c>
      <c r="O654" s="31">
        <v>691.41</v>
      </c>
      <c r="P654" s="31">
        <v>979.55</v>
      </c>
      <c r="Q654" s="28">
        <v>187</v>
      </c>
      <c r="R654" s="29">
        <v>8735</v>
      </c>
      <c r="S654" s="29">
        <v>21867</v>
      </c>
      <c r="T654" s="28">
        <v>5</v>
      </c>
      <c r="U654" s="28">
        <v>24</v>
      </c>
      <c r="V654" s="28">
        <v>45</v>
      </c>
      <c r="W654" s="30">
        <v>46275.625</v>
      </c>
      <c r="X654" s="32"/>
      <c r="Y654" s="28">
        <v>0</v>
      </c>
      <c r="Z654" s="33">
        <v>22016</v>
      </c>
      <c r="AA654">
        <v>211.03999999999996</v>
      </c>
      <c r="AB654" s="18">
        <v>0.43932801798613563</v>
      </c>
      <c r="AC654" s="19">
        <v>1.4393280179861356</v>
      </c>
      <c r="AD654" s="19">
        <v>0.77777777777777779</v>
      </c>
      <c r="AE654" s="19">
        <v>1.2444444444444445</v>
      </c>
    </row>
    <row r="655" spans="1:31">
      <c r="A655">
        <v>659</v>
      </c>
      <c r="B655" t="s">
        <v>125</v>
      </c>
      <c r="C655" t="s">
        <v>121</v>
      </c>
      <c r="D655" t="s">
        <v>122</v>
      </c>
      <c r="E655" s="20">
        <v>46107</v>
      </c>
      <c r="F655" s="21" t="s">
        <v>194</v>
      </c>
      <c r="G655" s="25"/>
      <c r="H655" s="21" t="s">
        <v>91</v>
      </c>
      <c r="I655" s="22">
        <v>82500</v>
      </c>
      <c r="J655" s="21" t="s">
        <v>92</v>
      </c>
      <c r="K655" s="23">
        <v>46195.833333333336</v>
      </c>
      <c r="L655" s="21">
        <v>775</v>
      </c>
      <c r="M655" s="22">
        <v>3420</v>
      </c>
      <c r="N655" s="24">
        <v>361.58</v>
      </c>
      <c r="O655" s="24">
        <v>658.25</v>
      </c>
      <c r="P655" s="24">
        <v>1075.81</v>
      </c>
      <c r="Q655" s="21">
        <v>182</v>
      </c>
      <c r="R655" s="22">
        <v>8791</v>
      </c>
      <c r="S655" s="22">
        <v>21573</v>
      </c>
      <c r="T655" s="21">
        <v>3</v>
      </c>
      <c r="U655" s="21">
        <v>9</v>
      </c>
      <c r="V655" s="21">
        <v>23</v>
      </c>
      <c r="W655" s="23">
        <v>46275.625</v>
      </c>
      <c r="X655" s="25"/>
      <c r="Y655" s="21">
        <v>0</v>
      </c>
      <c r="Z655" s="26">
        <v>21721</v>
      </c>
      <c r="AA655">
        <v>296.67</v>
      </c>
      <c r="AB655" s="18">
        <v>0.82048232756236528</v>
      </c>
      <c r="AC655" s="19">
        <v>1.8204823275623652</v>
      </c>
      <c r="AD655" s="19">
        <v>0.91304347826086962</v>
      </c>
      <c r="AE655" s="19">
        <v>0.91304347826086962</v>
      </c>
    </row>
    <row r="656" spans="1:31">
      <c r="A656">
        <v>660</v>
      </c>
      <c r="B656" t="s">
        <v>124</v>
      </c>
      <c r="C656" t="s">
        <v>180</v>
      </c>
      <c r="D656" t="s">
        <v>178</v>
      </c>
      <c r="E656" s="27">
        <v>46107</v>
      </c>
      <c r="F656" s="28" t="s">
        <v>213</v>
      </c>
      <c r="G656" s="32"/>
      <c r="H656" s="28" t="s">
        <v>113</v>
      </c>
      <c r="I656" s="29">
        <v>70240</v>
      </c>
      <c r="J656" s="28" t="s">
        <v>114</v>
      </c>
      <c r="K656" s="30">
        <v>46198.791666666664</v>
      </c>
      <c r="L656" s="28">
        <v>704</v>
      </c>
      <c r="M656" s="29">
        <v>3247</v>
      </c>
      <c r="N656" s="31">
        <v>881.35</v>
      </c>
      <c r="O656" s="31">
        <v>1700.58</v>
      </c>
      <c r="P656" s="31">
        <v>2689.1</v>
      </c>
      <c r="Q656" s="28">
        <v>264</v>
      </c>
      <c r="R656" s="29">
        <v>8940</v>
      </c>
      <c r="S656" s="29">
        <v>21363</v>
      </c>
      <c r="T656" s="28">
        <v>2</v>
      </c>
      <c r="U656" s="28">
        <v>9</v>
      </c>
      <c r="V656" s="28">
        <v>16</v>
      </c>
      <c r="W656" s="30">
        <v>46275.5</v>
      </c>
      <c r="X656" s="32"/>
      <c r="Y656" s="28">
        <v>0</v>
      </c>
      <c r="Z656" s="33">
        <v>21519</v>
      </c>
      <c r="AA656">
        <v>819.2299999999999</v>
      </c>
      <c r="AB656" s="18">
        <v>0.92951721790435116</v>
      </c>
      <c r="AC656" s="19">
        <v>1.9295172179043512</v>
      </c>
      <c r="AD656" s="19">
        <v>0.875</v>
      </c>
      <c r="AE656" s="19">
        <v>1.3125</v>
      </c>
    </row>
    <row r="657" spans="1:31">
      <c r="A657">
        <v>661</v>
      </c>
      <c r="B657" t="s">
        <v>158</v>
      </c>
      <c r="C657" t="s">
        <v>161</v>
      </c>
      <c r="D657" t="s">
        <v>159</v>
      </c>
      <c r="E657" s="20">
        <v>46107</v>
      </c>
      <c r="F657" s="21" t="s">
        <v>205</v>
      </c>
      <c r="G657" s="25"/>
      <c r="H657" s="21" t="s">
        <v>164</v>
      </c>
      <c r="I657" s="22">
        <v>54500</v>
      </c>
      <c r="J657" s="21" t="s">
        <v>165</v>
      </c>
      <c r="K657" s="23">
        <v>46197.5</v>
      </c>
      <c r="L657" s="21">
        <v>745</v>
      </c>
      <c r="M657" s="22">
        <v>3391</v>
      </c>
      <c r="N657" s="24">
        <v>445.5</v>
      </c>
      <c r="O657" s="24">
        <v>834.43</v>
      </c>
      <c r="P657" s="24">
        <v>1299.74</v>
      </c>
      <c r="Q657" s="21">
        <v>195</v>
      </c>
      <c r="R657" s="22">
        <v>8698</v>
      </c>
      <c r="S657" s="22">
        <v>21128</v>
      </c>
      <c r="T657" s="21">
        <v>2</v>
      </c>
      <c r="U657" s="21">
        <v>8</v>
      </c>
      <c r="V657" s="21">
        <v>21</v>
      </c>
      <c r="W657" s="23">
        <v>46275.375</v>
      </c>
      <c r="X657" s="25"/>
      <c r="Y657" s="21">
        <v>0</v>
      </c>
      <c r="Z657" s="26">
        <v>21295</v>
      </c>
      <c r="AA657">
        <v>388.92999999999995</v>
      </c>
      <c r="AB657" s="18">
        <v>0.87301907968574621</v>
      </c>
      <c r="AC657" s="19">
        <v>1.8730190796857462</v>
      </c>
      <c r="AD657" s="19">
        <v>0.66666666666666663</v>
      </c>
      <c r="AE657" s="19">
        <v>0.88888888888888884</v>
      </c>
    </row>
    <row r="658" spans="1:31">
      <c r="A658">
        <v>662</v>
      </c>
      <c r="B658" t="s">
        <v>110</v>
      </c>
      <c r="C658" t="s">
        <v>116</v>
      </c>
      <c r="D658" t="s">
        <v>111</v>
      </c>
      <c r="E658" s="27">
        <v>46107</v>
      </c>
      <c r="F658" s="28" t="s">
        <v>193</v>
      </c>
      <c r="G658" s="32"/>
      <c r="H658" s="28" t="s">
        <v>164</v>
      </c>
      <c r="I658" s="29">
        <v>54500</v>
      </c>
      <c r="J658" s="28" t="s">
        <v>165</v>
      </c>
      <c r="K658" s="30">
        <v>46194.75</v>
      </c>
      <c r="L658" s="28">
        <v>535</v>
      </c>
      <c r="M658" s="29">
        <v>2614</v>
      </c>
      <c r="N658" s="31">
        <v>285</v>
      </c>
      <c r="O658" s="31">
        <v>453.84</v>
      </c>
      <c r="P658" s="31">
        <v>949.08</v>
      </c>
      <c r="Q658" s="28">
        <v>251</v>
      </c>
      <c r="R658" s="29">
        <v>9060</v>
      </c>
      <c r="S658" s="29">
        <v>20951</v>
      </c>
      <c r="T658" s="28">
        <v>1</v>
      </c>
      <c r="U658" s="28">
        <v>4</v>
      </c>
      <c r="V658" s="28">
        <v>14</v>
      </c>
      <c r="W658" s="30">
        <v>46275.375</v>
      </c>
      <c r="X658" s="32"/>
      <c r="Y658" s="28">
        <v>0</v>
      </c>
      <c r="Z658" s="33">
        <v>21101</v>
      </c>
      <c r="AA658">
        <v>168.83999999999997</v>
      </c>
      <c r="AB658" s="18">
        <v>0.59242105263157885</v>
      </c>
      <c r="AC658" s="19">
        <v>1.592421052631579</v>
      </c>
      <c r="AD658" s="19">
        <v>0.5</v>
      </c>
      <c r="AE658" s="19">
        <v>0.66666666666666663</v>
      </c>
    </row>
    <row r="659" spans="1:31">
      <c r="A659">
        <v>663</v>
      </c>
      <c r="B659" t="s">
        <v>155</v>
      </c>
      <c r="C659" t="s">
        <v>124</v>
      </c>
      <c r="D659" t="s">
        <v>152</v>
      </c>
      <c r="E659" s="20">
        <v>46107</v>
      </c>
      <c r="F659" s="21" t="s">
        <v>201</v>
      </c>
      <c r="G659" s="25"/>
      <c r="H659" s="21" t="s">
        <v>135</v>
      </c>
      <c r="I659" s="22">
        <v>49800</v>
      </c>
      <c r="J659" s="21" t="s">
        <v>136</v>
      </c>
      <c r="K659" s="23">
        <v>46196.875</v>
      </c>
      <c r="L659" s="21">
        <v>425</v>
      </c>
      <c r="M659" s="22">
        <v>2152</v>
      </c>
      <c r="N659" s="24">
        <v>629.17999999999995</v>
      </c>
      <c r="O659" s="24">
        <v>900</v>
      </c>
      <c r="P659" s="24">
        <v>1485.58</v>
      </c>
      <c r="Q659" s="21">
        <v>190</v>
      </c>
      <c r="R659" s="22">
        <v>8597</v>
      </c>
      <c r="S659" s="22">
        <v>20848</v>
      </c>
      <c r="T659" s="21">
        <v>5</v>
      </c>
      <c r="U659" s="21">
        <v>12</v>
      </c>
      <c r="V659" s="21">
        <v>27</v>
      </c>
      <c r="W659" s="23">
        <v>46275.541666666664</v>
      </c>
      <c r="X659" s="25"/>
      <c r="Y659" s="21">
        <v>0</v>
      </c>
      <c r="Z659" s="26">
        <v>20999</v>
      </c>
      <c r="AA659">
        <v>270.82000000000005</v>
      </c>
      <c r="AB659" s="18">
        <v>0.43043326234146045</v>
      </c>
      <c r="AC659" s="19">
        <v>1.4304332623414604</v>
      </c>
      <c r="AD659" s="19">
        <v>1.2962962962962963</v>
      </c>
      <c r="AE659" s="19">
        <v>1.037037037037037</v>
      </c>
    </row>
    <row r="660" spans="1:31">
      <c r="A660">
        <v>664</v>
      </c>
      <c r="B660" t="s">
        <v>149</v>
      </c>
      <c r="C660" t="s">
        <v>142</v>
      </c>
      <c r="D660" t="s">
        <v>144</v>
      </c>
      <c r="E660" s="27">
        <v>46107</v>
      </c>
      <c r="F660" s="28" t="s">
        <v>223</v>
      </c>
      <c r="G660" s="32"/>
      <c r="H660" s="28" t="s">
        <v>171</v>
      </c>
      <c r="I660" s="29">
        <v>69176</v>
      </c>
      <c r="J660" s="28" t="s">
        <v>172</v>
      </c>
      <c r="K660" s="30">
        <v>46200.708333333336</v>
      </c>
      <c r="L660" s="28">
        <v>753</v>
      </c>
      <c r="M660" s="29">
        <v>3474</v>
      </c>
      <c r="N660" s="31">
        <v>407.68</v>
      </c>
      <c r="O660" s="31">
        <v>717.75</v>
      </c>
      <c r="P660" s="31">
        <v>1332.61</v>
      </c>
      <c r="Q660" s="28">
        <v>267</v>
      </c>
      <c r="R660" s="29">
        <v>8722</v>
      </c>
      <c r="S660" s="29">
        <v>20825</v>
      </c>
      <c r="T660" s="28">
        <v>6</v>
      </c>
      <c r="U660" s="28">
        <v>18</v>
      </c>
      <c r="V660" s="28">
        <v>40</v>
      </c>
      <c r="W660" s="30">
        <v>46275.625</v>
      </c>
      <c r="X660" s="32"/>
      <c r="Y660" s="28">
        <v>0</v>
      </c>
      <c r="Z660" s="33">
        <v>20968</v>
      </c>
      <c r="AA660">
        <v>310.07</v>
      </c>
      <c r="AB660" s="18">
        <v>0.76057201726844581</v>
      </c>
      <c r="AC660" s="19">
        <v>1.7605720172684458</v>
      </c>
      <c r="AD660" s="19">
        <v>1.05</v>
      </c>
      <c r="AE660" s="19">
        <v>1.05</v>
      </c>
    </row>
    <row r="661" spans="1:31">
      <c r="A661">
        <v>665</v>
      </c>
      <c r="B661" t="s">
        <v>109</v>
      </c>
      <c r="C661" t="s">
        <v>110</v>
      </c>
      <c r="D661" t="s">
        <v>111</v>
      </c>
      <c r="E661" s="20">
        <v>46107</v>
      </c>
      <c r="F661" s="21" t="s">
        <v>112</v>
      </c>
      <c r="G661" s="25"/>
      <c r="H661" s="21" t="s">
        <v>113</v>
      </c>
      <c r="I661" s="22">
        <v>70240</v>
      </c>
      <c r="J661" s="21" t="s">
        <v>114</v>
      </c>
      <c r="K661" s="23">
        <v>46188.75</v>
      </c>
      <c r="L661" s="22">
        <v>1024</v>
      </c>
      <c r="M661" s="22">
        <v>4352</v>
      </c>
      <c r="N661" s="24">
        <v>247.5</v>
      </c>
      <c r="O661" s="24">
        <v>522</v>
      </c>
      <c r="P661" s="24">
        <v>879.62</v>
      </c>
      <c r="Q661" s="21">
        <v>264</v>
      </c>
      <c r="R661" s="22">
        <v>8383</v>
      </c>
      <c r="S661" s="22">
        <v>20725</v>
      </c>
      <c r="T661" s="21">
        <v>1</v>
      </c>
      <c r="U661" s="21">
        <v>5</v>
      </c>
      <c r="V661" s="21">
        <v>10</v>
      </c>
      <c r="W661" s="23">
        <v>46275.5</v>
      </c>
      <c r="X661" s="25"/>
      <c r="Y661" s="21">
        <v>0</v>
      </c>
      <c r="Z661" s="26">
        <v>20873</v>
      </c>
      <c r="AA661">
        <v>274.5</v>
      </c>
      <c r="AB661" s="18">
        <v>1.1090909090909091</v>
      </c>
      <c r="AC661" s="19">
        <v>2.1090909090909089</v>
      </c>
      <c r="AD661" s="19">
        <v>0.7</v>
      </c>
      <c r="AE661" s="19">
        <v>1.1666666666666667</v>
      </c>
    </row>
    <row r="662" spans="1:31">
      <c r="A662">
        <v>666</v>
      </c>
      <c r="B662" t="s">
        <v>124</v>
      </c>
      <c r="C662" t="s">
        <v>125</v>
      </c>
      <c r="D662" t="s">
        <v>122</v>
      </c>
      <c r="E662" s="27">
        <v>46107</v>
      </c>
      <c r="F662" s="28" t="s">
        <v>126</v>
      </c>
      <c r="G662" s="32"/>
      <c r="H662" s="28" t="s">
        <v>127</v>
      </c>
      <c r="I662" s="29">
        <v>68756</v>
      </c>
      <c r="J662" s="28" t="s">
        <v>128</v>
      </c>
      <c r="K662" s="30">
        <v>46189.75</v>
      </c>
      <c r="L662" s="28">
        <v>679</v>
      </c>
      <c r="M662" s="29">
        <v>3201</v>
      </c>
      <c r="N662" s="31">
        <v>381.18</v>
      </c>
      <c r="O662" s="31">
        <v>694.62</v>
      </c>
      <c r="P662" s="31">
        <v>1150</v>
      </c>
      <c r="Q662" s="28">
        <v>196</v>
      </c>
      <c r="R662" s="29">
        <v>8525</v>
      </c>
      <c r="S662" s="29">
        <v>20638</v>
      </c>
      <c r="T662" s="28">
        <v>0</v>
      </c>
      <c r="U662" s="28">
        <v>3</v>
      </c>
      <c r="V662" s="28">
        <v>13</v>
      </c>
      <c r="W662" s="30">
        <v>46275.625</v>
      </c>
      <c r="X662" s="32"/>
      <c r="Y662" s="28">
        <v>0</v>
      </c>
      <c r="Z662" s="33">
        <v>20785</v>
      </c>
      <c r="AA662">
        <v>313.44</v>
      </c>
      <c r="AB662" s="18">
        <v>0.82228868251219889</v>
      </c>
      <c r="AC662" s="19">
        <v>1.8222886825121989</v>
      </c>
      <c r="AD662" s="19">
        <v>0</v>
      </c>
      <c r="AE662" s="19">
        <v>0.53846153846153844</v>
      </c>
    </row>
    <row r="663" spans="1:31">
      <c r="A663">
        <v>667</v>
      </c>
      <c r="B663" t="s">
        <v>137</v>
      </c>
      <c r="C663" t="s">
        <v>138</v>
      </c>
      <c r="D663" t="s">
        <v>131</v>
      </c>
      <c r="E663" s="20">
        <v>46107</v>
      </c>
      <c r="F663" s="21" t="s">
        <v>139</v>
      </c>
      <c r="G663" s="25"/>
      <c r="H663" s="21" t="s">
        <v>140</v>
      </c>
      <c r="I663" s="22">
        <v>75000</v>
      </c>
      <c r="J663" s="21" t="s">
        <v>141</v>
      </c>
      <c r="K663" s="23">
        <v>46189.875</v>
      </c>
      <c r="L663" s="21">
        <v>844</v>
      </c>
      <c r="M663" s="22">
        <v>3574</v>
      </c>
      <c r="N663" s="24">
        <v>199.01</v>
      </c>
      <c r="O663" s="24">
        <v>447.7</v>
      </c>
      <c r="P663" s="24">
        <v>750</v>
      </c>
      <c r="Q663" s="21">
        <v>200</v>
      </c>
      <c r="R663" s="22">
        <v>8387</v>
      </c>
      <c r="S663" s="22">
        <v>20539</v>
      </c>
      <c r="T663" s="21">
        <v>5</v>
      </c>
      <c r="U663" s="21">
        <v>9</v>
      </c>
      <c r="V663" s="21">
        <v>21</v>
      </c>
      <c r="W663" s="23">
        <v>46275.5</v>
      </c>
      <c r="X663" s="25"/>
      <c r="Y663" s="21">
        <v>0</v>
      </c>
      <c r="Z663" s="26">
        <v>20714</v>
      </c>
      <c r="AA663">
        <v>248.69</v>
      </c>
      <c r="AB663" s="18">
        <v>1.2496356966986584</v>
      </c>
      <c r="AC663" s="19">
        <v>2.2496356966986584</v>
      </c>
      <c r="AD663" s="19">
        <v>1.6666666666666667</v>
      </c>
      <c r="AE663" s="19">
        <v>1</v>
      </c>
    </row>
    <row r="664" spans="1:31">
      <c r="A664">
        <v>668</v>
      </c>
      <c r="B664" t="s">
        <v>154</v>
      </c>
      <c r="C664" t="s">
        <v>155</v>
      </c>
      <c r="D664" t="s">
        <v>152</v>
      </c>
      <c r="E664" s="27">
        <v>46107</v>
      </c>
      <c r="F664" s="28" t="s">
        <v>156</v>
      </c>
      <c r="G664" s="32"/>
      <c r="H664" s="28" t="s">
        <v>56</v>
      </c>
      <c r="I664" s="29">
        <v>98500</v>
      </c>
      <c r="J664" s="28" t="s">
        <v>57</v>
      </c>
      <c r="K664" s="30">
        <v>46190.875</v>
      </c>
      <c r="L664" s="28">
        <v>550</v>
      </c>
      <c r="M664" s="29">
        <v>2741</v>
      </c>
      <c r="N664" s="31">
        <v>497.36</v>
      </c>
      <c r="O664" s="31">
        <v>800</v>
      </c>
      <c r="P664" s="31">
        <v>1176</v>
      </c>
      <c r="Q664" s="28">
        <v>193</v>
      </c>
      <c r="R664" s="29">
        <v>8197</v>
      </c>
      <c r="S664" s="29">
        <v>20485</v>
      </c>
      <c r="T664" s="28">
        <v>5</v>
      </c>
      <c r="U664" s="28">
        <v>16</v>
      </c>
      <c r="V664" s="28">
        <v>54</v>
      </c>
      <c r="W664" s="30">
        <v>46275.541666666664</v>
      </c>
      <c r="X664" s="32"/>
      <c r="Y664" s="28">
        <v>0</v>
      </c>
      <c r="Z664" s="33">
        <v>20636</v>
      </c>
      <c r="AA664">
        <v>302.64</v>
      </c>
      <c r="AB664" s="18">
        <v>0.60849284220685218</v>
      </c>
      <c r="AC664" s="19">
        <v>1.6084928422068521</v>
      </c>
      <c r="AD664" s="19">
        <v>0.64814814814814814</v>
      </c>
      <c r="AE664" s="19">
        <v>0.69135802469135799</v>
      </c>
    </row>
    <row r="665" spans="1:31">
      <c r="A665">
        <v>669</v>
      </c>
      <c r="B665" t="s">
        <v>103</v>
      </c>
      <c r="C665" t="s">
        <v>107</v>
      </c>
      <c r="D665" t="s">
        <v>104</v>
      </c>
      <c r="E665" s="20">
        <v>46107</v>
      </c>
      <c r="F665" s="21" t="s">
        <v>189</v>
      </c>
      <c r="G665" s="25"/>
      <c r="H665" s="21" t="s">
        <v>85</v>
      </c>
      <c r="I665" s="22">
        <v>76100</v>
      </c>
      <c r="J665" s="21" t="s">
        <v>86</v>
      </c>
      <c r="K665" s="23">
        <v>46194.75</v>
      </c>
      <c r="L665" s="21">
        <v>888</v>
      </c>
      <c r="M665" s="22">
        <v>3772</v>
      </c>
      <c r="N665" s="24">
        <v>256.31</v>
      </c>
      <c r="O665" s="24">
        <v>425.52</v>
      </c>
      <c r="P665" s="24">
        <v>773.7</v>
      </c>
      <c r="Q665" s="21">
        <v>179</v>
      </c>
      <c r="R665" s="22">
        <v>8277</v>
      </c>
      <c r="S665" s="22">
        <v>20469</v>
      </c>
      <c r="T665" s="21">
        <v>6</v>
      </c>
      <c r="U665" s="21">
        <v>14</v>
      </c>
      <c r="V665" s="21">
        <v>22</v>
      </c>
      <c r="W665" s="23">
        <v>46275.625</v>
      </c>
      <c r="X665" s="25"/>
      <c r="Y665" s="21">
        <v>0</v>
      </c>
      <c r="Z665" s="26">
        <v>20616</v>
      </c>
      <c r="AA665">
        <v>169.20999999999998</v>
      </c>
      <c r="AB665" s="18">
        <v>0.66017712925753957</v>
      </c>
      <c r="AC665" s="19">
        <v>1.6601771292575396</v>
      </c>
      <c r="AD665" s="19">
        <v>1.9090909090909092</v>
      </c>
      <c r="AE665" s="19">
        <v>1.4848484848484849</v>
      </c>
    </row>
    <row r="666" spans="1:31">
      <c r="A666">
        <v>670</v>
      </c>
      <c r="B666" t="s">
        <v>121</v>
      </c>
      <c r="C666" t="s">
        <v>124</v>
      </c>
      <c r="D666" t="s">
        <v>122</v>
      </c>
      <c r="E666" s="27">
        <v>46107</v>
      </c>
      <c r="F666" s="28" t="s">
        <v>217</v>
      </c>
      <c r="G666" s="32"/>
      <c r="H666" s="28" t="s">
        <v>146</v>
      </c>
      <c r="I666" s="29">
        <v>30000</v>
      </c>
      <c r="J666" s="28" t="s">
        <v>147</v>
      </c>
      <c r="K666" s="30">
        <v>46199.625</v>
      </c>
      <c r="L666" s="28">
        <v>461</v>
      </c>
      <c r="M666" s="29">
        <v>2153</v>
      </c>
      <c r="N666" s="31">
        <v>376.04</v>
      </c>
      <c r="O666" s="31">
        <v>565</v>
      </c>
      <c r="P666" s="31">
        <v>814.67</v>
      </c>
      <c r="Q666" s="28">
        <v>238</v>
      </c>
      <c r="R666" s="29">
        <v>8878</v>
      </c>
      <c r="S666" s="29">
        <v>20467</v>
      </c>
      <c r="T666" s="28">
        <v>4</v>
      </c>
      <c r="U666" s="28">
        <v>5</v>
      </c>
      <c r="V666" s="28">
        <v>12</v>
      </c>
      <c r="W666" s="30">
        <v>46275.5</v>
      </c>
      <c r="X666" s="32"/>
      <c r="Y666" s="28">
        <v>0</v>
      </c>
      <c r="Z666" s="33">
        <v>20614</v>
      </c>
      <c r="AA666">
        <v>188.95999999999998</v>
      </c>
      <c r="AB666" s="18">
        <v>0.50249973407084347</v>
      </c>
      <c r="AC666" s="19">
        <v>1.5024997340708435</v>
      </c>
      <c r="AD666" s="19">
        <v>2.3333333333333335</v>
      </c>
      <c r="AE666" s="19">
        <v>0.97222222222222232</v>
      </c>
    </row>
    <row r="667" spans="1:31">
      <c r="A667">
        <v>671</v>
      </c>
      <c r="B667" t="s">
        <v>98</v>
      </c>
      <c r="C667" t="s">
        <v>94</v>
      </c>
      <c r="D667" t="s">
        <v>95</v>
      </c>
      <c r="E667" s="20">
        <v>46107</v>
      </c>
      <c r="F667" s="21" t="s">
        <v>188</v>
      </c>
      <c r="G667" s="25"/>
      <c r="H667" s="21" t="s">
        <v>100</v>
      </c>
      <c r="I667" s="22">
        <v>52237</v>
      </c>
      <c r="J667" s="21" t="s">
        <v>101</v>
      </c>
      <c r="K667" s="23">
        <v>46193.958333333336</v>
      </c>
      <c r="L667" s="21">
        <v>426</v>
      </c>
      <c r="M667" s="22">
        <v>1958</v>
      </c>
      <c r="N667" s="24">
        <v>215</v>
      </c>
      <c r="O667" s="24">
        <v>375</v>
      </c>
      <c r="P667" s="24">
        <v>599.55999999999995</v>
      </c>
      <c r="Q667" s="21">
        <v>193</v>
      </c>
      <c r="R667" s="22">
        <v>8230</v>
      </c>
      <c r="S667" s="22">
        <v>20451</v>
      </c>
      <c r="T667" s="21">
        <v>2</v>
      </c>
      <c r="U667" s="21">
        <v>15</v>
      </c>
      <c r="V667" s="21">
        <v>27</v>
      </c>
      <c r="W667" s="23">
        <v>46275.541666666664</v>
      </c>
      <c r="X667" s="25"/>
      <c r="Y667" s="21">
        <v>1</v>
      </c>
      <c r="Z667" s="26">
        <v>20604</v>
      </c>
      <c r="AA667">
        <v>160</v>
      </c>
      <c r="AB667" s="18">
        <v>0.7441860465116279</v>
      </c>
      <c r="AC667" s="19">
        <v>1.7441860465116279</v>
      </c>
      <c r="AD667" s="19">
        <v>0.51851851851851849</v>
      </c>
      <c r="AE667" s="19">
        <v>1.2962962962962963</v>
      </c>
    </row>
    <row r="668" spans="1:31">
      <c r="A668">
        <v>672</v>
      </c>
      <c r="B668" t="s">
        <v>161</v>
      </c>
      <c r="C668" t="s">
        <v>124</v>
      </c>
      <c r="D668" t="s">
        <v>159</v>
      </c>
      <c r="E668" s="27">
        <v>46107</v>
      </c>
      <c r="F668" s="28" t="s">
        <v>173</v>
      </c>
      <c r="G668" s="32"/>
      <c r="H668" s="28" t="s">
        <v>146</v>
      </c>
      <c r="I668" s="29">
        <v>30000</v>
      </c>
      <c r="J668" s="28" t="s">
        <v>147</v>
      </c>
      <c r="K668" s="30">
        <v>46185.625</v>
      </c>
      <c r="L668" s="28">
        <v>508</v>
      </c>
      <c r="M668" s="29">
        <v>2294</v>
      </c>
      <c r="N668" s="31">
        <v>1257.3</v>
      </c>
      <c r="O668" s="31">
        <v>2038.93</v>
      </c>
      <c r="P668" s="31">
        <v>2828.8</v>
      </c>
      <c r="Q668" s="28">
        <v>196</v>
      </c>
      <c r="R668" s="29">
        <v>8602</v>
      </c>
      <c r="S668" s="29">
        <v>20459</v>
      </c>
      <c r="T668" s="28">
        <v>5</v>
      </c>
      <c r="U668" s="28">
        <v>11</v>
      </c>
      <c r="V668" s="28">
        <v>23</v>
      </c>
      <c r="W668" s="30">
        <v>46275.5</v>
      </c>
      <c r="X668" s="32"/>
      <c r="Y668" s="28">
        <v>0</v>
      </c>
      <c r="Z668" s="33">
        <v>20592</v>
      </c>
      <c r="AA668">
        <v>781.63000000000011</v>
      </c>
      <c r="AB668" s="18">
        <v>0.62167342718523833</v>
      </c>
      <c r="AC668" s="19">
        <v>1.6216734271852382</v>
      </c>
      <c r="AD668" s="19">
        <v>1.5217391304347827</v>
      </c>
      <c r="AE668" s="19">
        <v>1.1159420289855073</v>
      </c>
    </row>
    <row r="669" spans="1:31">
      <c r="A669">
        <v>673</v>
      </c>
      <c r="B669" t="s">
        <v>59</v>
      </c>
      <c r="C669" t="s">
        <v>183</v>
      </c>
      <c r="D669" t="s">
        <v>60</v>
      </c>
      <c r="E669" s="20">
        <v>46107</v>
      </c>
      <c r="F669" s="21" t="s">
        <v>209</v>
      </c>
      <c r="G669" s="25"/>
      <c r="H669" s="21" t="s">
        <v>171</v>
      </c>
      <c r="I669" s="22">
        <v>69176</v>
      </c>
      <c r="J669" s="21" t="s">
        <v>172</v>
      </c>
      <c r="K669" s="23">
        <v>46198.666666666664</v>
      </c>
      <c r="L669" s="21">
        <v>706</v>
      </c>
      <c r="M669" s="22">
        <v>3147</v>
      </c>
      <c r="N669" s="24">
        <v>220</v>
      </c>
      <c r="O669" s="24">
        <v>405</v>
      </c>
      <c r="P669" s="24">
        <v>926.82</v>
      </c>
      <c r="Q669" s="21">
        <v>179</v>
      </c>
      <c r="R669" s="22">
        <v>8533</v>
      </c>
      <c r="S669" s="22">
        <v>20334</v>
      </c>
      <c r="T669" s="21">
        <v>5</v>
      </c>
      <c r="U669" s="21">
        <v>15</v>
      </c>
      <c r="V669" s="21">
        <v>30</v>
      </c>
      <c r="W669" s="23">
        <v>46275.625</v>
      </c>
      <c r="X669" s="25"/>
      <c r="Y669" s="21">
        <v>0</v>
      </c>
      <c r="Z669" s="26">
        <v>20479</v>
      </c>
      <c r="AA669">
        <v>185</v>
      </c>
      <c r="AB669" s="18">
        <v>0.84090909090909094</v>
      </c>
      <c r="AC669" s="19">
        <v>1.8409090909090908</v>
      </c>
      <c r="AD669" s="19">
        <v>1.1666666666666667</v>
      </c>
      <c r="AE669" s="19">
        <v>1.1666666666666667</v>
      </c>
    </row>
    <row r="670" spans="1:31">
      <c r="A670">
        <v>674</v>
      </c>
      <c r="B670" t="s">
        <v>115</v>
      </c>
      <c r="C670" t="s">
        <v>109</v>
      </c>
      <c r="D670" t="s">
        <v>111</v>
      </c>
      <c r="E670" s="27">
        <v>46107</v>
      </c>
      <c r="F670" s="28" t="s">
        <v>191</v>
      </c>
      <c r="G670" s="32"/>
      <c r="H670" s="28" t="s">
        <v>113</v>
      </c>
      <c r="I670" s="29">
        <v>70240</v>
      </c>
      <c r="J670" s="28" t="s">
        <v>114</v>
      </c>
      <c r="K670" s="30">
        <v>46194.5</v>
      </c>
      <c r="L670" s="29">
        <v>1050</v>
      </c>
      <c r="M670" s="29">
        <v>4340</v>
      </c>
      <c r="N670" s="31">
        <v>302</v>
      </c>
      <c r="O670" s="31">
        <v>585</v>
      </c>
      <c r="P670" s="31">
        <v>1104.07</v>
      </c>
      <c r="Q670" s="28">
        <v>207</v>
      </c>
      <c r="R670" s="29">
        <v>8036</v>
      </c>
      <c r="S670" s="29">
        <v>20219</v>
      </c>
      <c r="T670" s="28">
        <v>3</v>
      </c>
      <c r="U670" s="28">
        <v>7</v>
      </c>
      <c r="V670" s="28">
        <v>18</v>
      </c>
      <c r="W670" s="30">
        <v>46275.5</v>
      </c>
      <c r="X670" s="32"/>
      <c r="Y670" s="28">
        <v>0</v>
      </c>
      <c r="Z670" s="33">
        <v>20368</v>
      </c>
      <c r="AA670">
        <v>283</v>
      </c>
      <c r="AB670" s="18">
        <v>0.9370860927152318</v>
      </c>
      <c r="AC670" s="19">
        <v>1.9370860927152318</v>
      </c>
      <c r="AD670" s="19">
        <v>1.1666666666666665</v>
      </c>
      <c r="AE670" s="19">
        <v>0.90740740740740744</v>
      </c>
    </row>
    <row r="671" spans="1:31">
      <c r="A671">
        <v>675</v>
      </c>
      <c r="B671" t="s">
        <v>162</v>
      </c>
      <c r="C671" t="s">
        <v>158</v>
      </c>
      <c r="D671" t="s">
        <v>159</v>
      </c>
      <c r="E671" s="20">
        <v>46107</v>
      </c>
      <c r="F671" s="21" t="s">
        <v>251</v>
      </c>
      <c r="G671" s="25"/>
      <c r="H671" s="21" t="s">
        <v>140</v>
      </c>
      <c r="I671" s="22">
        <v>75000</v>
      </c>
      <c r="J671" s="21" t="s">
        <v>141</v>
      </c>
      <c r="K671" s="23">
        <v>46186.5</v>
      </c>
      <c r="L671" s="21">
        <v>792</v>
      </c>
      <c r="M671" s="22">
        <v>3436</v>
      </c>
      <c r="N671" s="24">
        <v>284.94</v>
      </c>
      <c r="O671" s="24">
        <v>499.88</v>
      </c>
      <c r="P671" s="24">
        <v>826.09</v>
      </c>
      <c r="Q671" s="21">
        <v>201</v>
      </c>
      <c r="R671" s="22">
        <v>8133</v>
      </c>
      <c r="S671" s="22">
        <v>19984</v>
      </c>
      <c r="T671" s="21">
        <v>3</v>
      </c>
      <c r="U671" s="21">
        <v>10</v>
      </c>
      <c r="V671" s="21">
        <v>36</v>
      </c>
      <c r="W671" s="23">
        <v>46275.5</v>
      </c>
      <c r="X671" s="25"/>
      <c r="Y671" s="21">
        <v>0</v>
      </c>
      <c r="Z671" s="26">
        <v>20141</v>
      </c>
      <c r="AA671">
        <v>214.94</v>
      </c>
      <c r="AB671" s="18">
        <v>0.75433424580613462</v>
      </c>
      <c r="AC671" s="19">
        <v>1.7543342458061346</v>
      </c>
      <c r="AD671" s="19">
        <v>0.58333333333333326</v>
      </c>
      <c r="AE671" s="19">
        <v>0.64814814814814814</v>
      </c>
    </row>
    <row r="672" spans="1:31">
      <c r="A672">
        <v>676</v>
      </c>
      <c r="B672" t="s">
        <v>52</v>
      </c>
      <c r="C672" t="s">
        <v>133</v>
      </c>
      <c r="D672" t="s">
        <v>53</v>
      </c>
      <c r="E672" s="27">
        <v>46107</v>
      </c>
      <c r="F672" s="28" t="s">
        <v>208</v>
      </c>
      <c r="G672" s="32"/>
      <c r="H672" s="28" t="s">
        <v>100</v>
      </c>
      <c r="I672" s="29">
        <v>52237</v>
      </c>
      <c r="J672" s="28" t="s">
        <v>101</v>
      </c>
      <c r="K672" s="30">
        <v>46197.833333333336</v>
      </c>
      <c r="L672" s="28">
        <v>408</v>
      </c>
      <c r="M672" s="29">
        <v>1933</v>
      </c>
      <c r="N672" s="31">
        <v>168.99</v>
      </c>
      <c r="O672" s="31">
        <v>336.3</v>
      </c>
      <c r="P672" s="31">
        <v>606.67999999999995</v>
      </c>
      <c r="Q672" s="28">
        <v>252</v>
      </c>
      <c r="R672" s="29">
        <v>8499</v>
      </c>
      <c r="S672" s="29">
        <v>19977</v>
      </c>
      <c r="T672" s="28">
        <v>3</v>
      </c>
      <c r="U672" s="28">
        <v>10</v>
      </c>
      <c r="V672" s="28">
        <v>16</v>
      </c>
      <c r="W672" s="30">
        <v>46275.541666666664</v>
      </c>
      <c r="X672" s="32"/>
      <c r="Y672" s="28">
        <v>0</v>
      </c>
      <c r="Z672" s="33">
        <v>20127</v>
      </c>
      <c r="AA672">
        <v>167.31</v>
      </c>
      <c r="AB672" s="18">
        <v>0.99005858334812702</v>
      </c>
      <c r="AC672" s="19">
        <v>1.990058583348127</v>
      </c>
      <c r="AD672" s="19">
        <v>1.3125</v>
      </c>
      <c r="AE672" s="19">
        <v>1.4583333333333335</v>
      </c>
    </row>
    <row r="673" spans="1:31">
      <c r="A673">
        <v>677</v>
      </c>
      <c r="B673" t="s">
        <v>116</v>
      </c>
      <c r="C673" t="s">
        <v>109</v>
      </c>
      <c r="D673" t="s">
        <v>111</v>
      </c>
      <c r="E673" s="20">
        <v>46107</v>
      </c>
      <c r="F673" s="21" t="s">
        <v>218</v>
      </c>
      <c r="G673" s="25"/>
      <c r="H673" s="21" t="s">
        <v>118</v>
      </c>
      <c r="I673" s="22">
        <v>67000</v>
      </c>
      <c r="J673" s="21" t="s">
        <v>119</v>
      </c>
      <c r="K673" s="23">
        <v>46199.833333333336</v>
      </c>
      <c r="L673" s="21">
        <v>778</v>
      </c>
      <c r="M673" s="22">
        <v>3556</v>
      </c>
      <c r="N673" s="24">
        <v>213.41</v>
      </c>
      <c r="O673" s="24">
        <v>455</v>
      </c>
      <c r="P673" s="24">
        <v>974.32</v>
      </c>
      <c r="Q673" s="21">
        <v>181</v>
      </c>
      <c r="R673" s="22">
        <v>8145</v>
      </c>
      <c r="S673" s="22">
        <v>19722</v>
      </c>
      <c r="T673" s="21">
        <v>2</v>
      </c>
      <c r="U673" s="21">
        <v>7</v>
      </c>
      <c r="V673" s="21">
        <v>10</v>
      </c>
      <c r="W673" s="23">
        <v>46275.5</v>
      </c>
      <c r="X673" s="25"/>
      <c r="Y673" s="21">
        <v>0</v>
      </c>
      <c r="Z673" s="26">
        <v>19882</v>
      </c>
      <c r="AA673">
        <v>241.59</v>
      </c>
      <c r="AB673" s="18">
        <v>1.1320462958624244</v>
      </c>
      <c r="AC673" s="19">
        <v>2.1320462958624247</v>
      </c>
      <c r="AD673" s="19">
        <v>1.4</v>
      </c>
      <c r="AE673" s="19">
        <v>1.6333333333333333</v>
      </c>
    </row>
    <row r="674" spans="1:31">
      <c r="A674">
        <v>678</v>
      </c>
      <c r="B674" t="s">
        <v>110</v>
      </c>
      <c r="C674" t="s">
        <v>115</v>
      </c>
      <c r="D674" t="s">
        <v>111</v>
      </c>
      <c r="E674" s="27">
        <v>46107</v>
      </c>
      <c r="F674" s="28" t="s">
        <v>219</v>
      </c>
      <c r="G674" s="32"/>
      <c r="H674" s="28" t="s">
        <v>164</v>
      </c>
      <c r="I674" s="29">
        <v>54500</v>
      </c>
      <c r="J674" s="28" t="s">
        <v>165</v>
      </c>
      <c r="K674" s="30">
        <v>46199.833333333336</v>
      </c>
      <c r="L674" s="28">
        <v>567</v>
      </c>
      <c r="M674" s="29">
        <v>2782</v>
      </c>
      <c r="N674" s="31">
        <v>325.8</v>
      </c>
      <c r="O674" s="31">
        <v>539.44000000000005</v>
      </c>
      <c r="P674" s="31">
        <v>1212.77</v>
      </c>
      <c r="Q674" s="28">
        <v>181</v>
      </c>
      <c r="R674" s="29">
        <v>8130</v>
      </c>
      <c r="S674" s="29">
        <v>19695</v>
      </c>
      <c r="T674" s="28">
        <v>3</v>
      </c>
      <c r="U674" s="28">
        <v>12</v>
      </c>
      <c r="V674" s="28">
        <v>18</v>
      </c>
      <c r="W674" s="30">
        <v>46275.375</v>
      </c>
      <c r="X674" s="32"/>
      <c r="Y674" s="28">
        <v>0</v>
      </c>
      <c r="Z674" s="33">
        <v>19845</v>
      </c>
      <c r="AA674">
        <v>213.64000000000004</v>
      </c>
      <c r="AB674" s="18">
        <v>0.65573971761817074</v>
      </c>
      <c r="AC674" s="19">
        <v>1.6557397176181707</v>
      </c>
      <c r="AD674" s="19">
        <v>1.1666666666666665</v>
      </c>
      <c r="AE674" s="19">
        <v>1.5555555555555554</v>
      </c>
    </row>
    <row r="675" spans="1:31">
      <c r="A675">
        <v>679</v>
      </c>
      <c r="B675" t="s">
        <v>138</v>
      </c>
      <c r="C675" t="s">
        <v>130</v>
      </c>
      <c r="D675" t="s">
        <v>131</v>
      </c>
      <c r="E675" s="20">
        <v>46107</v>
      </c>
      <c r="F675" s="21" t="s">
        <v>197</v>
      </c>
      <c r="G675" s="25"/>
      <c r="H675" s="21" t="s">
        <v>140</v>
      </c>
      <c r="I675" s="22">
        <v>75000</v>
      </c>
      <c r="J675" s="21" t="s">
        <v>141</v>
      </c>
      <c r="K675" s="23">
        <v>46195.833333333336</v>
      </c>
      <c r="L675" s="21">
        <v>821</v>
      </c>
      <c r="M675" s="22">
        <v>3487</v>
      </c>
      <c r="N675" s="24">
        <v>135</v>
      </c>
      <c r="O675" s="24">
        <v>400</v>
      </c>
      <c r="P675" s="24">
        <v>711.55</v>
      </c>
      <c r="Q675" s="21">
        <v>215</v>
      </c>
      <c r="R675" s="22">
        <v>7863</v>
      </c>
      <c r="S675" s="22">
        <v>19665</v>
      </c>
      <c r="T675" s="21">
        <v>3</v>
      </c>
      <c r="U675" s="21">
        <v>7</v>
      </c>
      <c r="V675" s="21">
        <v>20</v>
      </c>
      <c r="W675" s="23">
        <v>46275.5</v>
      </c>
      <c r="X675" s="25"/>
      <c r="Y675" s="21">
        <v>0</v>
      </c>
      <c r="Z675" s="26">
        <v>19815</v>
      </c>
      <c r="AA675">
        <v>265</v>
      </c>
      <c r="AB675" s="18">
        <v>1.962962962962963</v>
      </c>
      <c r="AC675" s="19">
        <v>2.9629629629629628</v>
      </c>
      <c r="AD675" s="19">
        <v>1.05</v>
      </c>
      <c r="AE675" s="19">
        <v>0.81666666666666665</v>
      </c>
    </row>
    <row r="676" spans="1:31">
      <c r="A676">
        <v>680</v>
      </c>
      <c r="B676" t="s">
        <v>107</v>
      </c>
      <c r="C676" t="s">
        <v>102</v>
      </c>
      <c r="D676" t="s">
        <v>104</v>
      </c>
      <c r="E676" s="27">
        <v>46107</v>
      </c>
      <c r="F676" s="28" t="s">
        <v>220</v>
      </c>
      <c r="G676" s="32"/>
      <c r="H676" s="28" t="s">
        <v>62</v>
      </c>
      <c r="I676" s="29">
        <v>71500</v>
      </c>
      <c r="J676" s="28" t="s">
        <v>63</v>
      </c>
      <c r="K676" s="30">
        <v>46199.791666666664</v>
      </c>
      <c r="L676" s="28">
        <v>900</v>
      </c>
      <c r="M676" s="29">
        <v>4094</v>
      </c>
      <c r="N676" s="31">
        <v>142.49</v>
      </c>
      <c r="O676" s="31">
        <v>375.05</v>
      </c>
      <c r="P676" s="31">
        <v>1059.3499999999999</v>
      </c>
      <c r="Q676" s="28">
        <v>191</v>
      </c>
      <c r="R676" s="29">
        <v>8085</v>
      </c>
      <c r="S676" s="29">
        <v>19473</v>
      </c>
      <c r="T676" s="28">
        <v>5</v>
      </c>
      <c r="U676" s="28">
        <v>13</v>
      </c>
      <c r="V676" s="28">
        <v>31</v>
      </c>
      <c r="W676" s="30">
        <v>46275.583333333336</v>
      </c>
      <c r="X676" s="32"/>
      <c r="Y676" s="28">
        <v>0</v>
      </c>
      <c r="Z676" s="33">
        <v>19614</v>
      </c>
      <c r="AA676">
        <v>232.56</v>
      </c>
      <c r="AB676" s="18">
        <v>1.6321145343532879</v>
      </c>
      <c r="AC676" s="19">
        <v>2.6321145343532879</v>
      </c>
      <c r="AD676" s="19">
        <v>1.129032258064516</v>
      </c>
      <c r="AE676" s="19">
        <v>0.97849462365591389</v>
      </c>
    </row>
    <row r="677" spans="1:31">
      <c r="A677">
        <v>681</v>
      </c>
      <c r="B677" t="s">
        <v>106</v>
      </c>
      <c r="C677" t="s">
        <v>102</v>
      </c>
      <c r="D677" t="s">
        <v>104</v>
      </c>
      <c r="E677" s="20">
        <v>46107</v>
      </c>
      <c r="F677" s="21" t="s">
        <v>190</v>
      </c>
      <c r="G677" s="25"/>
      <c r="H677" s="21" t="s">
        <v>79</v>
      </c>
      <c r="I677" s="22">
        <v>71000</v>
      </c>
      <c r="J677" s="21" t="s">
        <v>80</v>
      </c>
      <c r="K677" s="23">
        <v>46194.5</v>
      </c>
      <c r="L677" s="21">
        <v>788</v>
      </c>
      <c r="M677" s="22">
        <v>3579</v>
      </c>
      <c r="N677" s="24">
        <v>387.3</v>
      </c>
      <c r="O677" s="24">
        <v>650.75</v>
      </c>
      <c r="P677" s="24">
        <v>1081.02</v>
      </c>
      <c r="Q677" s="21">
        <v>172</v>
      </c>
      <c r="R677" s="22">
        <v>7665</v>
      </c>
      <c r="S677" s="22">
        <v>19090</v>
      </c>
      <c r="T677" s="21">
        <v>8</v>
      </c>
      <c r="U677" s="21">
        <v>35</v>
      </c>
      <c r="V677" s="21">
        <v>65</v>
      </c>
      <c r="W677" s="23">
        <v>46275.625</v>
      </c>
      <c r="X677" s="25"/>
      <c r="Y677" s="21">
        <v>0</v>
      </c>
      <c r="Z677" s="26">
        <v>19218</v>
      </c>
      <c r="AA677">
        <v>263.45</v>
      </c>
      <c r="AB677" s="18">
        <v>0.68022205009036918</v>
      </c>
      <c r="AC677" s="19">
        <v>1.6802220500903691</v>
      </c>
      <c r="AD677" s="19">
        <v>0.86153846153846148</v>
      </c>
      <c r="AE677" s="19">
        <v>1.2564102564102562</v>
      </c>
    </row>
    <row r="678" spans="1:31">
      <c r="A678">
        <v>682</v>
      </c>
      <c r="B678" t="s">
        <v>124</v>
      </c>
      <c r="C678" t="s">
        <v>51</v>
      </c>
      <c r="D678" t="s">
        <v>53</v>
      </c>
      <c r="E678" s="27">
        <v>46107</v>
      </c>
      <c r="F678" s="28" t="s">
        <v>207</v>
      </c>
      <c r="G678" s="32"/>
      <c r="H678" s="28" t="s">
        <v>56</v>
      </c>
      <c r="I678" s="29">
        <v>98500</v>
      </c>
      <c r="J678" s="28" t="s">
        <v>57</v>
      </c>
      <c r="K678" s="30">
        <v>46197.833333333336</v>
      </c>
      <c r="L678" s="28">
        <v>460</v>
      </c>
      <c r="M678" s="29">
        <v>2896</v>
      </c>
      <c r="N678" s="31">
        <v>1257.42</v>
      </c>
      <c r="O678" s="31">
        <v>2102.09</v>
      </c>
      <c r="P678" s="31">
        <v>3525.47</v>
      </c>
      <c r="Q678" s="28">
        <v>238</v>
      </c>
      <c r="R678" s="29">
        <v>7703</v>
      </c>
      <c r="S678" s="29">
        <v>18977</v>
      </c>
      <c r="T678" s="28">
        <v>4</v>
      </c>
      <c r="U678" s="28">
        <v>7</v>
      </c>
      <c r="V678" s="28">
        <v>13</v>
      </c>
      <c r="W678" s="30">
        <v>46275.541666666664</v>
      </c>
      <c r="X678" s="32"/>
      <c r="Y678" s="28">
        <v>0</v>
      </c>
      <c r="Z678" s="33">
        <v>19117</v>
      </c>
      <c r="AA678">
        <v>844.67000000000007</v>
      </c>
      <c r="AB678" s="18">
        <v>0.67174850089866556</v>
      </c>
      <c r="AC678" s="19">
        <v>1.6717485008986654</v>
      </c>
      <c r="AD678" s="19">
        <v>2.1538461538461537</v>
      </c>
      <c r="AE678" s="19">
        <v>1.2564102564102564</v>
      </c>
    </row>
    <row r="679" spans="1:31">
      <c r="A679">
        <v>683</v>
      </c>
      <c r="B679" t="s">
        <v>93</v>
      </c>
      <c r="C679" t="s">
        <v>94</v>
      </c>
      <c r="D679" t="s">
        <v>95</v>
      </c>
      <c r="E679" s="20">
        <v>46107</v>
      </c>
      <c r="F679" s="21" t="s">
        <v>96</v>
      </c>
      <c r="G679" s="25"/>
      <c r="H679" s="21" t="s">
        <v>74</v>
      </c>
      <c r="I679" s="22">
        <v>80000</v>
      </c>
      <c r="J679" s="21" t="s">
        <v>75</v>
      </c>
      <c r="K679" s="23">
        <v>46187.625</v>
      </c>
      <c r="L679" s="21">
        <v>643</v>
      </c>
      <c r="M679" s="22">
        <v>2880</v>
      </c>
      <c r="N679" s="24">
        <v>467</v>
      </c>
      <c r="O679" s="24">
        <v>935.02</v>
      </c>
      <c r="P679" s="24">
        <v>1382.34</v>
      </c>
      <c r="Q679" s="21">
        <v>229</v>
      </c>
      <c r="R679" s="22">
        <v>7131</v>
      </c>
      <c r="S679" s="22">
        <v>18163</v>
      </c>
      <c r="T679" s="21">
        <v>7</v>
      </c>
      <c r="U679" s="21">
        <v>22</v>
      </c>
      <c r="V679" s="21">
        <v>38</v>
      </c>
      <c r="W679" s="23">
        <v>46275.583333333336</v>
      </c>
      <c r="X679" s="25"/>
      <c r="Y679" s="21">
        <v>0</v>
      </c>
      <c r="Z679" s="26">
        <v>18257</v>
      </c>
      <c r="AA679">
        <v>468.02</v>
      </c>
      <c r="AB679" s="18">
        <v>1.0021841541755889</v>
      </c>
      <c r="AC679" s="19">
        <v>2.0021841541755889</v>
      </c>
      <c r="AD679" s="19">
        <v>1.2894736842105263</v>
      </c>
      <c r="AE679" s="19">
        <v>1.3508771929824561</v>
      </c>
    </row>
    <row r="680" spans="1:31">
      <c r="A680">
        <v>684</v>
      </c>
      <c r="B680" t="s">
        <v>161</v>
      </c>
      <c r="C680" t="s">
        <v>162</v>
      </c>
      <c r="D680" t="s">
        <v>159</v>
      </c>
      <c r="E680" s="27">
        <v>46107</v>
      </c>
      <c r="F680" s="28" t="s">
        <v>163</v>
      </c>
      <c r="G680" s="32"/>
      <c r="H680" s="28" t="s">
        <v>164</v>
      </c>
      <c r="I680" s="29">
        <v>54500</v>
      </c>
      <c r="J680" s="28" t="s">
        <v>165</v>
      </c>
      <c r="K680" s="30">
        <v>46191.625</v>
      </c>
      <c r="L680" s="28">
        <v>662</v>
      </c>
      <c r="M680" s="29">
        <v>3146</v>
      </c>
      <c r="N680" s="31">
        <v>501.95</v>
      </c>
      <c r="O680" s="31">
        <v>860</v>
      </c>
      <c r="P680" s="31">
        <v>1291.93</v>
      </c>
      <c r="Q680" s="28">
        <v>155</v>
      </c>
      <c r="R680" s="29">
        <v>6971</v>
      </c>
      <c r="S680" s="29">
        <v>17628</v>
      </c>
      <c r="T680" s="28">
        <v>2</v>
      </c>
      <c r="U680" s="28">
        <v>6</v>
      </c>
      <c r="V680" s="28">
        <v>14</v>
      </c>
      <c r="W680" s="30">
        <v>46275.375</v>
      </c>
      <c r="X680" s="32"/>
      <c r="Y680" s="28">
        <v>0</v>
      </c>
      <c r="Z680" s="33">
        <v>17772</v>
      </c>
      <c r="AA680">
        <v>358.05</v>
      </c>
      <c r="AB680" s="18">
        <v>0.71331805956768601</v>
      </c>
      <c r="AC680" s="19">
        <v>1.713318059567686</v>
      </c>
      <c r="AD680" s="19">
        <v>1</v>
      </c>
      <c r="AE680" s="19">
        <v>1</v>
      </c>
    </row>
    <row r="681" spans="1:31">
      <c r="A681">
        <v>685</v>
      </c>
      <c r="B681" t="s">
        <v>183</v>
      </c>
      <c r="C681" t="s">
        <v>185</v>
      </c>
      <c r="D681" t="s">
        <v>60</v>
      </c>
      <c r="E681" s="20">
        <v>46107</v>
      </c>
      <c r="F681" s="21" t="s">
        <v>283</v>
      </c>
      <c r="G681" s="25"/>
      <c r="H681" s="21" t="s">
        <v>171</v>
      </c>
      <c r="I681" s="22">
        <v>69176</v>
      </c>
      <c r="J681" s="21" t="s">
        <v>172</v>
      </c>
      <c r="K681" s="23">
        <v>46187.791666666664</v>
      </c>
      <c r="L681" s="21">
        <v>701</v>
      </c>
      <c r="M681" s="22">
        <v>3133</v>
      </c>
      <c r="N681" s="24">
        <v>495</v>
      </c>
      <c r="O681" s="24">
        <v>737.89</v>
      </c>
      <c r="P681" s="24">
        <v>1059.23</v>
      </c>
      <c r="Q681" s="21">
        <v>146</v>
      </c>
      <c r="R681" s="22">
        <v>6699</v>
      </c>
      <c r="S681" s="22">
        <v>17537</v>
      </c>
      <c r="T681" s="21">
        <v>7</v>
      </c>
      <c r="U681" s="21">
        <v>25</v>
      </c>
      <c r="V681" s="21">
        <v>47</v>
      </c>
      <c r="W681" s="23">
        <v>46275.625</v>
      </c>
      <c r="X681" s="25"/>
      <c r="Y681" s="21">
        <v>0</v>
      </c>
      <c r="Z681" s="26">
        <v>17628</v>
      </c>
      <c r="AA681">
        <v>242.89</v>
      </c>
      <c r="AB681" s="18">
        <v>0.49068686868686867</v>
      </c>
      <c r="AC681" s="19">
        <v>1.4906868686868686</v>
      </c>
      <c r="AD681" s="19">
        <v>1.0425531914893618</v>
      </c>
      <c r="AE681" s="19">
        <v>1.2411347517730498</v>
      </c>
    </row>
    <row r="682" spans="1:31">
      <c r="A682">
        <v>686</v>
      </c>
      <c r="B682" t="s">
        <v>58</v>
      </c>
      <c r="C682" t="s">
        <v>59</v>
      </c>
      <c r="D682" t="s">
        <v>60</v>
      </c>
      <c r="E682" s="27">
        <v>46107</v>
      </c>
      <c r="F682" s="28" t="s">
        <v>61</v>
      </c>
      <c r="G682" s="32"/>
      <c r="H682" s="28" t="s">
        <v>62</v>
      </c>
      <c r="I682" s="29">
        <v>71500</v>
      </c>
      <c r="J682" s="28" t="s">
        <v>63</v>
      </c>
      <c r="K682" s="30">
        <v>46187.5</v>
      </c>
      <c r="L682" s="28">
        <v>862</v>
      </c>
      <c r="M682" s="29">
        <v>3772</v>
      </c>
      <c r="N682" s="31">
        <v>353.78</v>
      </c>
      <c r="O682" s="31">
        <v>630.12</v>
      </c>
      <c r="P682" s="31">
        <v>955.06</v>
      </c>
      <c r="Q682" s="28">
        <v>171</v>
      </c>
      <c r="R682" s="29">
        <v>6685</v>
      </c>
      <c r="S682" s="29">
        <v>17463</v>
      </c>
      <c r="T682" s="28">
        <v>2</v>
      </c>
      <c r="U682" s="28">
        <v>8</v>
      </c>
      <c r="V682" s="28">
        <v>29</v>
      </c>
      <c r="W682" s="30">
        <v>46275.583333333336</v>
      </c>
      <c r="X682" s="32"/>
      <c r="Y682" s="28">
        <v>0</v>
      </c>
      <c r="Z682" s="33">
        <v>17555</v>
      </c>
      <c r="AA682">
        <v>276.34000000000003</v>
      </c>
      <c r="AB682" s="18">
        <v>0.78110690259483306</v>
      </c>
      <c r="AC682" s="19">
        <v>1.7811069025948332</v>
      </c>
      <c r="AD682" s="19">
        <v>0.48275862068965514</v>
      </c>
      <c r="AE682" s="19">
        <v>0.64367816091954011</v>
      </c>
    </row>
    <row r="683" spans="1:31">
      <c r="A683">
        <v>687</v>
      </c>
      <c r="B683" t="s">
        <v>185</v>
      </c>
      <c r="C683" t="s">
        <v>59</v>
      </c>
      <c r="D683" t="s">
        <v>60</v>
      </c>
      <c r="E683" s="20">
        <v>46107</v>
      </c>
      <c r="F683" s="21" t="s">
        <v>186</v>
      </c>
      <c r="G683" s="25"/>
      <c r="H683" s="21" t="s">
        <v>68</v>
      </c>
      <c r="I683" s="22">
        <v>76416</v>
      </c>
      <c r="J683" s="21" t="s">
        <v>69</v>
      </c>
      <c r="K683" s="23">
        <v>46193.791666666664</v>
      </c>
      <c r="L683" s="21">
        <v>710</v>
      </c>
      <c r="M683" s="22">
        <v>3211</v>
      </c>
      <c r="N683" s="24">
        <v>311.39999999999998</v>
      </c>
      <c r="O683" s="24">
        <v>530.67999999999995</v>
      </c>
      <c r="P683" s="24">
        <v>926.93</v>
      </c>
      <c r="Q683" s="21">
        <v>154</v>
      </c>
      <c r="R683" s="22">
        <v>6900</v>
      </c>
      <c r="S683" s="22">
        <v>17373</v>
      </c>
      <c r="T683" s="21">
        <v>3</v>
      </c>
      <c r="U683" s="21">
        <v>10</v>
      </c>
      <c r="V683" s="21">
        <v>32</v>
      </c>
      <c r="W683" s="23">
        <v>46275.583333333336</v>
      </c>
      <c r="X683" s="25"/>
      <c r="Y683" s="21">
        <v>0</v>
      </c>
      <c r="Z683" s="26">
        <v>17500</v>
      </c>
      <c r="AA683">
        <v>219.27999999999997</v>
      </c>
      <c r="AB683" s="18">
        <v>0.70417469492613993</v>
      </c>
      <c r="AC683" s="19">
        <v>1.70417469492614</v>
      </c>
      <c r="AD683" s="19">
        <v>0.65625</v>
      </c>
      <c r="AE683" s="19">
        <v>0.72916666666666674</v>
      </c>
    </row>
    <row r="684" spans="1:31">
      <c r="A684">
        <v>688</v>
      </c>
      <c r="B684" t="s">
        <v>175</v>
      </c>
      <c r="C684" t="s">
        <v>168</v>
      </c>
      <c r="D684" t="s">
        <v>169</v>
      </c>
      <c r="E684" s="27">
        <v>46107</v>
      </c>
      <c r="F684" s="28" t="s">
        <v>204</v>
      </c>
      <c r="G684" s="32"/>
      <c r="H684" s="28" t="s">
        <v>79</v>
      </c>
      <c r="I684" s="29">
        <v>71000</v>
      </c>
      <c r="J684" s="28" t="s">
        <v>80</v>
      </c>
      <c r="K684" s="30">
        <v>46197.75</v>
      </c>
      <c r="L684" s="28">
        <v>917</v>
      </c>
      <c r="M684" s="29">
        <v>3926</v>
      </c>
      <c r="N684" s="31">
        <v>252.66</v>
      </c>
      <c r="O684" s="31">
        <v>475.33</v>
      </c>
      <c r="P684" s="31">
        <v>856.19</v>
      </c>
      <c r="Q684" s="28">
        <v>207</v>
      </c>
      <c r="R684" s="29">
        <v>7181</v>
      </c>
      <c r="S684" s="29">
        <v>17318</v>
      </c>
      <c r="T684" s="28">
        <v>4</v>
      </c>
      <c r="U684" s="28">
        <v>10</v>
      </c>
      <c r="V684" s="28">
        <v>31</v>
      </c>
      <c r="W684" s="30">
        <v>46275.625</v>
      </c>
      <c r="X684" s="32"/>
      <c r="Y684" s="28">
        <v>0</v>
      </c>
      <c r="Z684" s="33">
        <v>17443</v>
      </c>
      <c r="AA684">
        <v>222.67</v>
      </c>
      <c r="AB684" s="18">
        <v>0.88130293675294857</v>
      </c>
      <c r="AC684" s="19">
        <v>1.8813029367529486</v>
      </c>
      <c r="AD684" s="19">
        <v>0.90322580645161288</v>
      </c>
      <c r="AE684" s="19">
        <v>0.75268817204301075</v>
      </c>
    </row>
    <row r="685" spans="1:31">
      <c r="A685">
        <v>689</v>
      </c>
      <c r="B685" t="s">
        <v>168</v>
      </c>
      <c r="C685" t="s">
        <v>174</v>
      </c>
      <c r="D685" t="s">
        <v>169</v>
      </c>
      <c r="E685" s="20">
        <v>46107</v>
      </c>
      <c r="F685" s="21" t="s">
        <v>203</v>
      </c>
      <c r="G685" s="25"/>
      <c r="H685" s="21" t="s">
        <v>127</v>
      </c>
      <c r="I685" s="22">
        <v>68756</v>
      </c>
      <c r="J685" s="21" t="s">
        <v>128</v>
      </c>
      <c r="K685" s="23">
        <v>46186.875</v>
      </c>
      <c r="L685" s="21">
        <v>764</v>
      </c>
      <c r="M685" s="22">
        <v>3313</v>
      </c>
      <c r="N685" s="24">
        <v>500.11</v>
      </c>
      <c r="O685" s="24">
        <v>838.02</v>
      </c>
      <c r="P685" s="24">
        <v>1188</v>
      </c>
      <c r="Q685" s="21">
        <v>163</v>
      </c>
      <c r="R685" s="22">
        <v>7297</v>
      </c>
      <c r="S685" s="22">
        <v>16966</v>
      </c>
      <c r="T685" s="21">
        <v>7</v>
      </c>
      <c r="U685" s="21">
        <v>15</v>
      </c>
      <c r="V685" s="21">
        <v>32</v>
      </c>
      <c r="W685" s="23">
        <v>46275.625</v>
      </c>
      <c r="X685" s="25"/>
      <c r="Y685" s="21">
        <v>0</v>
      </c>
      <c r="Z685" s="26">
        <v>17090</v>
      </c>
      <c r="AA685">
        <v>337.90999999999997</v>
      </c>
      <c r="AB685" s="18">
        <v>0.67567135230249342</v>
      </c>
      <c r="AC685" s="19">
        <v>1.6756713523024933</v>
      </c>
      <c r="AD685" s="19">
        <v>1.53125</v>
      </c>
      <c r="AE685" s="19">
        <v>1.09375</v>
      </c>
    </row>
    <row r="686" spans="1:31">
      <c r="A686">
        <v>690</v>
      </c>
      <c r="B686" t="s">
        <v>93</v>
      </c>
      <c r="C686" t="s">
        <v>97</v>
      </c>
      <c r="D686" t="s">
        <v>95</v>
      </c>
      <c r="E686" s="27">
        <v>46107</v>
      </c>
      <c r="F686" s="28" t="s">
        <v>187</v>
      </c>
      <c r="G686" s="32"/>
      <c r="H686" s="28" t="s">
        <v>62</v>
      </c>
      <c r="I686" s="29">
        <v>71500</v>
      </c>
      <c r="J686" s="28" t="s">
        <v>63</v>
      </c>
      <c r="K686" s="30">
        <v>46193.5</v>
      </c>
      <c r="L686" s="28">
        <v>690</v>
      </c>
      <c r="M686" s="29">
        <v>3208</v>
      </c>
      <c r="N686" s="31">
        <v>343.75</v>
      </c>
      <c r="O686" s="31">
        <v>743.84</v>
      </c>
      <c r="P686" s="31">
        <v>1259.4000000000001</v>
      </c>
      <c r="Q686" s="28">
        <v>145</v>
      </c>
      <c r="R686" s="29">
        <v>6710</v>
      </c>
      <c r="S686" s="29">
        <v>16858</v>
      </c>
      <c r="T686" s="28">
        <v>5</v>
      </c>
      <c r="U686" s="28">
        <v>11</v>
      </c>
      <c r="V686" s="28">
        <v>26</v>
      </c>
      <c r="W686" s="30">
        <v>46275.583333333336</v>
      </c>
      <c r="X686" s="32"/>
      <c r="Y686" s="28">
        <v>0</v>
      </c>
      <c r="Z686" s="33">
        <v>16981</v>
      </c>
      <c r="AA686">
        <v>400.09000000000003</v>
      </c>
      <c r="AB686" s="18">
        <v>1.1638981818181819</v>
      </c>
      <c r="AC686" s="19">
        <v>2.1638981818181819</v>
      </c>
      <c r="AD686" s="19">
        <v>1.346153846153846</v>
      </c>
      <c r="AE686" s="19">
        <v>0.98717948717948711</v>
      </c>
    </row>
    <row r="687" spans="1:31">
      <c r="A687">
        <v>691</v>
      </c>
      <c r="B687" t="s">
        <v>124</v>
      </c>
      <c r="C687" t="s">
        <v>52</v>
      </c>
      <c r="D687" t="s">
        <v>53</v>
      </c>
      <c r="E687" s="20">
        <v>46107</v>
      </c>
      <c r="F687" s="21" t="s">
        <v>157</v>
      </c>
      <c r="G687" s="25"/>
      <c r="H687" s="21" t="s">
        <v>79</v>
      </c>
      <c r="I687" s="22">
        <v>71000</v>
      </c>
      <c r="J687" s="21" t="s">
        <v>80</v>
      </c>
      <c r="K687" s="23">
        <v>46191.5</v>
      </c>
      <c r="L687" s="21">
        <v>706</v>
      </c>
      <c r="M687" s="22">
        <v>3289</v>
      </c>
      <c r="N687" s="24">
        <v>275</v>
      </c>
      <c r="O687" s="24">
        <v>518.76</v>
      </c>
      <c r="P687" s="24">
        <v>1012.56</v>
      </c>
      <c r="Q687" s="21">
        <v>141</v>
      </c>
      <c r="R687" s="22">
        <v>6798</v>
      </c>
      <c r="S687" s="22">
        <v>16719</v>
      </c>
      <c r="T687" s="21">
        <v>5</v>
      </c>
      <c r="U687" s="21">
        <v>13</v>
      </c>
      <c r="V687" s="21">
        <v>30</v>
      </c>
      <c r="W687" s="23">
        <v>46275.625</v>
      </c>
      <c r="X687" s="25"/>
      <c r="Y687" s="21">
        <v>0</v>
      </c>
      <c r="Z687" s="26">
        <v>16843</v>
      </c>
      <c r="AA687">
        <v>243.76</v>
      </c>
      <c r="AB687" s="18">
        <v>0.88639999999999997</v>
      </c>
      <c r="AC687" s="19">
        <v>1.8864000000000001</v>
      </c>
      <c r="AD687" s="19">
        <v>1.1666666666666667</v>
      </c>
      <c r="AE687" s="19">
        <v>1.0111111111111111</v>
      </c>
    </row>
    <row r="688" spans="1:31">
      <c r="A688">
        <v>692</v>
      </c>
      <c r="B688" t="s">
        <v>98</v>
      </c>
      <c r="C688" t="s">
        <v>93</v>
      </c>
      <c r="D688" t="s">
        <v>95</v>
      </c>
      <c r="E688" s="27">
        <v>46107</v>
      </c>
      <c r="F688" s="28" t="s">
        <v>212</v>
      </c>
      <c r="G688" s="32"/>
      <c r="H688" s="28" t="s">
        <v>68</v>
      </c>
      <c r="I688" s="29">
        <v>76416</v>
      </c>
      <c r="J688" s="28" t="s">
        <v>69</v>
      </c>
      <c r="K688" s="30">
        <v>46198.75</v>
      </c>
      <c r="L688" s="28">
        <v>690</v>
      </c>
      <c r="M688" s="29">
        <v>3184</v>
      </c>
      <c r="N688" s="31">
        <v>346.37</v>
      </c>
      <c r="O688" s="31">
        <v>548.01</v>
      </c>
      <c r="P688" s="31">
        <v>1199.67</v>
      </c>
      <c r="Q688" s="28">
        <v>205</v>
      </c>
      <c r="R688" s="29">
        <v>6798</v>
      </c>
      <c r="S688" s="29">
        <v>16691</v>
      </c>
      <c r="T688" s="28">
        <v>1</v>
      </c>
      <c r="U688" s="28">
        <v>10</v>
      </c>
      <c r="V688" s="28">
        <v>24</v>
      </c>
      <c r="W688" s="30">
        <v>46275.583333333336</v>
      </c>
      <c r="X688" s="32"/>
      <c r="Y688" s="28">
        <v>0</v>
      </c>
      <c r="Z688" s="33">
        <v>16821</v>
      </c>
      <c r="AA688">
        <v>201.64</v>
      </c>
      <c r="AB688" s="18">
        <v>0.58215203395213211</v>
      </c>
      <c r="AC688" s="19">
        <v>1.582152033952132</v>
      </c>
      <c r="AD688" s="19">
        <v>0.29166666666666669</v>
      </c>
      <c r="AE688" s="19">
        <v>0.97222222222222232</v>
      </c>
    </row>
    <row r="689" spans="1:31">
      <c r="A689">
        <v>693</v>
      </c>
      <c r="B689" t="s">
        <v>94</v>
      </c>
      <c r="C689" t="s">
        <v>124</v>
      </c>
      <c r="D689" t="s">
        <v>95</v>
      </c>
      <c r="E689" s="20">
        <v>46107</v>
      </c>
      <c r="F689" s="21" t="s">
        <v>211</v>
      </c>
      <c r="G689" s="25"/>
      <c r="H689" s="21" t="s">
        <v>74</v>
      </c>
      <c r="I689" s="22">
        <v>80000</v>
      </c>
      <c r="J689" s="21" t="s">
        <v>75</v>
      </c>
      <c r="K689" s="23">
        <v>46198.75</v>
      </c>
      <c r="L689" s="21">
        <v>574</v>
      </c>
      <c r="M689" s="22">
        <v>2714</v>
      </c>
      <c r="N689" s="24">
        <v>402.58</v>
      </c>
      <c r="O689" s="24">
        <v>710</v>
      </c>
      <c r="P689" s="24">
        <v>1273.75</v>
      </c>
      <c r="Q689" s="21">
        <v>206</v>
      </c>
      <c r="R689" s="22">
        <v>6784</v>
      </c>
      <c r="S689" s="22">
        <v>16333</v>
      </c>
      <c r="T689" s="21">
        <v>2</v>
      </c>
      <c r="U689" s="21">
        <v>6</v>
      </c>
      <c r="V689" s="21">
        <v>21</v>
      </c>
      <c r="W689" s="23">
        <v>46275.583333333336</v>
      </c>
      <c r="X689" s="25"/>
      <c r="Y689" s="21">
        <v>0</v>
      </c>
      <c r="Z689" s="26">
        <v>16463</v>
      </c>
      <c r="AA689">
        <v>307.42</v>
      </c>
      <c r="AB689" s="18">
        <v>0.76362462119330321</v>
      </c>
      <c r="AC689" s="19">
        <v>1.7636246211933033</v>
      </c>
      <c r="AD689" s="19">
        <v>0.66666666666666663</v>
      </c>
      <c r="AE689" s="19">
        <v>0.66666666666666663</v>
      </c>
    </row>
    <row r="690" spans="1:31">
      <c r="A690">
        <v>694</v>
      </c>
      <c r="B690" t="s">
        <v>124</v>
      </c>
      <c r="C690" t="s">
        <v>177</v>
      </c>
      <c r="D690" t="s">
        <v>178</v>
      </c>
      <c r="E690" s="27">
        <v>46107</v>
      </c>
      <c r="F690" s="28" t="s">
        <v>179</v>
      </c>
      <c r="G690" s="32"/>
      <c r="H690" s="28" t="s">
        <v>140</v>
      </c>
      <c r="I690" s="29">
        <v>75000</v>
      </c>
      <c r="J690" s="28" t="s">
        <v>141</v>
      </c>
      <c r="K690" s="30">
        <v>46192.875</v>
      </c>
      <c r="L690" s="28">
        <v>683</v>
      </c>
      <c r="M690" s="29">
        <v>3151</v>
      </c>
      <c r="N690" s="31">
        <v>241.96</v>
      </c>
      <c r="O690" s="31">
        <v>539.83000000000004</v>
      </c>
      <c r="P690" s="31">
        <v>1000</v>
      </c>
      <c r="Q690" s="28">
        <v>161</v>
      </c>
      <c r="R690" s="29">
        <v>6498</v>
      </c>
      <c r="S690" s="29">
        <v>16222</v>
      </c>
      <c r="T690" s="28">
        <v>4</v>
      </c>
      <c r="U690" s="28">
        <v>13</v>
      </c>
      <c r="V690" s="28">
        <v>26</v>
      </c>
      <c r="W690" s="30">
        <v>46275.5</v>
      </c>
      <c r="X690" s="32"/>
      <c r="Y690" s="28">
        <v>0</v>
      </c>
      <c r="Z690" s="33">
        <v>16356</v>
      </c>
      <c r="AA690">
        <v>297.87</v>
      </c>
      <c r="AB690" s="18">
        <v>1.2310712514465201</v>
      </c>
      <c r="AC690" s="19">
        <v>2.2310712514465201</v>
      </c>
      <c r="AD690" s="19">
        <v>1.0769230769230769</v>
      </c>
      <c r="AE690" s="19">
        <v>1.1666666666666665</v>
      </c>
    </row>
    <row r="691" spans="1:31">
      <c r="A691">
        <v>695</v>
      </c>
      <c r="B691" t="s">
        <v>177</v>
      </c>
      <c r="C691" t="s">
        <v>181</v>
      </c>
      <c r="D691" t="s">
        <v>178</v>
      </c>
      <c r="E691" s="20">
        <v>46107</v>
      </c>
      <c r="F691" s="21" t="s">
        <v>215</v>
      </c>
      <c r="G691" s="25"/>
      <c r="H691" s="21" t="s">
        <v>140</v>
      </c>
      <c r="I691" s="22">
        <v>75000</v>
      </c>
      <c r="J691" s="21" t="s">
        <v>141</v>
      </c>
      <c r="K691" s="23">
        <v>46198.791666666664</v>
      </c>
      <c r="L691" s="21">
        <v>707</v>
      </c>
      <c r="M691" s="22">
        <v>3174</v>
      </c>
      <c r="N691" s="24">
        <v>320</v>
      </c>
      <c r="O691" s="24">
        <v>645.66</v>
      </c>
      <c r="P691" s="24">
        <v>1232</v>
      </c>
      <c r="Q691" s="21">
        <v>142</v>
      </c>
      <c r="R691" s="22">
        <v>6627</v>
      </c>
      <c r="S691" s="22">
        <v>16202</v>
      </c>
      <c r="T691" s="21">
        <v>3</v>
      </c>
      <c r="U691" s="21">
        <v>9</v>
      </c>
      <c r="V691" s="21">
        <v>21</v>
      </c>
      <c r="W691" s="23">
        <v>46275.5</v>
      </c>
      <c r="X691" s="25"/>
      <c r="Y691" s="21">
        <v>0</v>
      </c>
      <c r="Z691" s="26">
        <v>16337</v>
      </c>
      <c r="AA691">
        <v>325.65999999999997</v>
      </c>
      <c r="AB691" s="18">
        <v>1.0176874999999999</v>
      </c>
      <c r="AC691" s="19">
        <v>2.0176875000000001</v>
      </c>
      <c r="AD691" s="19">
        <v>1</v>
      </c>
      <c r="AE691" s="19">
        <v>1</v>
      </c>
    </row>
    <row r="692" spans="1:31">
      <c r="A692">
        <v>696</v>
      </c>
      <c r="B692" t="s">
        <v>130</v>
      </c>
      <c r="C692" t="s">
        <v>137</v>
      </c>
      <c r="D692" t="s">
        <v>131</v>
      </c>
      <c r="E692" s="27">
        <v>46107</v>
      </c>
      <c r="F692" s="28" t="s">
        <v>224</v>
      </c>
      <c r="G692" s="32"/>
      <c r="H692" s="28" t="s">
        <v>68</v>
      </c>
      <c r="I692" s="29">
        <v>76416</v>
      </c>
      <c r="J692" s="28" t="s">
        <v>69</v>
      </c>
      <c r="K692" s="30">
        <v>46200.875</v>
      </c>
      <c r="L692" s="28">
        <v>644</v>
      </c>
      <c r="M692" s="29">
        <v>3098</v>
      </c>
      <c r="N692" s="31">
        <v>253.9</v>
      </c>
      <c r="O692" s="31">
        <v>556.95000000000005</v>
      </c>
      <c r="P692" s="31">
        <v>1667.25</v>
      </c>
      <c r="Q692" s="28">
        <v>191</v>
      </c>
      <c r="R692" s="29">
        <v>6989</v>
      </c>
      <c r="S692" s="29">
        <v>16198</v>
      </c>
      <c r="T692" s="28">
        <v>4</v>
      </c>
      <c r="U692" s="28">
        <v>7</v>
      </c>
      <c r="V692" s="28">
        <v>15</v>
      </c>
      <c r="W692" s="30">
        <v>46275.583333333336</v>
      </c>
      <c r="X692" s="32"/>
      <c r="Y692" s="28">
        <v>0</v>
      </c>
      <c r="Z692" s="33">
        <v>16324</v>
      </c>
      <c r="AA692">
        <v>303.05000000000007</v>
      </c>
      <c r="AB692" s="18">
        <v>1.1935801496652227</v>
      </c>
      <c r="AC692" s="19">
        <v>2.1935801496652227</v>
      </c>
      <c r="AD692" s="19">
        <v>1.8666666666666667</v>
      </c>
      <c r="AE692" s="19">
        <v>1.088888888888889</v>
      </c>
    </row>
    <row r="693" spans="1:31">
      <c r="A693">
        <v>697</v>
      </c>
      <c r="B693" t="s">
        <v>148</v>
      </c>
      <c r="C693" t="s">
        <v>149</v>
      </c>
      <c r="D693" t="s">
        <v>144</v>
      </c>
      <c r="E693" s="20">
        <v>46107</v>
      </c>
      <c r="F693" s="21" t="s">
        <v>150</v>
      </c>
      <c r="G693" s="25"/>
      <c r="H693" s="21" t="s">
        <v>74</v>
      </c>
      <c r="I693" s="22">
        <v>80000</v>
      </c>
      <c r="J693" s="21" t="s">
        <v>75</v>
      </c>
      <c r="K693" s="23">
        <v>46190.625</v>
      </c>
      <c r="L693" s="21">
        <v>788</v>
      </c>
      <c r="M693" s="22">
        <v>4173</v>
      </c>
      <c r="N693" s="24">
        <v>833.76</v>
      </c>
      <c r="O693" s="24">
        <v>1666.93</v>
      </c>
      <c r="P693" s="24">
        <v>2934.36</v>
      </c>
      <c r="Q693" s="21">
        <v>139</v>
      </c>
      <c r="R693" s="22">
        <v>6333</v>
      </c>
      <c r="S693" s="22">
        <v>15627</v>
      </c>
      <c r="T693" s="21">
        <v>6</v>
      </c>
      <c r="U693" s="21">
        <v>18</v>
      </c>
      <c r="V693" s="21">
        <v>30</v>
      </c>
      <c r="W693" s="23">
        <v>46275.583333333336</v>
      </c>
      <c r="X693" s="25"/>
      <c r="Y693" s="21">
        <v>0</v>
      </c>
      <c r="Z693" s="26">
        <v>15763</v>
      </c>
      <c r="AA693">
        <v>833.17000000000007</v>
      </c>
      <c r="AB693" s="18">
        <v>0.99929236231049712</v>
      </c>
      <c r="AC693" s="19">
        <v>1.9992923623104972</v>
      </c>
      <c r="AD693" s="19">
        <v>1.4000000000000001</v>
      </c>
      <c r="AE693" s="19">
        <v>1.4000000000000001</v>
      </c>
    </row>
    <row r="694" spans="1:31">
      <c r="A694">
        <v>698</v>
      </c>
      <c r="B694" t="s">
        <v>174</v>
      </c>
      <c r="C694" t="s">
        <v>167</v>
      </c>
      <c r="D694" t="s">
        <v>169</v>
      </c>
      <c r="E694" s="27">
        <v>46107</v>
      </c>
      <c r="F694" s="28" t="s">
        <v>202</v>
      </c>
      <c r="G694" s="32"/>
      <c r="H694" s="28" t="s">
        <v>85</v>
      </c>
      <c r="I694" s="29">
        <v>76100</v>
      </c>
      <c r="J694" s="28" t="s">
        <v>86</v>
      </c>
      <c r="K694" s="30">
        <v>46197.75</v>
      </c>
      <c r="L694" s="28">
        <v>866</v>
      </c>
      <c r="M694" s="29">
        <v>4479</v>
      </c>
      <c r="N694" s="31">
        <v>1188.9000000000001</v>
      </c>
      <c r="O694" s="31">
        <v>1840.3</v>
      </c>
      <c r="P694" s="31">
        <v>3088.45</v>
      </c>
      <c r="Q694" s="28">
        <v>160</v>
      </c>
      <c r="R694" s="29">
        <v>6591</v>
      </c>
      <c r="S694" s="29">
        <v>15617</v>
      </c>
      <c r="T694" s="28">
        <v>1</v>
      </c>
      <c r="U694" s="28">
        <v>7</v>
      </c>
      <c r="V694" s="28">
        <v>29</v>
      </c>
      <c r="W694" s="30">
        <v>46275.625</v>
      </c>
      <c r="X694" s="32"/>
      <c r="Y694" s="28">
        <v>0</v>
      </c>
      <c r="Z694" s="33">
        <v>15737</v>
      </c>
      <c r="AA694">
        <v>651.39999999999986</v>
      </c>
      <c r="AB694" s="18">
        <v>0.54790142148204202</v>
      </c>
      <c r="AC694" s="19">
        <v>1.5479014214820421</v>
      </c>
      <c r="AD694" s="19">
        <v>0.24137931034482757</v>
      </c>
      <c r="AE694" s="19">
        <v>0.56321839080459768</v>
      </c>
    </row>
    <row r="695" spans="1:31">
      <c r="A695">
        <v>699</v>
      </c>
      <c r="B695" t="s">
        <v>124</v>
      </c>
      <c r="C695" t="s">
        <v>154</v>
      </c>
      <c r="D695" t="s">
        <v>152</v>
      </c>
      <c r="E695" s="20">
        <v>46107</v>
      </c>
      <c r="F695" s="21" t="s">
        <v>228</v>
      </c>
      <c r="G695" s="25"/>
      <c r="H695" s="21" t="s">
        <v>79</v>
      </c>
      <c r="I695" s="22">
        <v>71000</v>
      </c>
      <c r="J695" s="21" t="s">
        <v>80</v>
      </c>
      <c r="K695" s="23">
        <v>46200.8125</v>
      </c>
      <c r="L695" s="21">
        <v>759</v>
      </c>
      <c r="M695" s="22">
        <v>3473</v>
      </c>
      <c r="N695" s="24">
        <v>214.03</v>
      </c>
      <c r="O695" s="24">
        <v>441.27</v>
      </c>
      <c r="P695" s="24">
        <v>1066.1600000000001</v>
      </c>
      <c r="Q695" s="21">
        <v>194</v>
      </c>
      <c r="R695" s="22">
        <v>6534</v>
      </c>
      <c r="S695" s="22">
        <v>15537</v>
      </c>
      <c r="T695" s="21">
        <v>3</v>
      </c>
      <c r="U695" s="21">
        <v>10</v>
      </c>
      <c r="V695" s="21">
        <v>18</v>
      </c>
      <c r="W695" s="23">
        <v>46275.625</v>
      </c>
      <c r="X695" s="25"/>
      <c r="Y695" s="21">
        <v>0</v>
      </c>
      <c r="Z695" s="26">
        <v>15658</v>
      </c>
      <c r="AA695">
        <v>227.23999999999998</v>
      </c>
      <c r="AB695" s="18">
        <v>1.0617203195813669</v>
      </c>
      <c r="AC695" s="19">
        <v>2.0617203195813669</v>
      </c>
      <c r="AD695" s="19">
        <v>1.1666666666666665</v>
      </c>
      <c r="AE695" s="19">
        <v>1.2962962962962963</v>
      </c>
    </row>
    <row r="696" spans="1:31">
      <c r="A696">
        <v>700</v>
      </c>
      <c r="B696" t="s">
        <v>181</v>
      </c>
      <c r="C696" t="s">
        <v>124</v>
      </c>
      <c r="D696" t="s">
        <v>178</v>
      </c>
      <c r="E696" s="27">
        <v>46107</v>
      </c>
      <c r="F696" s="28" t="s">
        <v>214</v>
      </c>
      <c r="G696" s="32"/>
      <c r="H696" s="28" t="s">
        <v>164</v>
      </c>
      <c r="I696" s="29">
        <v>54500</v>
      </c>
      <c r="J696" s="28" t="s">
        <v>165</v>
      </c>
      <c r="K696" s="30">
        <v>46186.875</v>
      </c>
      <c r="L696" s="28">
        <v>570</v>
      </c>
      <c r="M696" s="29">
        <v>2619</v>
      </c>
      <c r="N696" s="31">
        <v>351.02</v>
      </c>
      <c r="O696" s="31">
        <v>572.47</v>
      </c>
      <c r="P696" s="31">
        <v>1163.01</v>
      </c>
      <c r="Q696" s="28">
        <v>153</v>
      </c>
      <c r="R696" s="29">
        <v>5648</v>
      </c>
      <c r="S696" s="29">
        <v>14668</v>
      </c>
      <c r="T696" s="28">
        <v>1</v>
      </c>
      <c r="U696" s="28">
        <v>4</v>
      </c>
      <c r="V696" s="28">
        <v>9</v>
      </c>
      <c r="W696" s="30">
        <v>46275.375</v>
      </c>
      <c r="X696" s="32"/>
      <c r="Y696" s="28">
        <v>0</v>
      </c>
      <c r="Z696" s="33">
        <v>14769</v>
      </c>
      <c r="AA696">
        <v>221.45000000000005</v>
      </c>
      <c r="AB696" s="18">
        <v>0.63087573357643456</v>
      </c>
      <c r="AC696" s="19">
        <v>1.6308757335764346</v>
      </c>
      <c r="AD696" s="19">
        <v>0.77777777777777768</v>
      </c>
      <c r="AE696" s="19">
        <v>1.037037037037037</v>
      </c>
    </row>
    <row r="697" spans="1:31">
      <c r="A697">
        <v>701</v>
      </c>
      <c r="B697" t="s">
        <v>97</v>
      </c>
      <c r="C697" t="s">
        <v>98</v>
      </c>
      <c r="D697" t="s">
        <v>95</v>
      </c>
      <c r="E697" s="20">
        <v>46107</v>
      </c>
      <c r="F697" s="21" t="s">
        <v>99</v>
      </c>
      <c r="G697" s="25"/>
      <c r="H697" s="21" t="s">
        <v>100</v>
      </c>
      <c r="I697" s="22">
        <v>52237</v>
      </c>
      <c r="J697" s="21" t="s">
        <v>101</v>
      </c>
      <c r="K697" s="23">
        <v>46187.875</v>
      </c>
      <c r="L697" s="21">
        <v>479</v>
      </c>
      <c r="M697" s="22">
        <v>2330</v>
      </c>
      <c r="N697" s="24">
        <v>171</v>
      </c>
      <c r="O697" s="24">
        <v>352.49</v>
      </c>
      <c r="P697" s="24">
        <v>667</v>
      </c>
      <c r="Q697" s="21">
        <v>161</v>
      </c>
      <c r="R697" s="22">
        <v>5376</v>
      </c>
      <c r="S697" s="22">
        <v>13713</v>
      </c>
      <c r="T697" s="21">
        <v>0</v>
      </c>
      <c r="U697" s="21">
        <v>7</v>
      </c>
      <c r="V697" s="21">
        <v>16</v>
      </c>
      <c r="W697" s="23">
        <v>46275.541666666664</v>
      </c>
      <c r="X697" s="25"/>
      <c r="Y697" s="21">
        <v>0</v>
      </c>
      <c r="Z697" s="26">
        <v>13800</v>
      </c>
      <c r="AA697">
        <v>181.49</v>
      </c>
      <c r="AB697" s="18">
        <v>1.0613450292397661</v>
      </c>
      <c r="AC697" s="19">
        <v>2.0613450292397659</v>
      </c>
      <c r="AD697" s="19">
        <v>0</v>
      </c>
      <c r="AE697" s="19">
        <v>1.0208333333333335</v>
      </c>
    </row>
    <row r="698" spans="1:31">
      <c r="A698">
        <v>702</v>
      </c>
      <c r="B698" t="s">
        <v>148</v>
      </c>
      <c r="C698" t="s">
        <v>142</v>
      </c>
      <c r="D698" t="s">
        <v>144</v>
      </c>
      <c r="E698" s="27">
        <v>46107</v>
      </c>
      <c r="F698" s="28" t="s">
        <v>198</v>
      </c>
      <c r="G698" s="32"/>
      <c r="H698" s="28" t="s">
        <v>127</v>
      </c>
      <c r="I698" s="29">
        <v>68756</v>
      </c>
      <c r="J698" s="28" t="s">
        <v>128</v>
      </c>
      <c r="K698" s="30">
        <v>46196.666666666664</v>
      </c>
      <c r="L698" s="28">
        <v>663</v>
      </c>
      <c r="M698" s="29">
        <v>3036</v>
      </c>
      <c r="N698" s="31">
        <v>602.66999999999996</v>
      </c>
      <c r="O698" s="31">
        <v>999.95</v>
      </c>
      <c r="P698" s="31">
        <v>1732.5</v>
      </c>
      <c r="Q698" s="28">
        <v>150</v>
      </c>
      <c r="R698" s="29">
        <v>5818</v>
      </c>
      <c r="S698" s="29">
        <v>13663</v>
      </c>
      <c r="T698" s="28">
        <v>8</v>
      </c>
      <c r="U698" s="28">
        <v>17</v>
      </c>
      <c r="V698" s="28">
        <v>29</v>
      </c>
      <c r="W698" s="30">
        <v>46275.625</v>
      </c>
      <c r="X698" s="32"/>
      <c r="Y698" s="28">
        <v>0</v>
      </c>
      <c r="Z698" s="33">
        <v>13783</v>
      </c>
      <c r="AA698">
        <v>397.28000000000009</v>
      </c>
      <c r="AB698" s="18">
        <v>0.65919989380589727</v>
      </c>
      <c r="AC698" s="19">
        <v>1.6591998938058974</v>
      </c>
      <c r="AD698" s="19">
        <v>1.9310344827586206</v>
      </c>
      <c r="AE698" s="19">
        <v>1.367816091954023</v>
      </c>
    </row>
    <row r="699" spans="1:31">
      <c r="A699">
        <v>703</v>
      </c>
      <c r="B699" t="s">
        <v>143</v>
      </c>
      <c r="C699" t="s">
        <v>148</v>
      </c>
      <c r="D699" t="s">
        <v>144</v>
      </c>
      <c r="E699" s="20">
        <v>46107</v>
      </c>
      <c r="F699" s="21" t="s">
        <v>222</v>
      </c>
      <c r="G699" s="25"/>
      <c r="H699" s="21" t="s">
        <v>91</v>
      </c>
      <c r="I699" s="22">
        <v>82500</v>
      </c>
      <c r="J699" s="21" t="s">
        <v>92</v>
      </c>
      <c r="K699" s="23">
        <v>46200.708333333336</v>
      </c>
      <c r="L699" s="22">
        <v>1003</v>
      </c>
      <c r="M699" s="22">
        <v>4969</v>
      </c>
      <c r="N699" s="24">
        <v>611.6</v>
      </c>
      <c r="O699" s="24">
        <v>1183.76</v>
      </c>
      <c r="P699" s="24">
        <v>1852.5</v>
      </c>
      <c r="Q699" s="21">
        <v>168</v>
      </c>
      <c r="R699" s="22">
        <v>5676</v>
      </c>
      <c r="S699" s="22">
        <v>13497</v>
      </c>
      <c r="T699" s="21">
        <v>2</v>
      </c>
      <c r="U699" s="21">
        <v>9</v>
      </c>
      <c r="V699" s="21">
        <v>24</v>
      </c>
      <c r="W699" s="23">
        <v>46275.625</v>
      </c>
      <c r="X699" s="25"/>
      <c r="Y699" s="21">
        <v>0</v>
      </c>
      <c r="Z699" s="26">
        <v>13614</v>
      </c>
      <c r="AA699">
        <v>572.16</v>
      </c>
      <c r="AB699" s="18">
        <v>0.93551340745585343</v>
      </c>
      <c r="AC699" s="19">
        <v>1.9355134074558533</v>
      </c>
      <c r="AD699" s="19">
        <v>0.58333333333333337</v>
      </c>
      <c r="AE699" s="19">
        <v>0.875</v>
      </c>
    </row>
    <row r="700" spans="1:31">
      <c r="A700">
        <v>704</v>
      </c>
      <c r="B700" t="s">
        <v>174</v>
      </c>
      <c r="C700" t="s">
        <v>175</v>
      </c>
      <c r="D700" t="s">
        <v>169</v>
      </c>
      <c r="E700" s="27">
        <v>46107</v>
      </c>
      <c r="F700" s="28" t="s">
        <v>176</v>
      </c>
      <c r="G700" s="32"/>
      <c r="H700" s="28" t="s">
        <v>127</v>
      </c>
      <c r="I700" s="29">
        <v>68756</v>
      </c>
      <c r="J700" s="28" t="s">
        <v>128</v>
      </c>
      <c r="K700" s="30">
        <v>46192.75</v>
      </c>
      <c r="L700" s="28">
        <v>778</v>
      </c>
      <c r="M700" s="29">
        <v>3603</v>
      </c>
      <c r="N700" s="31">
        <v>545.22</v>
      </c>
      <c r="O700" s="31">
        <v>942.62</v>
      </c>
      <c r="P700" s="31">
        <v>1447.52</v>
      </c>
      <c r="Q700" s="28">
        <v>117</v>
      </c>
      <c r="R700" s="29">
        <v>5145</v>
      </c>
      <c r="S700" s="29">
        <v>12612</v>
      </c>
      <c r="T700" s="28">
        <v>6</v>
      </c>
      <c r="U700" s="28">
        <v>13</v>
      </c>
      <c r="V700" s="28">
        <v>17</v>
      </c>
      <c r="W700" s="30">
        <v>46275.625</v>
      </c>
      <c r="X700" s="32"/>
      <c r="Y700" s="28">
        <v>0</v>
      </c>
      <c r="Z700" s="33">
        <v>12750</v>
      </c>
      <c r="AA700">
        <v>397.4</v>
      </c>
      <c r="AB700" s="18">
        <v>0.72888008510326097</v>
      </c>
      <c r="AC700" s="19">
        <v>1.7288800851032611</v>
      </c>
      <c r="AD700" s="19">
        <v>2.4705882352941178</v>
      </c>
      <c r="AE700" s="19">
        <v>1.7843137254901962</v>
      </c>
    </row>
    <row r="701" spans="1:31">
      <c r="A701">
        <v>705</v>
      </c>
      <c r="B701" t="s">
        <v>158</v>
      </c>
      <c r="C701" t="s">
        <v>124</v>
      </c>
      <c r="D701" t="s">
        <v>159</v>
      </c>
      <c r="E701" s="20">
        <v>46107</v>
      </c>
      <c r="F701" s="21" t="s">
        <v>160</v>
      </c>
      <c r="G701" s="25"/>
      <c r="H701" s="21" t="s">
        <v>113</v>
      </c>
      <c r="I701" s="22">
        <v>70240</v>
      </c>
      <c r="J701" s="21" t="s">
        <v>114</v>
      </c>
      <c r="K701" s="23">
        <v>46191.5</v>
      </c>
      <c r="L701" s="21">
        <v>803</v>
      </c>
      <c r="M701" s="22">
        <v>3672</v>
      </c>
      <c r="N701" s="24">
        <v>395.81</v>
      </c>
      <c r="O701" s="24">
        <v>755.5</v>
      </c>
      <c r="P701" s="24">
        <v>1242.42</v>
      </c>
      <c r="Q701" s="21">
        <v>160</v>
      </c>
      <c r="R701" s="22">
        <v>5104</v>
      </c>
      <c r="S701" s="22">
        <v>12100</v>
      </c>
      <c r="T701" s="21">
        <v>5</v>
      </c>
      <c r="U701" s="21">
        <v>17</v>
      </c>
      <c r="V701" s="21">
        <v>28</v>
      </c>
      <c r="W701" s="23">
        <v>46275.5</v>
      </c>
      <c r="X701" s="25"/>
      <c r="Y701" s="21">
        <v>0</v>
      </c>
      <c r="Z701" s="26">
        <v>12244</v>
      </c>
      <c r="AA701">
        <v>359.69</v>
      </c>
      <c r="AB701" s="18">
        <v>0.90874409438872183</v>
      </c>
      <c r="AC701" s="19">
        <v>1.9087440943887219</v>
      </c>
      <c r="AD701" s="19">
        <v>1.25</v>
      </c>
      <c r="AE701" s="19">
        <v>1.4166666666666667</v>
      </c>
    </row>
    <row r="702" spans="1:31">
      <c r="A702">
        <v>706</v>
      </c>
      <c r="B702" t="s">
        <v>261</v>
      </c>
      <c r="C702" t="s">
        <v>262</v>
      </c>
      <c r="D702" t="s">
        <v>231</v>
      </c>
      <c r="E702" s="27">
        <v>46107</v>
      </c>
      <c r="F702" s="28" t="s">
        <v>263</v>
      </c>
      <c r="G702" s="32"/>
      <c r="H702" s="28" t="s">
        <v>146</v>
      </c>
      <c r="I702" s="29">
        <v>30000</v>
      </c>
      <c r="J702" s="28" t="s">
        <v>147</v>
      </c>
      <c r="K702" s="30">
        <v>46205.791666666664</v>
      </c>
      <c r="L702" s="28">
        <v>475</v>
      </c>
      <c r="M702" s="29">
        <v>2263</v>
      </c>
      <c r="N702" s="31">
        <v>953.1</v>
      </c>
      <c r="O702" s="31">
        <v>1374.83</v>
      </c>
      <c r="P702" s="31">
        <v>2389.5</v>
      </c>
      <c r="Q702" s="28">
        <v>146</v>
      </c>
      <c r="R702" s="29">
        <v>4918</v>
      </c>
      <c r="S702" s="29">
        <v>11365</v>
      </c>
      <c r="T702" s="28">
        <v>4</v>
      </c>
      <c r="U702" s="28">
        <v>7</v>
      </c>
      <c r="V702" s="28">
        <v>16</v>
      </c>
      <c r="W702" s="30">
        <v>46275.5</v>
      </c>
      <c r="X702" s="32"/>
      <c r="Y702" s="28">
        <v>0</v>
      </c>
      <c r="Z702" s="33">
        <v>11480</v>
      </c>
      <c r="AA702">
        <v>421.7299999999999</v>
      </c>
      <c r="AB702" s="18">
        <v>0.44248242576854463</v>
      </c>
      <c r="AC702" s="19">
        <v>1.4424824257685447</v>
      </c>
      <c r="AD702" s="19">
        <v>1.75</v>
      </c>
      <c r="AE702" s="19">
        <v>1.0208333333333335</v>
      </c>
    </row>
    <row r="703" spans="1:31">
      <c r="A703">
        <v>707</v>
      </c>
      <c r="B703" t="s">
        <v>229</v>
      </c>
      <c r="C703" t="s">
        <v>230</v>
      </c>
      <c r="D703" t="s">
        <v>231</v>
      </c>
      <c r="E703" s="20">
        <v>46107</v>
      </c>
      <c r="F703" s="21" t="s">
        <v>232</v>
      </c>
      <c r="G703" s="25"/>
      <c r="H703" s="21" t="s">
        <v>113</v>
      </c>
      <c r="I703" s="22">
        <v>70240</v>
      </c>
      <c r="J703" s="21" t="s">
        <v>114</v>
      </c>
      <c r="K703" s="23">
        <v>46201.5</v>
      </c>
      <c r="L703" s="21">
        <v>866</v>
      </c>
      <c r="M703" s="22">
        <v>3947</v>
      </c>
      <c r="N703" s="24">
        <v>583.05999999999995</v>
      </c>
      <c r="O703" s="24">
        <v>1074.8399999999999</v>
      </c>
      <c r="P703" s="24">
        <v>1853.86</v>
      </c>
      <c r="Q703" s="21">
        <v>170</v>
      </c>
      <c r="R703" s="22">
        <v>4805</v>
      </c>
      <c r="S703" s="22">
        <v>11016</v>
      </c>
      <c r="T703" s="21">
        <v>3</v>
      </c>
      <c r="U703" s="21">
        <v>7</v>
      </c>
      <c r="V703" s="21">
        <v>14</v>
      </c>
      <c r="W703" s="23">
        <v>46275.5</v>
      </c>
      <c r="X703" s="25"/>
      <c r="Y703" s="21">
        <v>0</v>
      </c>
      <c r="Z703" s="26">
        <v>11131</v>
      </c>
      <c r="AA703">
        <v>491.78</v>
      </c>
      <c r="AB703" s="18">
        <v>0.84344664357012999</v>
      </c>
      <c r="AC703" s="19">
        <v>1.84344664357013</v>
      </c>
      <c r="AD703" s="19">
        <v>1.5</v>
      </c>
      <c r="AE703" s="19">
        <v>1.1666666666666667</v>
      </c>
    </row>
    <row r="704" spans="1:31">
      <c r="A704">
        <v>708</v>
      </c>
      <c r="B704" t="s">
        <v>124</v>
      </c>
      <c r="C704" t="s">
        <v>162</v>
      </c>
      <c r="D704" t="s">
        <v>159</v>
      </c>
      <c r="E704" s="27">
        <v>46107</v>
      </c>
      <c r="F704" s="28" t="s">
        <v>206</v>
      </c>
      <c r="G704" s="32"/>
      <c r="H704" s="28" t="s">
        <v>118</v>
      </c>
      <c r="I704" s="29">
        <v>67000</v>
      </c>
      <c r="J704" s="28" t="s">
        <v>119</v>
      </c>
      <c r="K704" s="30">
        <v>46197.5</v>
      </c>
      <c r="L704" s="28">
        <v>611</v>
      </c>
      <c r="M704" s="29">
        <v>2852</v>
      </c>
      <c r="N704" s="31">
        <v>306.26</v>
      </c>
      <c r="O704" s="31">
        <v>630</v>
      </c>
      <c r="P704" s="31">
        <v>1410.19</v>
      </c>
      <c r="Q704" s="28">
        <v>207</v>
      </c>
      <c r="R704" s="29">
        <v>4820</v>
      </c>
      <c r="S704" s="29">
        <v>11010</v>
      </c>
      <c r="T704" s="28">
        <v>3</v>
      </c>
      <c r="U704" s="28">
        <v>5</v>
      </c>
      <c r="V704" s="28">
        <v>10</v>
      </c>
      <c r="W704" s="30">
        <v>46275.5</v>
      </c>
      <c r="X704" s="32"/>
      <c r="Y704" s="28">
        <v>0</v>
      </c>
      <c r="Z704" s="33">
        <v>11126</v>
      </c>
      <c r="AA704">
        <v>323.74</v>
      </c>
      <c r="AB704" s="18">
        <v>1.0570756873244955</v>
      </c>
      <c r="AC704" s="19">
        <v>2.0570756873244957</v>
      </c>
      <c r="AD704" s="19">
        <v>2.1</v>
      </c>
      <c r="AE704" s="19">
        <v>1.1666666666666667</v>
      </c>
    </row>
    <row r="705" spans="1:31">
      <c r="A705">
        <v>709</v>
      </c>
      <c r="B705" t="s">
        <v>305</v>
      </c>
      <c r="C705" t="s">
        <v>306</v>
      </c>
      <c r="D705" t="s">
        <v>66</v>
      </c>
      <c r="E705" s="20">
        <v>46107</v>
      </c>
      <c r="F705" s="21" t="s">
        <v>307</v>
      </c>
      <c r="G705" s="25"/>
      <c r="H705" s="21" t="s">
        <v>127</v>
      </c>
      <c r="I705" s="22">
        <v>68756</v>
      </c>
      <c r="J705" s="21" t="s">
        <v>128</v>
      </c>
      <c r="K705" s="23">
        <v>46212.666666666664</v>
      </c>
      <c r="L705" s="21">
        <v>742</v>
      </c>
      <c r="M705" s="22">
        <v>3452</v>
      </c>
      <c r="N705" s="24">
        <v>1125.2</v>
      </c>
      <c r="O705" s="24">
        <v>1833.46</v>
      </c>
      <c r="P705" s="24">
        <v>2790</v>
      </c>
      <c r="Q705" s="21">
        <v>119</v>
      </c>
      <c r="R705" s="22">
        <v>4820</v>
      </c>
      <c r="S705" s="22">
        <v>10753</v>
      </c>
      <c r="T705" s="21">
        <v>2</v>
      </c>
      <c r="U705" s="21">
        <v>3</v>
      </c>
      <c r="V705" s="21">
        <v>8</v>
      </c>
      <c r="W705" s="23">
        <v>46275.625</v>
      </c>
      <c r="X705" s="25"/>
      <c r="Y705" s="21">
        <v>0</v>
      </c>
      <c r="Z705" s="26">
        <v>10860</v>
      </c>
      <c r="AA705">
        <v>708.26</v>
      </c>
      <c r="AB705" s="18">
        <v>0.62945254177035193</v>
      </c>
      <c r="AC705" s="19">
        <v>1.6294525417703518</v>
      </c>
      <c r="AD705" s="19">
        <v>1.75</v>
      </c>
      <c r="AE705" s="19">
        <v>0.875</v>
      </c>
    </row>
    <row r="706" spans="1:31">
      <c r="A706">
        <v>710</v>
      </c>
      <c r="B706" t="s">
        <v>239</v>
      </c>
      <c r="C706" t="s">
        <v>240</v>
      </c>
      <c r="D706" t="s">
        <v>231</v>
      </c>
      <c r="E706" s="27">
        <v>46107</v>
      </c>
      <c r="F706" s="28" t="s">
        <v>241</v>
      </c>
      <c r="G706" s="32"/>
      <c r="H706" s="28" t="s">
        <v>62</v>
      </c>
      <c r="I706" s="29">
        <v>71500</v>
      </c>
      <c r="J706" s="28" t="s">
        <v>63</v>
      </c>
      <c r="K706" s="30">
        <v>46202.5</v>
      </c>
      <c r="L706" s="28">
        <v>855</v>
      </c>
      <c r="M706" s="29">
        <v>3887</v>
      </c>
      <c r="N706" s="31">
        <v>517.49</v>
      </c>
      <c r="O706" s="31">
        <v>928.86</v>
      </c>
      <c r="P706" s="31">
        <v>1667.55</v>
      </c>
      <c r="Q706" s="28">
        <v>125</v>
      </c>
      <c r="R706" s="29">
        <v>4442</v>
      </c>
      <c r="S706" s="29">
        <v>10231</v>
      </c>
      <c r="T706" s="28">
        <v>0</v>
      </c>
      <c r="U706" s="28">
        <v>6</v>
      </c>
      <c r="V706" s="28">
        <v>14</v>
      </c>
      <c r="W706" s="30">
        <v>46275.583333333336</v>
      </c>
      <c r="X706" s="32"/>
      <c r="Y706" s="28">
        <v>0</v>
      </c>
      <c r="Z706" s="33">
        <v>10346</v>
      </c>
      <c r="AA706">
        <v>411.37</v>
      </c>
      <c r="AB706" s="18">
        <v>0.79493323542483907</v>
      </c>
      <c r="AC706" s="19">
        <v>1.7949332354248391</v>
      </c>
      <c r="AD706" s="19">
        <v>0</v>
      </c>
      <c r="AE706" s="19">
        <v>1</v>
      </c>
    </row>
    <row r="707" spans="1:31">
      <c r="A707">
        <v>711</v>
      </c>
      <c r="B707" t="s">
        <v>264</v>
      </c>
      <c r="C707" t="s">
        <v>265</v>
      </c>
      <c r="D707" t="s">
        <v>231</v>
      </c>
      <c r="E707" s="20">
        <v>46107</v>
      </c>
      <c r="F707" s="21" t="s">
        <v>266</v>
      </c>
      <c r="G707" s="25"/>
      <c r="H707" s="21" t="s">
        <v>113</v>
      </c>
      <c r="I707" s="22">
        <v>70240</v>
      </c>
      <c r="J707" s="21" t="s">
        <v>114</v>
      </c>
      <c r="K707" s="23">
        <v>46205.5</v>
      </c>
      <c r="L707" s="21">
        <v>851</v>
      </c>
      <c r="M707" s="22">
        <v>3713</v>
      </c>
      <c r="N707" s="24">
        <v>637</v>
      </c>
      <c r="O707" s="24">
        <v>1136.0999999999999</v>
      </c>
      <c r="P707" s="24">
        <v>1800</v>
      </c>
      <c r="Q707" s="21">
        <v>184</v>
      </c>
      <c r="R707" s="22">
        <v>4386</v>
      </c>
      <c r="S707" s="22">
        <v>10144</v>
      </c>
      <c r="T707" s="21">
        <v>0</v>
      </c>
      <c r="U707" s="21">
        <v>9</v>
      </c>
      <c r="V707" s="21">
        <v>17</v>
      </c>
      <c r="W707" s="23">
        <v>46275.5</v>
      </c>
      <c r="X707" s="25"/>
      <c r="Y707" s="21">
        <v>0</v>
      </c>
      <c r="Z707" s="26">
        <v>10247</v>
      </c>
      <c r="AA707">
        <v>499.09999999999991</v>
      </c>
      <c r="AB707" s="18">
        <v>0.7835164835164834</v>
      </c>
      <c r="AC707" s="19">
        <v>1.7835164835164834</v>
      </c>
      <c r="AD707" s="19">
        <v>0</v>
      </c>
      <c r="AE707" s="19">
        <v>1.2352941176470589</v>
      </c>
    </row>
    <row r="708" spans="1:31">
      <c r="A708">
        <v>712</v>
      </c>
      <c r="B708" t="s">
        <v>236</v>
      </c>
      <c r="C708" t="s">
        <v>237</v>
      </c>
      <c r="D708" t="s">
        <v>231</v>
      </c>
      <c r="E708" s="27">
        <v>46107</v>
      </c>
      <c r="F708" s="28" t="s">
        <v>238</v>
      </c>
      <c r="G708" s="32"/>
      <c r="H708" s="28" t="s">
        <v>100</v>
      </c>
      <c r="I708" s="29">
        <v>52237</v>
      </c>
      <c r="J708" s="28" t="s">
        <v>101</v>
      </c>
      <c r="K708" s="30">
        <v>46202.833333333336</v>
      </c>
      <c r="L708" s="28">
        <v>493</v>
      </c>
      <c r="M708" s="29">
        <v>2342</v>
      </c>
      <c r="N708" s="31">
        <v>353.99</v>
      </c>
      <c r="O708" s="31">
        <v>700</v>
      </c>
      <c r="P708" s="31">
        <v>1078.18</v>
      </c>
      <c r="Q708" s="28">
        <v>163</v>
      </c>
      <c r="R708" s="29">
        <v>4265</v>
      </c>
      <c r="S708" s="29">
        <v>9999</v>
      </c>
      <c r="T708" s="28">
        <v>3</v>
      </c>
      <c r="U708" s="28">
        <v>17</v>
      </c>
      <c r="V708" s="28">
        <v>33</v>
      </c>
      <c r="W708" s="30">
        <v>46275.541666666664</v>
      </c>
      <c r="X708" s="32"/>
      <c r="Y708" s="28">
        <v>0</v>
      </c>
      <c r="Z708" s="33">
        <v>10112</v>
      </c>
      <c r="AA708">
        <v>346.01</v>
      </c>
      <c r="AB708" s="18">
        <v>0.97745699031046074</v>
      </c>
      <c r="AC708" s="19">
        <v>1.9774569903104606</v>
      </c>
      <c r="AD708" s="19">
        <v>0.63636363636363635</v>
      </c>
      <c r="AE708" s="19">
        <v>1.202020202020202</v>
      </c>
    </row>
    <row r="709" spans="1:31">
      <c r="A709">
        <v>713</v>
      </c>
      <c r="B709" t="s">
        <v>245</v>
      </c>
      <c r="C709" t="s">
        <v>246</v>
      </c>
      <c r="D709" t="s">
        <v>231</v>
      </c>
      <c r="E709" s="20">
        <v>46107</v>
      </c>
      <c r="F709" s="21" t="s">
        <v>247</v>
      </c>
      <c r="G709" s="25"/>
      <c r="H709" s="21" t="s">
        <v>74</v>
      </c>
      <c r="I709" s="22">
        <v>80000</v>
      </c>
      <c r="J709" s="21" t="s">
        <v>75</v>
      </c>
      <c r="K709" s="23">
        <v>46203.5</v>
      </c>
      <c r="L709" s="21">
        <v>837</v>
      </c>
      <c r="M709" s="22">
        <v>3805</v>
      </c>
      <c r="N709" s="24">
        <v>426.48</v>
      </c>
      <c r="O709" s="24">
        <v>840</v>
      </c>
      <c r="P709" s="24">
        <v>1540.69</v>
      </c>
      <c r="Q709" s="21">
        <v>130</v>
      </c>
      <c r="R709" s="22">
        <v>4306</v>
      </c>
      <c r="S709" s="22">
        <v>9921</v>
      </c>
      <c r="T709" s="21">
        <v>5</v>
      </c>
      <c r="U709" s="21">
        <v>11</v>
      </c>
      <c r="V709" s="21">
        <v>15</v>
      </c>
      <c r="W709" s="23">
        <v>46275.583333333336</v>
      </c>
      <c r="X709" s="25"/>
      <c r="Y709" s="21">
        <v>0</v>
      </c>
      <c r="Z709" s="26">
        <v>10028</v>
      </c>
      <c r="AA709">
        <v>413.52</v>
      </c>
      <c r="AB709" s="18">
        <v>0.96961170512099037</v>
      </c>
      <c r="AC709" s="19">
        <v>1.9696117051209903</v>
      </c>
      <c r="AD709" s="19">
        <v>2.3333333333333335</v>
      </c>
      <c r="AE709" s="19">
        <v>1.711111111111111</v>
      </c>
    </row>
    <row r="710" spans="1:31">
      <c r="A710">
        <v>714</v>
      </c>
      <c r="B710" t="s">
        <v>242</v>
      </c>
      <c r="C710" t="s">
        <v>243</v>
      </c>
      <c r="D710" t="s">
        <v>231</v>
      </c>
      <c r="E710" s="27">
        <v>46107</v>
      </c>
      <c r="F710" s="28" t="s">
        <v>244</v>
      </c>
      <c r="G710" s="32"/>
      <c r="H710" s="28" t="s">
        <v>91</v>
      </c>
      <c r="I710" s="29">
        <v>82500</v>
      </c>
      <c r="J710" s="28" t="s">
        <v>92</v>
      </c>
      <c r="K710" s="30">
        <v>46203.708333333336</v>
      </c>
      <c r="L710" s="28">
        <v>851</v>
      </c>
      <c r="M710" s="29">
        <v>3783</v>
      </c>
      <c r="N710" s="31">
        <v>602.08000000000004</v>
      </c>
      <c r="O710" s="31">
        <v>960.72</v>
      </c>
      <c r="P710" s="31">
        <v>1620</v>
      </c>
      <c r="Q710" s="28">
        <v>105</v>
      </c>
      <c r="R710" s="29">
        <v>3122</v>
      </c>
      <c r="S710" s="29">
        <v>8284</v>
      </c>
      <c r="T710" s="28">
        <v>2</v>
      </c>
      <c r="U710" s="28">
        <v>4</v>
      </c>
      <c r="V710" s="28">
        <v>13</v>
      </c>
      <c r="W710" s="30">
        <v>46275.625</v>
      </c>
      <c r="X710" s="32"/>
      <c r="Y710" s="28">
        <v>0</v>
      </c>
      <c r="Z710" s="33">
        <v>8394</v>
      </c>
      <c r="AA710">
        <v>358.64</v>
      </c>
      <c r="AB710" s="18">
        <v>0.59566834972096727</v>
      </c>
      <c r="AC710" s="19">
        <v>1.5956683497209672</v>
      </c>
      <c r="AD710" s="19">
        <v>1.0769230769230769</v>
      </c>
      <c r="AE710" s="19">
        <v>0.71794871794871784</v>
      </c>
    </row>
    <row r="711" spans="1:31">
      <c r="A711">
        <v>715</v>
      </c>
      <c r="B711" t="s">
        <v>233</v>
      </c>
      <c r="C711" t="s">
        <v>234</v>
      </c>
      <c r="D711" t="s">
        <v>231</v>
      </c>
      <c r="E711" s="20">
        <v>46107</v>
      </c>
      <c r="F711" s="21" t="s">
        <v>235</v>
      </c>
      <c r="G711" s="25"/>
      <c r="H711" s="21" t="s">
        <v>127</v>
      </c>
      <c r="I711" s="22">
        <v>68756</v>
      </c>
      <c r="J711" s="21" t="s">
        <v>128</v>
      </c>
      <c r="K711" s="23">
        <v>46202.6875</v>
      </c>
      <c r="L711" s="21">
        <v>767</v>
      </c>
      <c r="M711" s="22">
        <v>3501</v>
      </c>
      <c r="N711" s="24">
        <v>533.49</v>
      </c>
      <c r="O711" s="24">
        <v>889.99</v>
      </c>
      <c r="P711" s="24">
        <v>1609.61</v>
      </c>
      <c r="Q711" s="21">
        <v>128</v>
      </c>
      <c r="R711" s="22">
        <v>3227</v>
      </c>
      <c r="S711" s="22">
        <v>8221</v>
      </c>
      <c r="T711" s="21">
        <v>4</v>
      </c>
      <c r="U711" s="21">
        <v>5</v>
      </c>
      <c r="V711" s="21">
        <v>13</v>
      </c>
      <c r="W711" s="23">
        <v>46275.625</v>
      </c>
      <c r="X711" s="25"/>
      <c r="Y711" s="21">
        <v>0</v>
      </c>
      <c r="Z711" s="26">
        <v>8344</v>
      </c>
      <c r="AA711">
        <v>356.5</v>
      </c>
      <c r="AB711" s="18">
        <v>0.66824120414628196</v>
      </c>
      <c r="AC711" s="19">
        <v>1.668241204146282</v>
      </c>
      <c r="AD711" s="19">
        <v>2.1538461538461537</v>
      </c>
      <c r="AE711" s="19">
        <v>0.89743589743589747</v>
      </c>
    </row>
    <row r="712" spans="1:31">
      <c r="A712">
        <v>716</v>
      </c>
      <c r="B712" t="s">
        <v>255</v>
      </c>
      <c r="C712" t="s">
        <v>256</v>
      </c>
      <c r="D712" t="s">
        <v>231</v>
      </c>
      <c r="E712" s="27">
        <v>46107</v>
      </c>
      <c r="F712" s="28" t="s">
        <v>257</v>
      </c>
      <c r="G712" s="32"/>
      <c r="H712" s="28" t="s">
        <v>140</v>
      </c>
      <c r="I712" s="29">
        <v>75000</v>
      </c>
      <c r="J712" s="28" t="s">
        <v>141</v>
      </c>
      <c r="K712" s="30">
        <v>46204.708333333336</v>
      </c>
      <c r="L712" s="28">
        <v>960</v>
      </c>
      <c r="M712" s="29">
        <v>4245</v>
      </c>
      <c r="N712" s="31">
        <v>550.44000000000005</v>
      </c>
      <c r="O712" s="31">
        <v>973.55</v>
      </c>
      <c r="P712" s="31">
        <v>1869.12</v>
      </c>
      <c r="Q712" s="28">
        <v>121</v>
      </c>
      <c r="R712" s="29">
        <v>3128</v>
      </c>
      <c r="S712" s="29">
        <v>8186</v>
      </c>
      <c r="T712" s="28">
        <v>4</v>
      </c>
      <c r="U712" s="28">
        <v>11</v>
      </c>
      <c r="V712" s="28">
        <v>24</v>
      </c>
      <c r="W712" s="30">
        <v>46275.5</v>
      </c>
      <c r="X712" s="32"/>
      <c r="Y712" s="28">
        <v>0</v>
      </c>
      <c r="Z712" s="33">
        <v>8298</v>
      </c>
      <c r="AA712">
        <v>423.1099999999999</v>
      </c>
      <c r="AB712" s="18">
        <v>0.76867596831625584</v>
      </c>
      <c r="AC712" s="19">
        <v>1.7686759683162558</v>
      </c>
      <c r="AD712" s="19">
        <v>1.1666666666666667</v>
      </c>
      <c r="AE712" s="19">
        <v>1.0694444444444444</v>
      </c>
    </row>
    <row r="713" spans="1:31">
      <c r="A713">
        <v>717</v>
      </c>
      <c r="B713" t="s">
        <v>248</v>
      </c>
      <c r="C713" t="s">
        <v>249</v>
      </c>
      <c r="D713" t="s">
        <v>231</v>
      </c>
      <c r="E713" s="20">
        <v>46107</v>
      </c>
      <c r="F713" s="21" t="s">
        <v>250</v>
      </c>
      <c r="G713" s="25"/>
      <c r="H713" s="21" t="s">
        <v>56</v>
      </c>
      <c r="I713" s="22">
        <v>98500</v>
      </c>
      <c r="J713" s="21" t="s">
        <v>57</v>
      </c>
      <c r="K713" s="23">
        <v>46203.833333333336</v>
      </c>
      <c r="L713" s="21">
        <v>408</v>
      </c>
      <c r="M713" s="22">
        <v>2170</v>
      </c>
      <c r="N713" s="24">
        <v>654.69000000000005</v>
      </c>
      <c r="O713" s="24">
        <v>1023.19</v>
      </c>
      <c r="P713" s="24">
        <v>1508.1</v>
      </c>
      <c r="Q713" s="21">
        <v>80</v>
      </c>
      <c r="R713" s="22">
        <v>3163</v>
      </c>
      <c r="S713" s="22">
        <v>8019</v>
      </c>
      <c r="T713" s="21">
        <v>2</v>
      </c>
      <c r="U713" s="21">
        <v>11</v>
      </c>
      <c r="V713" s="21">
        <v>20</v>
      </c>
      <c r="W713" s="23">
        <v>46275.541666666664</v>
      </c>
      <c r="X713" s="25"/>
      <c r="Y713" s="21">
        <v>0</v>
      </c>
      <c r="Z713" s="26">
        <v>8134</v>
      </c>
      <c r="AA713">
        <v>368.5</v>
      </c>
      <c r="AB713" s="18">
        <v>0.56286181246085931</v>
      </c>
      <c r="AC713" s="19">
        <v>1.5628618124608593</v>
      </c>
      <c r="AD713" s="19">
        <v>0.7</v>
      </c>
      <c r="AE713" s="19">
        <v>1.2833333333333332</v>
      </c>
    </row>
    <row r="714" spans="1:31">
      <c r="A714">
        <v>718</v>
      </c>
      <c r="B714" t="s">
        <v>252</v>
      </c>
      <c r="C714" t="s">
        <v>253</v>
      </c>
      <c r="D714" t="s">
        <v>231</v>
      </c>
      <c r="E714" s="27">
        <v>46107</v>
      </c>
      <c r="F714" s="28" t="s">
        <v>254</v>
      </c>
      <c r="G714" s="32"/>
      <c r="H714" s="28" t="s">
        <v>79</v>
      </c>
      <c r="I714" s="29">
        <v>71000</v>
      </c>
      <c r="J714" s="28" t="s">
        <v>80</v>
      </c>
      <c r="K714" s="30">
        <v>46204.5</v>
      </c>
      <c r="L714" s="28">
        <v>801</v>
      </c>
      <c r="M714" s="29">
        <v>3703</v>
      </c>
      <c r="N714" s="31">
        <v>435.09</v>
      </c>
      <c r="O714" s="31">
        <v>890.89</v>
      </c>
      <c r="P714" s="31">
        <v>1667.25</v>
      </c>
      <c r="Q714" s="28">
        <v>77</v>
      </c>
      <c r="R714" s="29">
        <v>2938</v>
      </c>
      <c r="S714" s="29">
        <v>7733</v>
      </c>
      <c r="T714" s="28">
        <v>1</v>
      </c>
      <c r="U714" s="28">
        <v>7</v>
      </c>
      <c r="V714" s="28">
        <v>19</v>
      </c>
      <c r="W714" s="30">
        <v>46275.625</v>
      </c>
      <c r="X714" s="32"/>
      <c r="Y714" s="28">
        <v>0</v>
      </c>
      <c r="Z714" s="33">
        <v>7841</v>
      </c>
      <c r="AA714">
        <v>455.8</v>
      </c>
      <c r="AB714" s="18">
        <v>1.0475993472614862</v>
      </c>
      <c r="AC714" s="19">
        <v>2.0475993472614862</v>
      </c>
      <c r="AD714" s="19">
        <v>0.36842105263157893</v>
      </c>
      <c r="AE714" s="19">
        <v>0.85964912280701755</v>
      </c>
    </row>
    <row r="715" spans="1:31">
      <c r="A715">
        <v>719</v>
      </c>
      <c r="B715" t="s">
        <v>258</v>
      </c>
      <c r="C715" t="s">
        <v>259</v>
      </c>
      <c r="D715" t="s">
        <v>231</v>
      </c>
      <c r="E715" s="38">
        <v>46107</v>
      </c>
      <c r="F715" s="39" t="s">
        <v>260</v>
      </c>
      <c r="G715" s="40"/>
      <c r="H715" s="39" t="s">
        <v>118</v>
      </c>
      <c r="I715" s="41">
        <v>67000</v>
      </c>
      <c r="J715" s="39" t="s">
        <v>119</v>
      </c>
      <c r="K715" s="42">
        <v>46204.541666666664</v>
      </c>
      <c r="L715" s="39">
        <v>801</v>
      </c>
      <c r="M715" s="41">
        <v>3699</v>
      </c>
      <c r="N715" s="43">
        <v>419.18</v>
      </c>
      <c r="O715" s="43">
        <v>773.5</v>
      </c>
      <c r="P715" s="43">
        <v>1483.09</v>
      </c>
      <c r="Q715" s="39">
        <v>89</v>
      </c>
      <c r="R715" s="41">
        <v>2780</v>
      </c>
      <c r="S715" s="41">
        <v>7249</v>
      </c>
      <c r="T715" s="39">
        <v>2</v>
      </c>
      <c r="U715" s="39">
        <v>5</v>
      </c>
      <c r="V715" s="39">
        <v>9</v>
      </c>
      <c r="W715" s="42">
        <v>46275.5</v>
      </c>
      <c r="X715" s="40"/>
      <c r="Y715" s="39">
        <v>0</v>
      </c>
      <c r="Z715" s="44">
        <v>7349</v>
      </c>
      <c r="AA715">
        <v>354.32</v>
      </c>
      <c r="AB715" s="18">
        <v>0.8452693353690538</v>
      </c>
      <c r="AC715" s="19">
        <v>1.8452693353690539</v>
      </c>
      <c r="AD715" s="19">
        <v>1.5555555555555554</v>
      </c>
      <c r="AE715" s="19">
        <v>1.2962962962962963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70"/>
  <sheetViews>
    <sheetView workbookViewId="0">
      <selection activeCell="F42" sqref="F42"/>
    </sheetView>
  </sheetViews>
  <sheetFormatPr defaultRowHeight="15"/>
  <cols>
    <col min="1" max="4" width="10" customWidth="1"/>
    <col min="5" max="5" width="17.42578125" customWidth="1"/>
    <col min="6" max="6" width="63.85546875" customWidth="1"/>
    <col min="7" max="7" width="21.7109375" customWidth="1"/>
    <col min="8" max="19" width="14.85546875" customWidth="1"/>
    <col min="21" max="21" width="9.28515625" bestFit="1" customWidth="1"/>
    <col min="22" max="23" width="14.28515625" bestFit="1" customWidth="1"/>
    <col min="24" max="24" width="13.7109375" bestFit="1" customWidth="1"/>
  </cols>
  <sheetData>
    <row r="1" spans="1:19">
      <c r="A1" s="4" t="s">
        <v>20</v>
      </c>
      <c r="B1" s="4" t="s">
        <v>21</v>
      </c>
      <c r="C1" s="4" t="s">
        <v>22</v>
      </c>
      <c r="D1" s="4" t="s">
        <v>316</v>
      </c>
      <c r="E1" s="4" t="s">
        <v>317</v>
      </c>
      <c r="F1" s="4" t="s">
        <v>25</v>
      </c>
      <c r="G1" s="4" t="s">
        <v>318</v>
      </c>
      <c r="H1" s="4" t="s">
        <v>319</v>
      </c>
      <c r="I1" s="4" t="s">
        <v>320</v>
      </c>
      <c r="J1" s="4" t="s">
        <v>321</v>
      </c>
      <c r="K1" s="4" t="s">
        <v>322</v>
      </c>
      <c r="L1" s="4" t="s">
        <v>323</v>
      </c>
      <c r="M1" s="4" t="s">
        <v>324</v>
      </c>
      <c r="N1" s="4" t="s">
        <v>325</v>
      </c>
      <c r="O1" s="4" t="s">
        <v>326</v>
      </c>
      <c r="P1" s="4" t="s">
        <v>327</v>
      </c>
      <c r="Q1" s="4" t="s">
        <v>328</v>
      </c>
      <c r="R1" s="4" t="s">
        <v>329</v>
      </c>
      <c r="S1" s="4" t="s">
        <v>330</v>
      </c>
    </row>
    <row r="2" spans="1:19">
      <c r="A2">
        <v>2</v>
      </c>
      <c r="B2" t="s">
        <v>133</v>
      </c>
      <c r="C2" t="s">
        <v>124</v>
      </c>
      <c r="D2" t="s">
        <v>53</v>
      </c>
      <c r="E2">
        <v>153033402</v>
      </c>
      <c r="F2" t="s">
        <v>331</v>
      </c>
      <c r="G2" t="s">
        <v>332</v>
      </c>
      <c r="H2" t="s">
        <v>135</v>
      </c>
      <c r="I2" t="s">
        <v>333</v>
      </c>
      <c r="J2">
        <v>0</v>
      </c>
      <c r="L2" s="5">
        <v>0</v>
      </c>
      <c r="M2">
        <v>0</v>
      </c>
      <c r="N2" s="5">
        <v>0</v>
      </c>
      <c r="O2" s="5">
        <v>0</v>
      </c>
      <c r="P2">
        <v>2</v>
      </c>
      <c r="Q2" s="5">
        <v>781.7</v>
      </c>
      <c r="R2" s="5">
        <v>391.25</v>
      </c>
      <c r="S2" s="5">
        <v>390.85</v>
      </c>
    </row>
    <row r="3" spans="1:19">
      <c r="A3">
        <v>2</v>
      </c>
      <c r="B3" t="s">
        <v>133</v>
      </c>
      <c r="C3" t="s">
        <v>124</v>
      </c>
      <c r="D3" t="s">
        <v>53</v>
      </c>
      <c r="E3">
        <v>153033402</v>
      </c>
      <c r="F3" t="s">
        <v>331</v>
      </c>
      <c r="G3" t="s">
        <v>332</v>
      </c>
      <c r="H3" t="s">
        <v>135</v>
      </c>
      <c r="I3" t="s">
        <v>334</v>
      </c>
      <c r="J3">
        <v>0</v>
      </c>
      <c r="L3" s="5">
        <v>0</v>
      </c>
      <c r="M3">
        <v>0</v>
      </c>
      <c r="N3" s="5">
        <v>0</v>
      </c>
      <c r="O3" s="5">
        <v>0</v>
      </c>
      <c r="P3">
        <v>4</v>
      </c>
      <c r="Q3" s="5">
        <v>2599.9499999999998</v>
      </c>
      <c r="R3" s="5">
        <v>625.19000000000005</v>
      </c>
      <c r="S3" s="5">
        <v>649.99</v>
      </c>
    </row>
    <row r="4" spans="1:19">
      <c r="A4">
        <v>2</v>
      </c>
      <c r="B4" t="s">
        <v>133</v>
      </c>
      <c r="C4" t="s">
        <v>124</v>
      </c>
      <c r="D4" t="s">
        <v>53</v>
      </c>
      <c r="E4">
        <v>153033402</v>
      </c>
      <c r="F4" t="s">
        <v>331</v>
      </c>
      <c r="G4" t="s">
        <v>332</v>
      </c>
      <c r="H4" t="s">
        <v>135</v>
      </c>
      <c r="I4" t="s">
        <v>335</v>
      </c>
      <c r="J4">
        <v>0</v>
      </c>
      <c r="L4" s="5">
        <v>0</v>
      </c>
      <c r="M4">
        <v>0</v>
      </c>
      <c r="N4" s="5">
        <v>0</v>
      </c>
      <c r="O4" s="5">
        <v>0</v>
      </c>
      <c r="P4">
        <v>4</v>
      </c>
      <c r="Q4" s="5">
        <v>1311.88</v>
      </c>
      <c r="R4" s="5">
        <v>758.86</v>
      </c>
      <c r="S4" s="5">
        <v>327.97</v>
      </c>
    </row>
    <row r="5" spans="1:19">
      <c r="A5">
        <v>2</v>
      </c>
      <c r="B5" t="s">
        <v>133</v>
      </c>
      <c r="C5" t="s">
        <v>124</v>
      </c>
      <c r="D5" t="s">
        <v>53</v>
      </c>
      <c r="E5">
        <v>153033402</v>
      </c>
      <c r="F5" t="s">
        <v>331</v>
      </c>
      <c r="G5" t="s">
        <v>332</v>
      </c>
      <c r="H5" t="s">
        <v>135</v>
      </c>
      <c r="I5" t="s">
        <v>334</v>
      </c>
      <c r="J5">
        <v>0</v>
      </c>
      <c r="L5" s="5">
        <v>0</v>
      </c>
      <c r="M5">
        <v>0</v>
      </c>
      <c r="N5" s="5">
        <v>0</v>
      </c>
      <c r="O5" s="5">
        <v>0</v>
      </c>
      <c r="P5">
        <v>4</v>
      </c>
      <c r="Q5" s="5">
        <v>2653.28</v>
      </c>
      <c r="R5" s="5">
        <v>904.75</v>
      </c>
      <c r="S5" s="5">
        <v>663.32</v>
      </c>
    </row>
    <row r="6" spans="1:19">
      <c r="A6">
        <v>2</v>
      </c>
      <c r="B6" t="s">
        <v>133</v>
      </c>
      <c r="C6" t="s">
        <v>124</v>
      </c>
      <c r="D6" t="s">
        <v>53</v>
      </c>
      <c r="E6">
        <v>153033402</v>
      </c>
      <c r="F6" t="s">
        <v>331</v>
      </c>
      <c r="G6" t="s">
        <v>332</v>
      </c>
      <c r="H6" t="s">
        <v>135</v>
      </c>
      <c r="I6" t="s">
        <v>336</v>
      </c>
      <c r="J6">
        <v>0</v>
      </c>
      <c r="L6" s="5">
        <v>0</v>
      </c>
      <c r="M6">
        <v>0</v>
      </c>
      <c r="N6" s="5">
        <v>0</v>
      </c>
      <c r="O6" s="5">
        <v>0</v>
      </c>
      <c r="P6">
        <v>4</v>
      </c>
      <c r="Q6" s="5">
        <v>1366.08</v>
      </c>
      <c r="R6" s="5">
        <v>629.58000000000004</v>
      </c>
      <c r="S6" s="5">
        <v>341.52</v>
      </c>
    </row>
    <row r="7" spans="1:19">
      <c r="A7">
        <v>2</v>
      </c>
      <c r="B7" t="s">
        <v>133</v>
      </c>
      <c r="C7" t="s">
        <v>124</v>
      </c>
      <c r="D7" t="s">
        <v>53</v>
      </c>
      <c r="E7">
        <v>153033402</v>
      </c>
      <c r="F7" t="s">
        <v>331</v>
      </c>
      <c r="G7" t="s">
        <v>332</v>
      </c>
      <c r="H7" t="s">
        <v>135</v>
      </c>
      <c r="I7" t="s">
        <v>336</v>
      </c>
      <c r="J7">
        <v>0</v>
      </c>
      <c r="L7" s="5">
        <v>0</v>
      </c>
      <c r="M7">
        <v>0</v>
      </c>
      <c r="N7" s="5">
        <v>0</v>
      </c>
      <c r="O7" s="5">
        <v>0</v>
      </c>
      <c r="P7">
        <v>2</v>
      </c>
      <c r="Q7" s="5">
        <v>683.04</v>
      </c>
      <c r="R7" s="5">
        <v>593.6</v>
      </c>
      <c r="S7" s="5">
        <v>341.52</v>
      </c>
    </row>
    <row r="8" spans="1:19">
      <c r="A8">
        <v>2</v>
      </c>
      <c r="B8" t="s">
        <v>133</v>
      </c>
      <c r="C8" t="s">
        <v>124</v>
      </c>
      <c r="D8" t="s">
        <v>53</v>
      </c>
      <c r="E8">
        <v>153033402</v>
      </c>
      <c r="F8" t="s">
        <v>331</v>
      </c>
      <c r="G8" t="s">
        <v>332</v>
      </c>
      <c r="H8" t="s">
        <v>135</v>
      </c>
      <c r="I8" t="s">
        <v>337</v>
      </c>
      <c r="J8">
        <v>2</v>
      </c>
      <c r="K8" s="5">
        <v>724.56</v>
      </c>
      <c r="L8" s="5">
        <v>635.74</v>
      </c>
      <c r="M8">
        <v>0.122584741</v>
      </c>
      <c r="N8" s="5">
        <v>88.82</v>
      </c>
      <c r="O8" s="5">
        <v>44.41</v>
      </c>
      <c r="P8">
        <v>6</v>
      </c>
      <c r="Q8" s="5">
        <v>1907.22</v>
      </c>
      <c r="R8" s="5">
        <v>708.13</v>
      </c>
      <c r="S8" s="5">
        <v>635.74</v>
      </c>
    </row>
    <row r="9" spans="1:19">
      <c r="A9">
        <v>2</v>
      </c>
      <c r="B9" t="s">
        <v>133</v>
      </c>
      <c r="C9" t="s">
        <v>124</v>
      </c>
      <c r="D9" t="s">
        <v>53</v>
      </c>
      <c r="E9">
        <v>153033402</v>
      </c>
      <c r="F9" t="s">
        <v>331</v>
      </c>
      <c r="G9" t="s">
        <v>332</v>
      </c>
      <c r="H9" t="s">
        <v>135</v>
      </c>
      <c r="I9" t="s">
        <v>333</v>
      </c>
      <c r="J9">
        <v>0</v>
      </c>
      <c r="L9" s="5">
        <v>0</v>
      </c>
      <c r="M9">
        <v>0</v>
      </c>
      <c r="N9" s="5">
        <v>0</v>
      </c>
      <c r="O9" s="5">
        <v>0</v>
      </c>
      <c r="P9">
        <v>4</v>
      </c>
      <c r="Q9" s="5">
        <v>1550.64</v>
      </c>
      <c r="R9" s="5">
        <v>685.12</v>
      </c>
      <c r="S9" s="5">
        <v>387.66</v>
      </c>
    </row>
    <row r="10" spans="1:19">
      <c r="A10">
        <v>2</v>
      </c>
      <c r="B10" t="s">
        <v>133</v>
      </c>
      <c r="C10" t="s">
        <v>124</v>
      </c>
      <c r="D10" t="s">
        <v>53</v>
      </c>
      <c r="E10">
        <v>153033402</v>
      </c>
      <c r="F10" t="s">
        <v>331</v>
      </c>
      <c r="G10" t="s">
        <v>332</v>
      </c>
      <c r="H10" t="s">
        <v>135</v>
      </c>
      <c r="I10" t="s">
        <v>333</v>
      </c>
      <c r="J10">
        <v>0</v>
      </c>
      <c r="L10" s="5">
        <v>0</v>
      </c>
      <c r="M10">
        <v>0</v>
      </c>
      <c r="N10" s="5">
        <v>0</v>
      </c>
      <c r="O10" s="5">
        <v>0</v>
      </c>
      <c r="P10">
        <v>2</v>
      </c>
      <c r="Q10" s="5">
        <v>833.18</v>
      </c>
      <c r="R10" s="5">
        <v>469.7</v>
      </c>
      <c r="S10" s="5">
        <v>416.59</v>
      </c>
    </row>
    <row r="11" spans="1:19">
      <c r="A11">
        <v>2</v>
      </c>
      <c r="B11" t="s">
        <v>133</v>
      </c>
      <c r="C11" t="s">
        <v>124</v>
      </c>
      <c r="D11" t="s">
        <v>53</v>
      </c>
      <c r="E11">
        <v>153033402</v>
      </c>
      <c r="F11" t="s">
        <v>331</v>
      </c>
      <c r="G11" t="s">
        <v>332</v>
      </c>
      <c r="H11" t="s">
        <v>135</v>
      </c>
      <c r="I11" t="s">
        <v>337</v>
      </c>
      <c r="J11">
        <v>0</v>
      </c>
      <c r="L11" s="5">
        <v>0</v>
      </c>
      <c r="M11">
        <v>0</v>
      </c>
      <c r="N11" s="5">
        <v>0</v>
      </c>
      <c r="O11" s="5">
        <v>0</v>
      </c>
      <c r="P11">
        <v>2</v>
      </c>
      <c r="Q11" s="5">
        <v>669.5</v>
      </c>
      <c r="R11" s="5">
        <v>468.52</v>
      </c>
      <c r="S11" s="5">
        <v>334.75</v>
      </c>
    </row>
    <row r="12" spans="1:19">
      <c r="A12">
        <v>2</v>
      </c>
      <c r="B12" t="s">
        <v>133</v>
      </c>
      <c r="C12" t="s">
        <v>124</v>
      </c>
      <c r="D12" t="s">
        <v>53</v>
      </c>
      <c r="E12">
        <v>153033402</v>
      </c>
      <c r="F12" t="s">
        <v>331</v>
      </c>
      <c r="G12" t="s">
        <v>332</v>
      </c>
      <c r="H12" t="s">
        <v>135</v>
      </c>
      <c r="I12" t="s">
        <v>338</v>
      </c>
      <c r="J12">
        <v>0</v>
      </c>
      <c r="L12" s="5">
        <v>0</v>
      </c>
      <c r="M12">
        <v>0</v>
      </c>
      <c r="N12" s="5">
        <v>0</v>
      </c>
      <c r="O12" s="5">
        <v>0</v>
      </c>
      <c r="P12">
        <v>2</v>
      </c>
      <c r="Q12" s="5">
        <v>1318.4</v>
      </c>
      <c r="R12" s="5">
        <v>520.83000000000004</v>
      </c>
      <c r="S12" s="5">
        <v>659.2</v>
      </c>
    </row>
    <row r="13" spans="1:19">
      <c r="A13">
        <v>3</v>
      </c>
      <c r="B13" t="s">
        <v>161</v>
      </c>
      <c r="C13" t="s">
        <v>124</v>
      </c>
      <c r="D13" t="s">
        <v>159</v>
      </c>
      <c r="E13">
        <v>153033402</v>
      </c>
      <c r="F13" t="s">
        <v>339</v>
      </c>
      <c r="G13" t="s">
        <v>340</v>
      </c>
      <c r="H13" t="s">
        <v>146</v>
      </c>
      <c r="I13" t="s">
        <v>338</v>
      </c>
      <c r="J13">
        <v>0</v>
      </c>
      <c r="L13" s="5">
        <v>0</v>
      </c>
      <c r="M13">
        <v>0</v>
      </c>
      <c r="N13" s="5">
        <v>0</v>
      </c>
      <c r="O13" s="5">
        <v>0</v>
      </c>
      <c r="P13">
        <v>2</v>
      </c>
      <c r="Q13" s="5">
        <v>4340</v>
      </c>
      <c r="R13" s="5">
        <v>2484.0700000000002</v>
      </c>
      <c r="S13" s="5">
        <v>2170</v>
      </c>
    </row>
    <row r="14" spans="1:19">
      <c r="A14">
        <v>3</v>
      </c>
      <c r="B14" t="s">
        <v>161</v>
      </c>
      <c r="C14" t="s">
        <v>124</v>
      </c>
      <c r="D14" t="s">
        <v>159</v>
      </c>
      <c r="E14">
        <v>153021783</v>
      </c>
      <c r="F14" t="s">
        <v>339</v>
      </c>
      <c r="G14" t="s">
        <v>340</v>
      </c>
      <c r="H14" t="s">
        <v>146</v>
      </c>
      <c r="I14" t="s">
        <v>338</v>
      </c>
      <c r="J14">
        <v>0</v>
      </c>
      <c r="L14" s="5">
        <v>0</v>
      </c>
      <c r="M14">
        <v>0</v>
      </c>
      <c r="N14" s="5">
        <v>0</v>
      </c>
      <c r="O14" s="5">
        <v>0</v>
      </c>
      <c r="P14">
        <v>3</v>
      </c>
      <c r="Q14" s="5">
        <v>6510</v>
      </c>
      <c r="R14" s="5">
        <v>4277.21</v>
      </c>
      <c r="S14" s="5">
        <v>2170</v>
      </c>
    </row>
    <row r="15" spans="1:19">
      <c r="A15">
        <v>4</v>
      </c>
      <c r="B15" t="s">
        <v>180</v>
      </c>
      <c r="C15" t="s">
        <v>177</v>
      </c>
      <c r="D15" t="s">
        <v>178</v>
      </c>
      <c r="E15">
        <v>153021783</v>
      </c>
      <c r="F15" t="s">
        <v>341</v>
      </c>
      <c r="G15" t="s">
        <v>342</v>
      </c>
      <c r="H15" t="s">
        <v>113</v>
      </c>
      <c r="I15" t="s">
        <v>333</v>
      </c>
      <c r="J15">
        <v>2</v>
      </c>
      <c r="K15" s="5">
        <v>4804.8599999999997</v>
      </c>
      <c r="L15" s="5">
        <v>3880</v>
      </c>
      <c r="M15">
        <v>0.19248427600000001</v>
      </c>
      <c r="N15" s="5">
        <v>924.86</v>
      </c>
      <c r="O15" s="5">
        <v>462.43</v>
      </c>
      <c r="P15">
        <v>2</v>
      </c>
      <c r="Q15" s="5">
        <v>3880</v>
      </c>
      <c r="R15" s="5">
        <v>4933.3999999999996</v>
      </c>
      <c r="S15" s="5">
        <v>1940</v>
      </c>
    </row>
    <row r="16" spans="1:19">
      <c r="A16">
        <v>4</v>
      </c>
      <c r="B16" t="s">
        <v>180</v>
      </c>
      <c r="C16" t="s">
        <v>177</v>
      </c>
      <c r="D16" t="s">
        <v>178</v>
      </c>
      <c r="E16">
        <v>153020709</v>
      </c>
      <c r="F16" t="s">
        <v>341</v>
      </c>
      <c r="G16" t="s">
        <v>342</v>
      </c>
      <c r="H16" t="s">
        <v>113</v>
      </c>
      <c r="I16" t="s">
        <v>337</v>
      </c>
      <c r="J16">
        <v>0</v>
      </c>
      <c r="L16" s="5">
        <v>0</v>
      </c>
      <c r="M16">
        <v>0</v>
      </c>
      <c r="N16" s="5">
        <v>0</v>
      </c>
      <c r="O16" s="5">
        <v>0</v>
      </c>
      <c r="P16">
        <v>4</v>
      </c>
      <c r="Q16" s="5">
        <v>5380</v>
      </c>
      <c r="R16" s="5">
        <v>1843.78</v>
      </c>
      <c r="S16" s="5">
        <v>1345</v>
      </c>
    </row>
    <row r="17" spans="1:19">
      <c r="A17">
        <v>4</v>
      </c>
      <c r="B17" t="s">
        <v>180</v>
      </c>
      <c r="C17" t="s">
        <v>177</v>
      </c>
      <c r="D17" t="s">
        <v>178</v>
      </c>
      <c r="E17">
        <v>153020709</v>
      </c>
      <c r="F17" t="s">
        <v>341</v>
      </c>
      <c r="G17" t="s">
        <v>342</v>
      </c>
      <c r="H17" t="s">
        <v>113</v>
      </c>
      <c r="I17" t="s">
        <v>337</v>
      </c>
      <c r="J17">
        <v>0</v>
      </c>
      <c r="L17" s="5">
        <v>0</v>
      </c>
      <c r="M17">
        <v>0</v>
      </c>
      <c r="N17" s="5">
        <v>0</v>
      </c>
      <c r="O17" s="5">
        <v>0</v>
      </c>
      <c r="P17">
        <v>4</v>
      </c>
      <c r="Q17" s="5">
        <v>4480</v>
      </c>
      <c r="R17" s="5">
        <v>1843.78</v>
      </c>
      <c r="S17" s="5">
        <v>1120</v>
      </c>
    </row>
    <row r="18" spans="1:19">
      <c r="A18">
        <v>4</v>
      </c>
      <c r="B18" t="s">
        <v>180</v>
      </c>
      <c r="C18" t="s">
        <v>177</v>
      </c>
      <c r="D18" t="s">
        <v>178</v>
      </c>
      <c r="E18">
        <v>153020709</v>
      </c>
      <c r="F18" t="s">
        <v>341</v>
      </c>
      <c r="G18" t="s">
        <v>342</v>
      </c>
      <c r="H18" t="s">
        <v>113</v>
      </c>
      <c r="I18" t="s">
        <v>337</v>
      </c>
      <c r="J18">
        <v>0</v>
      </c>
      <c r="L18" s="5">
        <v>0</v>
      </c>
      <c r="M18">
        <v>0</v>
      </c>
      <c r="N18" s="5">
        <v>0</v>
      </c>
      <c r="O18" s="5">
        <v>0</v>
      </c>
      <c r="P18">
        <v>4</v>
      </c>
      <c r="Q18" s="5">
        <v>4480</v>
      </c>
      <c r="R18" s="5">
        <v>2141.16</v>
      </c>
      <c r="S18" s="5">
        <v>1120</v>
      </c>
    </row>
    <row r="19" spans="1:19">
      <c r="A19">
        <v>4</v>
      </c>
      <c r="B19" t="s">
        <v>180</v>
      </c>
      <c r="C19" t="s">
        <v>177</v>
      </c>
      <c r="D19" t="s">
        <v>178</v>
      </c>
      <c r="E19">
        <v>153020709</v>
      </c>
      <c r="F19" t="s">
        <v>341</v>
      </c>
      <c r="G19" t="s">
        <v>342</v>
      </c>
      <c r="H19" t="s">
        <v>113</v>
      </c>
      <c r="I19" t="s">
        <v>343</v>
      </c>
      <c r="J19">
        <v>0</v>
      </c>
      <c r="L19" s="5">
        <v>0</v>
      </c>
      <c r="M19">
        <v>0</v>
      </c>
      <c r="N19" s="5">
        <v>0</v>
      </c>
      <c r="O19" s="5">
        <v>0</v>
      </c>
      <c r="P19">
        <v>2</v>
      </c>
      <c r="Q19" s="5">
        <v>3880</v>
      </c>
      <c r="R19" s="5">
        <v>2466.6999999999998</v>
      </c>
      <c r="S19" s="5">
        <v>1940</v>
      </c>
    </row>
    <row r="20" spans="1:19">
      <c r="A20">
        <v>4</v>
      </c>
      <c r="B20" t="s">
        <v>180</v>
      </c>
      <c r="C20" t="s">
        <v>177</v>
      </c>
      <c r="D20" t="s">
        <v>178</v>
      </c>
      <c r="E20">
        <v>153020709</v>
      </c>
      <c r="F20" t="s">
        <v>341</v>
      </c>
      <c r="G20" t="s">
        <v>342</v>
      </c>
      <c r="H20" t="s">
        <v>113</v>
      </c>
      <c r="I20" t="s">
        <v>344</v>
      </c>
      <c r="J20">
        <v>0</v>
      </c>
      <c r="L20" s="5">
        <v>0</v>
      </c>
      <c r="M20">
        <v>0</v>
      </c>
      <c r="N20" s="5">
        <v>0</v>
      </c>
      <c r="O20" s="5">
        <v>0</v>
      </c>
      <c r="P20">
        <v>2</v>
      </c>
      <c r="Q20" s="5">
        <v>2240</v>
      </c>
      <c r="R20" s="5">
        <v>5507.17</v>
      </c>
      <c r="S20" s="5">
        <v>1120</v>
      </c>
    </row>
    <row r="21" spans="1:19">
      <c r="A21">
        <v>8</v>
      </c>
      <c r="B21" t="s">
        <v>162</v>
      </c>
      <c r="C21" t="s">
        <v>158</v>
      </c>
      <c r="D21" t="s">
        <v>159</v>
      </c>
      <c r="E21">
        <v>153020709</v>
      </c>
      <c r="F21" t="s">
        <v>345</v>
      </c>
      <c r="G21" t="s">
        <v>346</v>
      </c>
      <c r="H21" t="s">
        <v>140</v>
      </c>
      <c r="I21" t="s">
        <v>337</v>
      </c>
      <c r="J21">
        <v>4</v>
      </c>
      <c r="K21" s="5">
        <v>1193.68</v>
      </c>
      <c r="L21" s="5">
        <v>860</v>
      </c>
      <c r="M21">
        <v>0.27953890399999998</v>
      </c>
      <c r="N21" s="5">
        <v>333.68</v>
      </c>
      <c r="O21" s="5">
        <v>83.42</v>
      </c>
      <c r="P21">
        <v>0</v>
      </c>
      <c r="Q21" s="5">
        <v>0</v>
      </c>
      <c r="R21" s="5">
        <v>0</v>
      </c>
      <c r="S21" s="5">
        <v>215</v>
      </c>
    </row>
    <row r="22" spans="1:19">
      <c r="A22">
        <v>8</v>
      </c>
      <c r="B22" t="s">
        <v>162</v>
      </c>
      <c r="C22" t="s">
        <v>158</v>
      </c>
      <c r="D22" t="s">
        <v>159</v>
      </c>
      <c r="E22">
        <v>153020611</v>
      </c>
      <c r="F22" t="s">
        <v>345</v>
      </c>
      <c r="G22" t="s">
        <v>346</v>
      </c>
      <c r="H22" t="s">
        <v>140</v>
      </c>
      <c r="I22" t="s">
        <v>334</v>
      </c>
      <c r="J22">
        <v>4</v>
      </c>
      <c r="K22" s="5">
        <v>2809.82</v>
      </c>
      <c r="L22" s="5">
        <v>2480</v>
      </c>
      <c r="M22">
        <v>0.117381184</v>
      </c>
      <c r="N22" s="5">
        <v>329.82</v>
      </c>
      <c r="O22" s="5">
        <v>82.46</v>
      </c>
      <c r="P22">
        <v>0</v>
      </c>
      <c r="Q22" s="5">
        <v>0</v>
      </c>
      <c r="R22" s="5">
        <v>0</v>
      </c>
      <c r="S22" s="5">
        <v>620</v>
      </c>
    </row>
    <row r="23" spans="1:19">
      <c r="A23">
        <v>8</v>
      </c>
      <c r="B23" t="s">
        <v>162</v>
      </c>
      <c r="C23" t="s">
        <v>158</v>
      </c>
      <c r="D23" t="s">
        <v>159</v>
      </c>
      <c r="E23">
        <v>153020611</v>
      </c>
      <c r="F23" t="s">
        <v>345</v>
      </c>
      <c r="G23" t="s">
        <v>346</v>
      </c>
      <c r="H23" t="s">
        <v>140</v>
      </c>
      <c r="I23" t="s">
        <v>333</v>
      </c>
      <c r="J23">
        <v>4</v>
      </c>
      <c r="K23" s="5">
        <v>2228.4</v>
      </c>
      <c r="L23" s="5">
        <v>1860</v>
      </c>
      <c r="M23">
        <v>0.165320409</v>
      </c>
      <c r="N23" s="5">
        <v>368.4</v>
      </c>
      <c r="O23" s="5">
        <v>92.1</v>
      </c>
      <c r="P23">
        <v>0</v>
      </c>
      <c r="Q23" s="5">
        <v>0</v>
      </c>
      <c r="R23" s="5">
        <v>0</v>
      </c>
      <c r="S23" s="5">
        <v>465</v>
      </c>
    </row>
    <row r="24" spans="1:19">
      <c r="A24">
        <v>8</v>
      </c>
      <c r="B24" t="s">
        <v>162</v>
      </c>
      <c r="C24" t="s">
        <v>158</v>
      </c>
      <c r="D24" t="s">
        <v>159</v>
      </c>
      <c r="E24">
        <v>153020611</v>
      </c>
      <c r="F24" t="s">
        <v>345</v>
      </c>
      <c r="G24" t="s">
        <v>346</v>
      </c>
      <c r="H24" t="s">
        <v>140</v>
      </c>
      <c r="I24" t="s">
        <v>334</v>
      </c>
      <c r="J24">
        <v>4</v>
      </c>
      <c r="K24" s="5">
        <v>1800</v>
      </c>
      <c r="L24" s="5">
        <v>1800</v>
      </c>
      <c r="M24">
        <v>0</v>
      </c>
      <c r="N24" s="5">
        <v>0</v>
      </c>
      <c r="O24" s="5">
        <v>0</v>
      </c>
      <c r="P24">
        <v>0</v>
      </c>
      <c r="Q24" s="5">
        <v>0</v>
      </c>
      <c r="R24" s="5">
        <v>0</v>
      </c>
      <c r="S24" s="5">
        <v>450</v>
      </c>
    </row>
    <row r="25" spans="1:19">
      <c r="A25">
        <v>8</v>
      </c>
      <c r="B25" t="s">
        <v>162</v>
      </c>
      <c r="C25" t="s">
        <v>158</v>
      </c>
      <c r="D25" t="s">
        <v>159</v>
      </c>
      <c r="E25">
        <v>153020611</v>
      </c>
      <c r="F25" t="s">
        <v>345</v>
      </c>
      <c r="G25" t="s">
        <v>346</v>
      </c>
      <c r="H25" t="s">
        <v>140</v>
      </c>
      <c r="I25" t="s">
        <v>334</v>
      </c>
      <c r="J25">
        <v>0</v>
      </c>
      <c r="L25" s="5">
        <v>0</v>
      </c>
      <c r="M25">
        <v>0</v>
      </c>
      <c r="N25" s="5">
        <v>0</v>
      </c>
      <c r="O25" s="5">
        <v>0</v>
      </c>
      <c r="P25">
        <v>4</v>
      </c>
      <c r="Q25" s="5">
        <v>1800</v>
      </c>
      <c r="R25" s="5">
        <v>694.56</v>
      </c>
      <c r="S25" s="5">
        <v>450</v>
      </c>
    </row>
    <row r="26" spans="1:19">
      <c r="A26">
        <v>8</v>
      </c>
      <c r="B26" t="s">
        <v>162</v>
      </c>
      <c r="C26" t="s">
        <v>158</v>
      </c>
      <c r="D26" t="s">
        <v>159</v>
      </c>
      <c r="E26">
        <v>153020611</v>
      </c>
      <c r="F26" t="s">
        <v>345</v>
      </c>
      <c r="G26" t="s">
        <v>346</v>
      </c>
      <c r="H26" t="s">
        <v>140</v>
      </c>
      <c r="I26" t="s">
        <v>334</v>
      </c>
      <c r="J26">
        <v>4</v>
      </c>
      <c r="K26" s="5">
        <v>2490.61</v>
      </c>
      <c r="L26" s="5">
        <v>1800</v>
      </c>
      <c r="M26">
        <v>0.27728548400000003</v>
      </c>
      <c r="N26" s="5">
        <v>690.61</v>
      </c>
      <c r="O26" s="5">
        <v>172.65</v>
      </c>
      <c r="P26">
        <v>0</v>
      </c>
      <c r="Q26" s="5">
        <v>0</v>
      </c>
      <c r="R26" s="5">
        <v>0</v>
      </c>
      <c r="S26" s="5">
        <v>450</v>
      </c>
    </row>
    <row r="27" spans="1:19">
      <c r="A27">
        <v>8</v>
      </c>
      <c r="B27" t="s">
        <v>162</v>
      </c>
      <c r="C27" t="s">
        <v>158</v>
      </c>
      <c r="D27" t="s">
        <v>159</v>
      </c>
      <c r="E27">
        <v>153020611</v>
      </c>
      <c r="F27" t="s">
        <v>345</v>
      </c>
      <c r="G27" t="s">
        <v>346</v>
      </c>
      <c r="H27" t="s">
        <v>140</v>
      </c>
      <c r="I27" t="s">
        <v>334</v>
      </c>
      <c r="J27">
        <v>0</v>
      </c>
      <c r="L27" s="5">
        <v>0</v>
      </c>
      <c r="M27">
        <v>0</v>
      </c>
      <c r="N27" s="5">
        <v>0</v>
      </c>
      <c r="O27" s="5">
        <v>0</v>
      </c>
      <c r="P27">
        <v>2</v>
      </c>
      <c r="Q27" s="5">
        <v>1349.58</v>
      </c>
      <c r="R27" s="5">
        <v>873.8</v>
      </c>
      <c r="S27" s="5">
        <v>674.79</v>
      </c>
    </row>
    <row r="28" spans="1:19">
      <c r="A28">
        <v>8</v>
      </c>
      <c r="B28" t="s">
        <v>162</v>
      </c>
      <c r="C28" t="s">
        <v>158</v>
      </c>
      <c r="D28" t="s">
        <v>159</v>
      </c>
      <c r="E28">
        <v>153020611</v>
      </c>
      <c r="F28" t="s">
        <v>345</v>
      </c>
      <c r="G28" t="s">
        <v>346</v>
      </c>
      <c r="H28" t="s">
        <v>140</v>
      </c>
      <c r="I28" t="s">
        <v>334</v>
      </c>
      <c r="J28">
        <v>0</v>
      </c>
      <c r="L28" s="5">
        <v>0</v>
      </c>
      <c r="M28">
        <v>0</v>
      </c>
      <c r="N28" s="5">
        <v>0</v>
      </c>
      <c r="O28" s="5">
        <v>0</v>
      </c>
      <c r="P28">
        <v>4</v>
      </c>
      <c r="Q28" s="5">
        <v>1800</v>
      </c>
      <c r="R28" s="5">
        <v>739.36</v>
      </c>
      <c r="S28" s="5">
        <v>450</v>
      </c>
    </row>
    <row r="29" spans="1:19">
      <c r="A29">
        <v>8</v>
      </c>
      <c r="B29" t="s">
        <v>162</v>
      </c>
      <c r="C29" t="s">
        <v>158</v>
      </c>
      <c r="D29" t="s">
        <v>159</v>
      </c>
      <c r="E29">
        <v>153020611</v>
      </c>
      <c r="F29" t="s">
        <v>345</v>
      </c>
      <c r="G29" t="s">
        <v>346</v>
      </c>
      <c r="H29" t="s">
        <v>140</v>
      </c>
      <c r="I29" t="s">
        <v>337</v>
      </c>
      <c r="J29">
        <v>4</v>
      </c>
      <c r="K29" s="5">
        <v>1274.54</v>
      </c>
      <c r="L29" s="5">
        <v>860</v>
      </c>
      <c r="M29">
        <v>0.325246755</v>
      </c>
      <c r="N29" s="5">
        <v>414.54</v>
      </c>
      <c r="O29" s="5">
        <v>103.64</v>
      </c>
      <c r="P29">
        <v>0</v>
      </c>
      <c r="Q29" s="5">
        <v>0</v>
      </c>
      <c r="R29" s="5">
        <v>0</v>
      </c>
      <c r="S29" s="5">
        <v>215</v>
      </c>
    </row>
    <row r="30" spans="1:19">
      <c r="A30">
        <v>8</v>
      </c>
      <c r="B30" t="s">
        <v>162</v>
      </c>
      <c r="C30" t="s">
        <v>158</v>
      </c>
      <c r="D30" t="s">
        <v>159</v>
      </c>
      <c r="E30">
        <v>153020611</v>
      </c>
      <c r="F30" t="s">
        <v>345</v>
      </c>
      <c r="G30" t="s">
        <v>346</v>
      </c>
      <c r="H30" t="s">
        <v>140</v>
      </c>
      <c r="I30" t="s">
        <v>334</v>
      </c>
      <c r="J30">
        <v>0</v>
      </c>
      <c r="L30" s="5">
        <v>0</v>
      </c>
      <c r="M30">
        <v>0</v>
      </c>
      <c r="N30" s="5">
        <v>0</v>
      </c>
      <c r="O30" s="5">
        <v>0</v>
      </c>
      <c r="P30">
        <v>4</v>
      </c>
      <c r="Q30" s="5">
        <v>1800</v>
      </c>
      <c r="R30" s="5">
        <v>784.18</v>
      </c>
      <c r="S30" s="5">
        <v>450</v>
      </c>
    </row>
    <row r="31" spans="1:19">
      <c r="A31">
        <v>8</v>
      </c>
      <c r="B31" t="s">
        <v>162</v>
      </c>
      <c r="C31" t="s">
        <v>158</v>
      </c>
      <c r="D31" t="s">
        <v>159</v>
      </c>
      <c r="E31">
        <v>153020611</v>
      </c>
      <c r="F31" t="s">
        <v>345</v>
      </c>
      <c r="G31" t="s">
        <v>346</v>
      </c>
      <c r="H31" t="s">
        <v>140</v>
      </c>
      <c r="I31" t="s">
        <v>338</v>
      </c>
      <c r="J31">
        <v>0</v>
      </c>
      <c r="L31" s="5">
        <v>0</v>
      </c>
      <c r="M31">
        <v>0</v>
      </c>
      <c r="N31" s="5">
        <v>0</v>
      </c>
      <c r="O31" s="5">
        <v>0</v>
      </c>
      <c r="P31">
        <v>3</v>
      </c>
      <c r="Q31" s="5">
        <v>1350</v>
      </c>
      <c r="R31" s="5">
        <v>949.56</v>
      </c>
      <c r="S31" s="5">
        <v>450</v>
      </c>
    </row>
    <row r="32" spans="1:19">
      <c r="A32">
        <v>8</v>
      </c>
      <c r="B32" t="s">
        <v>162</v>
      </c>
      <c r="C32" t="s">
        <v>158</v>
      </c>
      <c r="D32" t="s">
        <v>159</v>
      </c>
      <c r="E32">
        <v>153020611</v>
      </c>
      <c r="F32" t="s">
        <v>345</v>
      </c>
      <c r="G32" t="s">
        <v>346</v>
      </c>
      <c r="H32" t="s">
        <v>140</v>
      </c>
      <c r="I32" t="s">
        <v>334</v>
      </c>
      <c r="J32">
        <v>4</v>
      </c>
      <c r="K32" s="5">
        <v>1966.17</v>
      </c>
      <c r="L32" s="5">
        <v>1800</v>
      </c>
      <c r="M32">
        <v>8.4514563000000001E-2</v>
      </c>
      <c r="N32" s="5">
        <v>166.17</v>
      </c>
      <c r="O32" s="5">
        <v>41.54</v>
      </c>
      <c r="P32">
        <v>0</v>
      </c>
      <c r="Q32" s="5">
        <v>0</v>
      </c>
      <c r="R32" s="5">
        <v>0</v>
      </c>
      <c r="S32" s="5">
        <v>450</v>
      </c>
    </row>
    <row r="33" spans="1:19">
      <c r="A33">
        <v>8</v>
      </c>
      <c r="B33" t="s">
        <v>162</v>
      </c>
      <c r="C33" t="s">
        <v>158</v>
      </c>
      <c r="D33" t="s">
        <v>159</v>
      </c>
      <c r="E33">
        <v>153020611</v>
      </c>
      <c r="F33" t="s">
        <v>345</v>
      </c>
      <c r="G33" t="s">
        <v>346</v>
      </c>
      <c r="H33" t="s">
        <v>140</v>
      </c>
      <c r="I33" t="s">
        <v>334</v>
      </c>
      <c r="J33">
        <v>2</v>
      </c>
      <c r="K33" s="5">
        <v>1466.64</v>
      </c>
      <c r="L33" s="5">
        <v>1240</v>
      </c>
      <c r="M33">
        <v>0.15453008200000001</v>
      </c>
      <c r="N33" s="5">
        <v>226.64</v>
      </c>
      <c r="O33" s="5">
        <v>113.32</v>
      </c>
      <c r="P33">
        <v>2</v>
      </c>
      <c r="Q33" s="5">
        <v>1240</v>
      </c>
      <c r="R33" s="5">
        <v>1657.96</v>
      </c>
      <c r="S33" s="5">
        <v>620</v>
      </c>
    </row>
    <row r="34" spans="1:19">
      <c r="A34">
        <v>8</v>
      </c>
      <c r="B34" t="s">
        <v>162</v>
      </c>
      <c r="C34" t="s">
        <v>158</v>
      </c>
      <c r="D34" t="s">
        <v>159</v>
      </c>
      <c r="E34">
        <v>153020611</v>
      </c>
      <c r="F34" t="s">
        <v>345</v>
      </c>
      <c r="G34" t="s">
        <v>346</v>
      </c>
      <c r="H34" t="s">
        <v>140</v>
      </c>
      <c r="I34" t="s">
        <v>334</v>
      </c>
      <c r="J34">
        <v>4</v>
      </c>
      <c r="K34" s="5">
        <v>1934.59</v>
      </c>
      <c r="L34" s="5">
        <v>1800</v>
      </c>
      <c r="M34">
        <v>6.9570296000000004E-2</v>
      </c>
      <c r="N34" s="5">
        <v>134.59</v>
      </c>
      <c r="O34" s="5">
        <v>33.65</v>
      </c>
      <c r="P34">
        <v>0</v>
      </c>
      <c r="Q34" s="5">
        <v>0</v>
      </c>
      <c r="R34" s="5">
        <v>0</v>
      </c>
      <c r="S34" s="5">
        <v>450</v>
      </c>
    </row>
    <row r="35" spans="1:19">
      <c r="A35">
        <v>8</v>
      </c>
      <c r="B35" t="s">
        <v>162</v>
      </c>
      <c r="C35" t="s">
        <v>158</v>
      </c>
      <c r="D35" t="s">
        <v>159</v>
      </c>
      <c r="E35">
        <v>153020611</v>
      </c>
      <c r="F35" t="s">
        <v>345</v>
      </c>
      <c r="G35" t="s">
        <v>346</v>
      </c>
      <c r="H35" t="s">
        <v>140</v>
      </c>
      <c r="I35" t="s">
        <v>337</v>
      </c>
      <c r="J35">
        <v>4</v>
      </c>
      <c r="K35" s="5">
        <v>1318.84</v>
      </c>
      <c r="L35" s="5">
        <v>860</v>
      </c>
      <c r="M35">
        <v>0.34791180100000002</v>
      </c>
      <c r="N35" s="5">
        <v>458.84</v>
      </c>
      <c r="O35" s="5">
        <v>114.71</v>
      </c>
      <c r="P35">
        <v>0</v>
      </c>
      <c r="Q35" s="5">
        <v>0</v>
      </c>
      <c r="R35" s="5">
        <v>0</v>
      </c>
      <c r="S35" s="5">
        <v>215</v>
      </c>
    </row>
    <row r="36" spans="1:19">
      <c r="A36">
        <v>8</v>
      </c>
      <c r="B36" t="s">
        <v>162</v>
      </c>
      <c r="C36" t="s">
        <v>158</v>
      </c>
      <c r="D36" t="s">
        <v>159</v>
      </c>
      <c r="E36">
        <v>153020611</v>
      </c>
      <c r="F36" t="s">
        <v>345</v>
      </c>
      <c r="G36" t="s">
        <v>346</v>
      </c>
      <c r="H36" t="s">
        <v>140</v>
      </c>
      <c r="I36" t="s">
        <v>334</v>
      </c>
      <c r="J36">
        <v>2</v>
      </c>
      <c r="K36" s="5">
        <v>1795.92</v>
      </c>
      <c r="L36" s="5">
        <v>1364.1</v>
      </c>
      <c r="M36">
        <v>0.24044500799999999</v>
      </c>
      <c r="N36" s="5">
        <v>431.82</v>
      </c>
      <c r="O36" s="5">
        <v>215.91</v>
      </c>
      <c r="P36">
        <v>0</v>
      </c>
      <c r="Q36" s="5">
        <v>0</v>
      </c>
      <c r="R36" s="5">
        <v>0</v>
      </c>
      <c r="S36" s="5">
        <v>682.05</v>
      </c>
    </row>
    <row r="37" spans="1:19">
      <c r="A37">
        <v>7</v>
      </c>
      <c r="B37" t="s">
        <v>167</v>
      </c>
      <c r="C37" t="s">
        <v>175</v>
      </c>
      <c r="D37" t="s">
        <v>169</v>
      </c>
      <c r="E37">
        <v>153020611</v>
      </c>
      <c r="F37" t="s">
        <v>347</v>
      </c>
      <c r="G37" t="s">
        <v>348</v>
      </c>
      <c r="H37" t="s">
        <v>91</v>
      </c>
      <c r="I37" t="s">
        <v>334</v>
      </c>
      <c r="J37">
        <v>0</v>
      </c>
      <c r="L37" s="5">
        <v>0</v>
      </c>
      <c r="M37">
        <v>0</v>
      </c>
      <c r="N37" s="5">
        <v>0</v>
      </c>
      <c r="O37" s="5">
        <v>0</v>
      </c>
      <c r="P37">
        <v>4</v>
      </c>
      <c r="Q37" s="5">
        <v>2480</v>
      </c>
      <c r="R37" s="5">
        <v>3838.33</v>
      </c>
      <c r="S37" s="5">
        <v>620</v>
      </c>
    </row>
    <row r="38" spans="1:19">
      <c r="A38">
        <v>7</v>
      </c>
      <c r="B38" t="s">
        <v>167</v>
      </c>
      <c r="C38" t="s">
        <v>175</v>
      </c>
      <c r="D38" t="s">
        <v>169</v>
      </c>
      <c r="E38">
        <v>153021803</v>
      </c>
      <c r="F38" t="s">
        <v>347</v>
      </c>
      <c r="G38" t="s">
        <v>348</v>
      </c>
      <c r="H38" t="s">
        <v>91</v>
      </c>
      <c r="I38" t="s">
        <v>333</v>
      </c>
      <c r="J38">
        <v>4</v>
      </c>
      <c r="K38" s="5">
        <v>4477.46</v>
      </c>
      <c r="L38" s="5">
        <v>2000</v>
      </c>
      <c r="M38">
        <v>0.55331817500000002</v>
      </c>
      <c r="N38" s="5">
        <v>2477.46</v>
      </c>
      <c r="O38" s="5">
        <v>619.36</v>
      </c>
      <c r="P38">
        <v>0</v>
      </c>
      <c r="Q38" s="5">
        <v>0</v>
      </c>
      <c r="R38" s="5">
        <v>0</v>
      </c>
      <c r="S38" s="5">
        <v>500</v>
      </c>
    </row>
    <row r="39" spans="1:19">
      <c r="A39">
        <v>6</v>
      </c>
      <c r="B39" t="s">
        <v>181</v>
      </c>
      <c r="C39" t="s">
        <v>124</v>
      </c>
      <c r="D39" t="s">
        <v>178</v>
      </c>
      <c r="E39">
        <v>153021803</v>
      </c>
      <c r="F39" t="s">
        <v>349</v>
      </c>
      <c r="G39" t="s">
        <v>350</v>
      </c>
      <c r="H39" t="s">
        <v>164</v>
      </c>
      <c r="I39" t="s">
        <v>343</v>
      </c>
      <c r="J39">
        <v>0</v>
      </c>
      <c r="L39" s="5">
        <v>0</v>
      </c>
      <c r="M39">
        <v>0</v>
      </c>
      <c r="N39" s="5">
        <v>0</v>
      </c>
      <c r="O39" s="5">
        <v>0</v>
      </c>
      <c r="P39">
        <v>2</v>
      </c>
      <c r="Q39" s="5">
        <v>760</v>
      </c>
      <c r="R39" s="5">
        <v>391.08</v>
      </c>
      <c r="S39" s="5">
        <v>380</v>
      </c>
    </row>
    <row r="40" spans="1:19">
      <c r="A40">
        <v>6</v>
      </c>
      <c r="B40" t="s">
        <v>181</v>
      </c>
      <c r="C40" t="s">
        <v>124</v>
      </c>
      <c r="D40" t="s">
        <v>178</v>
      </c>
      <c r="E40">
        <v>153020454</v>
      </c>
      <c r="F40" t="s">
        <v>349</v>
      </c>
      <c r="G40" t="s">
        <v>350</v>
      </c>
      <c r="H40" t="s">
        <v>164</v>
      </c>
      <c r="I40" t="s">
        <v>338</v>
      </c>
      <c r="J40">
        <v>0</v>
      </c>
      <c r="L40" s="5">
        <v>0</v>
      </c>
      <c r="M40">
        <v>0</v>
      </c>
      <c r="N40" s="5">
        <v>0</v>
      </c>
      <c r="O40" s="5">
        <v>0</v>
      </c>
      <c r="P40">
        <v>3</v>
      </c>
      <c r="Q40" s="5">
        <v>1350</v>
      </c>
      <c r="R40" s="5">
        <v>1312.59</v>
      </c>
      <c r="S40" s="5">
        <v>450</v>
      </c>
    </row>
    <row r="41" spans="1:19">
      <c r="A41">
        <v>6</v>
      </c>
      <c r="B41" t="s">
        <v>181</v>
      </c>
      <c r="C41" t="s">
        <v>124</v>
      </c>
      <c r="D41" t="s">
        <v>178</v>
      </c>
      <c r="E41">
        <v>153020454</v>
      </c>
      <c r="F41" t="s">
        <v>349</v>
      </c>
      <c r="G41" t="s">
        <v>350</v>
      </c>
      <c r="H41" t="s">
        <v>164</v>
      </c>
      <c r="I41" t="s">
        <v>338</v>
      </c>
      <c r="J41">
        <v>0</v>
      </c>
      <c r="L41" s="5">
        <v>0</v>
      </c>
      <c r="M41">
        <v>0</v>
      </c>
      <c r="N41" s="5">
        <v>0</v>
      </c>
      <c r="O41" s="5">
        <v>0</v>
      </c>
      <c r="P41">
        <v>3</v>
      </c>
      <c r="Q41" s="5">
        <v>1350</v>
      </c>
      <c r="R41" s="5">
        <v>666.9</v>
      </c>
      <c r="S41" s="5">
        <v>450</v>
      </c>
    </row>
    <row r="42" spans="1:19">
      <c r="A42">
        <v>6</v>
      </c>
      <c r="B42" t="s">
        <v>181</v>
      </c>
      <c r="C42" t="s">
        <v>124</v>
      </c>
      <c r="D42" t="s">
        <v>178</v>
      </c>
      <c r="E42">
        <v>153020454</v>
      </c>
      <c r="F42" t="s">
        <v>349</v>
      </c>
      <c r="G42" t="s">
        <v>350</v>
      </c>
      <c r="H42" t="s">
        <v>164</v>
      </c>
      <c r="I42" t="s">
        <v>338</v>
      </c>
      <c r="J42">
        <v>0</v>
      </c>
      <c r="L42" s="5">
        <v>0</v>
      </c>
      <c r="M42">
        <v>0</v>
      </c>
      <c r="N42" s="5">
        <v>0</v>
      </c>
      <c r="O42" s="5">
        <v>0</v>
      </c>
      <c r="P42">
        <v>3</v>
      </c>
      <c r="Q42" s="5">
        <v>1350</v>
      </c>
      <c r="R42" s="5">
        <v>1620.88</v>
      </c>
      <c r="S42" s="5">
        <v>450</v>
      </c>
    </row>
    <row r="43" spans="1:19">
      <c r="A43">
        <v>6</v>
      </c>
      <c r="B43" t="s">
        <v>181</v>
      </c>
      <c r="C43" t="s">
        <v>124</v>
      </c>
      <c r="D43" t="s">
        <v>178</v>
      </c>
      <c r="E43">
        <v>153020454</v>
      </c>
      <c r="F43" t="s">
        <v>349</v>
      </c>
      <c r="G43" t="s">
        <v>350</v>
      </c>
      <c r="H43" t="s">
        <v>164</v>
      </c>
      <c r="I43" t="s">
        <v>334</v>
      </c>
      <c r="J43">
        <v>0</v>
      </c>
      <c r="L43" s="5">
        <v>0</v>
      </c>
      <c r="M43">
        <v>0</v>
      </c>
      <c r="N43" s="5">
        <v>0</v>
      </c>
      <c r="O43" s="5">
        <v>0</v>
      </c>
      <c r="P43">
        <v>4</v>
      </c>
      <c r="Q43" s="5">
        <v>1800</v>
      </c>
      <c r="R43" s="5">
        <v>519.34</v>
      </c>
      <c r="S43" s="5">
        <v>450</v>
      </c>
    </row>
    <row r="44" spans="1:19">
      <c r="A44">
        <v>6</v>
      </c>
      <c r="B44" t="s">
        <v>181</v>
      </c>
      <c r="C44" t="s">
        <v>124</v>
      </c>
      <c r="D44" t="s">
        <v>178</v>
      </c>
      <c r="E44">
        <v>153020454</v>
      </c>
      <c r="F44" t="s">
        <v>349</v>
      </c>
      <c r="G44" t="s">
        <v>350</v>
      </c>
      <c r="H44" t="s">
        <v>164</v>
      </c>
      <c r="I44" t="s">
        <v>338</v>
      </c>
      <c r="J44">
        <v>0</v>
      </c>
      <c r="L44" s="5">
        <v>0</v>
      </c>
      <c r="M44">
        <v>0</v>
      </c>
      <c r="N44" s="5">
        <v>0</v>
      </c>
      <c r="O44" s="5">
        <v>0</v>
      </c>
      <c r="P44">
        <v>3</v>
      </c>
      <c r="Q44" s="5">
        <v>1350</v>
      </c>
      <c r="R44" s="5">
        <v>1457.7</v>
      </c>
      <c r="S44" s="5">
        <v>450</v>
      </c>
    </row>
    <row r="45" spans="1:19">
      <c r="A45">
        <v>6</v>
      </c>
      <c r="B45" t="s">
        <v>181</v>
      </c>
      <c r="C45" t="s">
        <v>124</v>
      </c>
      <c r="D45" t="s">
        <v>178</v>
      </c>
      <c r="E45">
        <v>153020454</v>
      </c>
      <c r="F45" t="s">
        <v>349</v>
      </c>
      <c r="G45" t="s">
        <v>350</v>
      </c>
      <c r="H45" t="s">
        <v>164</v>
      </c>
      <c r="I45" t="s">
        <v>338</v>
      </c>
      <c r="J45">
        <v>0</v>
      </c>
      <c r="L45" s="5">
        <v>0</v>
      </c>
      <c r="M45">
        <v>0</v>
      </c>
      <c r="N45" s="5">
        <v>0</v>
      </c>
      <c r="O45" s="5">
        <v>0</v>
      </c>
      <c r="P45">
        <v>2</v>
      </c>
      <c r="Q45" s="5">
        <v>900</v>
      </c>
      <c r="R45" s="5">
        <v>514.34</v>
      </c>
      <c r="S45" s="5">
        <v>450</v>
      </c>
    </row>
    <row r="46" spans="1:19">
      <c r="A46">
        <v>5</v>
      </c>
      <c r="B46" t="s">
        <v>168</v>
      </c>
      <c r="C46" t="s">
        <v>174</v>
      </c>
      <c r="D46" t="s">
        <v>169</v>
      </c>
      <c r="E46">
        <v>153020454</v>
      </c>
      <c r="F46" t="s">
        <v>351</v>
      </c>
      <c r="G46" t="s">
        <v>350</v>
      </c>
      <c r="H46" t="s">
        <v>127</v>
      </c>
      <c r="I46" t="s">
        <v>333</v>
      </c>
      <c r="J46">
        <v>4</v>
      </c>
      <c r="K46" s="5">
        <v>2939.58</v>
      </c>
      <c r="L46" s="5">
        <v>1240</v>
      </c>
      <c r="M46">
        <v>0.578171031</v>
      </c>
      <c r="N46" s="5">
        <v>1699.58</v>
      </c>
      <c r="O46" s="5">
        <v>424.9</v>
      </c>
      <c r="P46">
        <v>0</v>
      </c>
      <c r="Q46" s="5">
        <v>0</v>
      </c>
      <c r="R46" s="5">
        <v>0</v>
      </c>
      <c r="S46" s="5">
        <v>310</v>
      </c>
    </row>
    <row r="47" spans="1:19">
      <c r="A47">
        <v>5</v>
      </c>
      <c r="B47" t="s">
        <v>168</v>
      </c>
      <c r="C47" t="s">
        <v>174</v>
      </c>
      <c r="D47" t="s">
        <v>169</v>
      </c>
      <c r="E47">
        <v>153021802</v>
      </c>
      <c r="F47" t="s">
        <v>351</v>
      </c>
      <c r="G47" t="s">
        <v>350</v>
      </c>
      <c r="H47" t="s">
        <v>127</v>
      </c>
      <c r="I47" t="s">
        <v>333</v>
      </c>
      <c r="J47">
        <v>0</v>
      </c>
      <c r="L47" s="5">
        <v>0</v>
      </c>
      <c r="M47">
        <v>0</v>
      </c>
      <c r="N47" s="5">
        <v>0</v>
      </c>
      <c r="O47" s="5">
        <v>0</v>
      </c>
      <c r="P47">
        <v>4</v>
      </c>
      <c r="Q47" s="5">
        <v>1240</v>
      </c>
      <c r="R47" s="5">
        <v>1096.24</v>
      </c>
      <c r="S47" s="5">
        <v>310</v>
      </c>
    </row>
    <row r="48" spans="1:19">
      <c r="A48">
        <v>5</v>
      </c>
      <c r="B48" t="s">
        <v>168</v>
      </c>
      <c r="C48" t="s">
        <v>174</v>
      </c>
      <c r="D48" t="s">
        <v>169</v>
      </c>
      <c r="E48">
        <v>153021802</v>
      </c>
      <c r="F48" t="s">
        <v>351</v>
      </c>
      <c r="G48" t="s">
        <v>350</v>
      </c>
      <c r="H48" t="s">
        <v>127</v>
      </c>
      <c r="I48" t="s">
        <v>333</v>
      </c>
      <c r="J48">
        <v>4</v>
      </c>
      <c r="K48" s="5">
        <v>4239.0200000000004</v>
      </c>
      <c r="L48" s="5">
        <v>1240</v>
      </c>
      <c r="M48">
        <v>0.70747955799999995</v>
      </c>
      <c r="N48" s="5">
        <v>2999.02</v>
      </c>
      <c r="O48" s="5">
        <v>749.76</v>
      </c>
      <c r="P48">
        <v>0</v>
      </c>
      <c r="Q48" s="5">
        <v>0</v>
      </c>
      <c r="R48" s="5">
        <v>0</v>
      </c>
      <c r="S48" s="5">
        <v>310</v>
      </c>
    </row>
    <row r="49" spans="1:19">
      <c r="A49">
        <v>5</v>
      </c>
      <c r="B49" t="s">
        <v>168</v>
      </c>
      <c r="C49" t="s">
        <v>174</v>
      </c>
      <c r="D49" t="s">
        <v>169</v>
      </c>
      <c r="E49">
        <v>153021802</v>
      </c>
      <c r="F49" t="s">
        <v>351</v>
      </c>
      <c r="G49" t="s">
        <v>350</v>
      </c>
      <c r="H49" t="s">
        <v>127</v>
      </c>
      <c r="I49" t="s">
        <v>333</v>
      </c>
      <c r="J49">
        <v>4</v>
      </c>
      <c r="K49" s="5">
        <v>3571.04</v>
      </c>
      <c r="L49" s="5">
        <v>1240</v>
      </c>
      <c r="M49">
        <v>0.65276221999999995</v>
      </c>
      <c r="N49" s="5">
        <v>2331.04</v>
      </c>
      <c r="O49" s="5">
        <v>582.76</v>
      </c>
      <c r="P49">
        <v>0</v>
      </c>
      <c r="Q49" s="5">
        <v>0</v>
      </c>
      <c r="R49" s="5">
        <v>0</v>
      </c>
      <c r="S49" s="5">
        <v>310</v>
      </c>
    </row>
    <row r="50" spans="1:19">
      <c r="A50">
        <v>5</v>
      </c>
      <c r="B50" t="s">
        <v>168</v>
      </c>
      <c r="C50" t="s">
        <v>174</v>
      </c>
      <c r="D50" t="s">
        <v>169</v>
      </c>
      <c r="E50">
        <v>153021802</v>
      </c>
      <c r="F50" t="s">
        <v>351</v>
      </c>
      <c r="G50" t="s">
        <v>350</v>
      </c>
      <c r="H50" t="s">
        <v>127</v>
      </c>
      <c r="I50" t="s">
        <v>333</v>
      </c>
      <c r="J50">
        <v>4</v>
      </c>
      <c r="K50" s="5">
        <v>5462.4</v>
      </c>
      <c r="L50" s="5">
        <v>1240</v>
      </c>
      <c r="M50">
        <v>0.772993555</v>
      </c>
      <c r="N50" s="5">
        <v>4222.3999999999996</v>
      </c>
      <c r="O50" s="5">
        <v>1055.5999999999999</v>
      </c>
      <c r="P50">
        <v>0</v>
      </c>
      <c r="Q50" s="5">
        <v>0</v>
      </c>
      <c r="R50" s="5">
        <v>0</v>
      </c>
      <c r="S50" s="5">
        <v>620</v>
      </c>
    </row>
    <row r="51" spans="1:19">
      <c r="A51">
        <v>5</v>
      </c>
      <c r="B51" t="s">
        <v>168</v>
      </c>
      <c r="C51" t="s">
        <v>174</v>
      </c>
      <c r="D51" t="s">
        <v>169</v>
      </c>
      <c r="E51">
        <v>153021802</v>
      </c>
      <c r="F51" t="s">
        <v>351</v>
      </c>
      <c r="G51" t="s">
        <v>350</v>
      </c>
      <c r="H51" t="s">
        <v>127</v>
      </c>
      <c r="I51" t="s">
        <v>333</v>
      </c>
      <c r="J51">
        <v>4</v>
      </c>
      <c r="K51" s="5">
        <v>3137.84</v>
      </c>
      <c r="L51" s="5">
        <v>1240</v>
      </c>
      <c r="M51">
        <v>0.60482369999999996</v>
      </c>
      <c r="N51" s="5">
        <v>1897.84</v>
      </c>
      <c r="O51" s="5">
        <v>474.46</v>
      </c>
      <c r="P51">
        <v>0</v>
      </c>
      <c r="Q51" s="5">
        <v>0</v>
      </c>
      <c r="R51" s="5">
        <v>0</v>
      </c>
      <c r="S51" s="5">
        <v>310</v>
      </c>
    </row>
    <row r="52" spans="1:19">
      <c r="A52">
        <v>5</v>
      </c>
      <c r="B52" t="s">
        <v>168</v>
      </c>
      <c r="C52" t="s">
        <v>174</v>
      </c>
      <c r="D52" t="s">
        <v>169</v>
      </c>
      <c r="E52">
        <v>153021802</v>
      </c>
      <c r="F52" t="s">
        <v>351</v>
      </c>
      <c r="G52" t="s">
        <v>350</v>
      </c>
      <c r="H52" t="s">
        <v>127</v>
      </c>
      <c r="I52" t="s">
        <v>333</v>
      </c>
      <c r="J52">
        <v>4</v>
      </c>
      <c r="K52" s="5">
        <v>4696.3999999999996</v>
      </c>
      <c r="L52" s="5">
        <v>1240</v>
      </c>
      <c r="M52">
        <v>0.735967975</v>
      </c>
      <c r="N52" s="5">
        <v>3456.4</v>
      </c>
      <c r="O52" s="5">
        <v>864.1</v>
      </c>
      <c r="P52">
        <v>0</v>
      </c>
      <c r="Q52" s="5">
        <v>0</v>
      </c>
      <c r="R52" s="5">
        <v>0</v>
      </c>
      <c r="S52" s="5">
        <v>310</v>
      </c>
    </row>
    <row r="53" spans="1:19">
      <c r="A53">
        <v>5</v>
      </c>
      <c r="B53" t="s">
        <v>168</v>
      </c>
      <c r="C53" t="s">
        <v>174</v>
      </c>
      <c r="D53" t="s">
        <v>169</v>
      </c>
      <c r="E53">
        <v>153021802</v>
      </c>
      <c r="F53" t="s">
        <v>351</v>
      </c>
      <c r="G53" t="s">
        <v>350</v>
      </c>
      <c r="H53" t="s">
        <v>127</v>
      </c>
      <c r="I53" t="s">
        <v>333</v>
      </c>
      <c r="J53">
        <v>4</v>
      </c>
      <c r="K53" s="5">
        <v>2949.66</v>
      </c>
      <c r="L53" s="5">
        <v>1240</v>
      </c>
      <c r="M53">
        <v>0.57961256500000002</v>
      </c>
      <c r="N53" s="5">
        <v>1709.66</v>
      </c>
      <c r="O53" s="5">
        <v>427.42</v>
      </c>
      <c r="P53">
        <v>0</v>
      </c>
      <c r="Q53" s="5">
        <v>0</v>
      </c>
      <c r="R53" s="5">
        <v>0</v>
      </c>
      <c r="S53" s="5">
        <v>310</v>
      </c>
    </row>
    <row r="54" spans="1:19">
      <c r="A54">
        <v>5</v>
      </c>
      <c r="B54" t="s">
        <v>168</v>
      </c>
      <c r="C54" t="s">
        <v>174</v>
      </c>
      <c r="D54" t="s">
        <v>169</v>
      </c>
      <c r="E54">
        <v>153021802</v>
      </c>
      <c r="F54" t="s">
        <v>351</v>
      </c>
      <c r="G54" t="s">
        <v>350</v>
      </c>
      <c r="H54" t="s">
        <v>127</v>
      </c>
      <c r="I54" t="s">
        <v>333</v>
      </c>
      <c r="J54">
        <v>0</v>
      </c>
      <c r="L54" s="5">
        <v>0</v>
      </c>
      <c r="M54">
        <v>0</v>
      </c>
      <c r="N54" s="5">
        <v>0</v>
      </c>
      <c r="O54" s="5">
        <v>0</v>
      </c>
      <c r="P54">
        <v>4</v>
      </c>
      <c r="Q54" s="5">
        <v>1240</v>
      </c>
      <c r="R54" s="5">
        <v>1151.0999999999999</v>
      </c>
      <c r="S54" s="5">
        <v>310</v>
      </c>
    </row>
    <row r="55" spans="1:19">
      <c r="A55">
        <v>5</v>
      </c>
      <c r="B55" t="s">
        <v>168</v>
      </c>
      <c r="C55" t="s">
        <v>174</v>
      </c>
      <c r="D55" t="s">
        <v>169</v>
      </c>
      <c r="E55">
        <v>153021802</v>
      </c>
      <c r="F55" t="s">
        <v>351</v>
      </c>
      <c r="G55" t="s">
        <v>350</v>
      </c>
      <c r="H55" t="s">
        <v>127</v>
      </c>
      <c r="I55" t="s">
        <v>333</v>
      </c>
      <c r="J55">
        <v>4</v>
      </c>
      <c r="K55" s="5">
        <v>2162.92</v>
      </c>
      <c r="L55" s="5">
        <v>1240</v>
      </c>
      <c r="M55">
        <v>0.426700941</v>
      </c>
      <c r="N55" s="5">
        <v>922.92</v>
      </c>
      <c r="O55" s="5">
        <v>230.73</v>
      </c>
      <c r="P55">
        <v>0</v>
      </c>
      <c r="Q55" s="5">
        <v>0</v>
      </c>
      <c r="R55" s="5">
        <v>0</v>
      </c>
      <c r="S55" s="5">
        <v>310</v>
      </c>
    </row>
    <row r="56" spans="1:19">
      <c r="A56">
        <v>5</v>
      </c>
      <c r="B56" t="s">
        <v>168</v>
      </c>
      <c r="C56" t="s">
        <v>174</v>
      </c>
      <c r="D56" t="s">
        <v>169</v>
      </c>
      <c r="E56">
        <v>153021802</v>
      </c>
      <c r="F56" t="s">
        <v>351</v>
      </c>
      <c r="G56" t="s">
        <v>350</v>
      </c>
      <c r="H56" t="s">
        <v>127</v>
      </c>
      <c r="I56" t="s">
        <v>333</v>
      </c>
      <c r="J56">
        <v>4</v>
      </c>
      <c r="K56" s="5">
        <v>3776.24</v>
      </c>
      <c r="L56" s="5">
        <v>1240</v>
      </c>
      <c r="M56">
        <v>0.67163103999999996</v>
      </c>
      <c r="N56" s="5">
        <v>2536.2399999999998</v>
      </c>
      <c r="O56" s="5">
        <v>634.05999999999995</v>
      </c>
      <c r="P56">
        <v>0</v>
      </c>
      <c r="Q56" s="5">
        <v>0</v>
      </c>
      <c r="R56" s="5">
        <v>0</v>
      </c>
      <c r="S56" s="5">
        <v>310</v>
      </c>
    </row>
    <row r="57" spans="1:19">
      <c r="A57">
        <v>5</v>
      </c>
      <c r="B57" t="s">
        <v>168</v>
      </c>
      <c r="C57" t="s">
        <v>174</v>
      </c>
      <c r="D57" t="s">
        <v>169</v>
      </c>
      <c r="E57">
        <v>153021802</v>
      </c>
      <c r="F57" t="s">
        <v>351</v>
      </c>
      <c r="G57" t="s">
        <v>350</v>
      </c>
      <c r="H57" t="s">
        <v>127</v>
      </c>
      <c r="I57" t="s">
        <v>333</v>
      </c>
      <c r="J57">
        <v>4</v>
      </c>
      <c r="K57" s="5">
        <v>2349.36</v>
      </c>
      <c r="L57" s="5">
        <v>1240</v>
      </c>
      <c r="M57">
        <v>0.47219668300000001</v>
      </c>
      <c r="N57" s="5">
        <v>1109.3599999999999</v>
      </c>
      <c r="O57" s="5">
        <v>277.33999999999997</v>
      </c>
      <c r="P57">
        <v>0</v>
      </c>
      <c r="Q57" s="5">
        <v>0</v>
      </c>
      <c r="R57" s="5">
        <v>0</v>
      </c>
      <c r="S57" s="5">
        <v>310</v>
      </c>
    </row>
    <row r="58" spans="1:19">
      <c r="A58">
        <v>5</v>
      </c>
      <c r="B58" t="s">
        <v>168</v>
      </c>
      <c r="C58" t="s">
        <v>174</v>
      </c>
      <c r="D58" t="s">
        <v>169</v>
      </c>
      <c r="E58">
        <v>153021802</v>
      </c>
      <c r="F58" t="s">
        <v>351</v>
      </c>
      <c r="G58" t="s">
        <v>350</v>
      </c>
      <c r="H58" t="s">
        <v>127</v>
      </c>
      <c r="I58" t="s">
        <v>333</v>
      </c>
      <c r="J58">
        <v>4</v>
      </c>
      <c r="K58" s="5">
        <v>1804.18</v>
      </c>
      <c r="L58" s="5">
        <v>1240</v>
      </c>
      <c r="M58">
        <v>0.31270715700000001</v>
      </c>
      <c r="N58" s="5">
        <v>564.17999999999995</v>
      </c>
      <c r="O58" s="5">
        <v>141.04</v>
      </c>
      <c r="P58">
        <v>0</v>
      </c>
      <c r="Q58" s="5">
        <v>0</v>
      </c>
      <c r="R58" s="5">
        <v>0</v>
      </c>
      <c r="S58" s="5">
        <v>310</v>
      </c>
    </row>
    <row r="59" spans="1:19">
      <c r="A59">
        <v>5</v>
      </c>
      <c r="B59" t="s">
        <v>168</v>
      </c>
      <c r="C59" t="s">
        <v>174</v>
      </c>
      <c r="D59" t="s">
        <v>169</v>
      </c>
      <c r="E59">
        <v>153021802</v>
      </c>
      <c r="F59" t="s">
        <v>351</v>
      </c>
      <c r="G59" t="s">
        <v>350</v>
      </c>
      <c r="H59" t="s">
        <v>127</v>
      </c>
      <c r="I59" t="s">
        <v>333</v>
      </c>
      <c r="J59">
        <v>4</v>
      </c>
      <c r="K59" s="5">
        <v>1820.22</v>
      </c>
      <c r="L59" s="5">
        <v>1240</v>
      </c>
      <c r="M59">
        <v>0.31876366499999997</v>
      </c>
      <c r="N59" s="5">
        <v>580.22</v>
      </c>
      <c r="O59" s="5">
        <v>145.06</v>
      </c>
      <c r="P59">
        <v>0</v>
      </c>
      <c r="Q59" s="5">
        <v>0</v>
      </c>
      <c r="R59" s="5">
        <v>0</v>
      </c>
      <c r="S59" s="5">
        <v>310</v>
      </c>
    </row>
    <row r="60" spans="1:19">
      <c r="A60">
        <v>5</v>
      </c>
      <c r="B60" t="s">
        <v>168</v>
      </c>
      <c r="C60" t="s">
        <v>174</v>
      </c>
      <c r="D60" t="s">
        <v>169</v>
      </c>
      <c r="E60">
        <v>153021802</v>
      </c>
      <c r="F60" t="s">
        <v>351</v>
      </c>
      <c r="G60" t="s">
        <v>350</v>
      </c>
      <c r="H60" t="s">
        <v>127</v>
      </c>
      <c r="I60" t="s">
        <v>333</v>
      </c>
      <c r="J60">
        <v>4</v>
      </c>
      <c r="K60" s="5">
        <v>2375.6</v>
      </c>
      <c r="L60" s="5">
        <v>1240</v>
      </c>
      <c r="M60">
        <v>0.47802660299999999</v>
      </c>
      <c r="N60" s="5">
        <v>1135.5999999999999</v>
      </c>
      <c r="O60" s="5">
        <v>283.89999999999998</v>
      </c>
      <c r="P60">
        <v>0</v>
      </c>
      <c r="Q60" s="5">
        <v>0</v>
      </c>
      <c r="R60" s="5">
        <v>0</v>
      </c>
      <c r="S60" s="5">
        <v>310</v>
      </c>
    </row>
    <row r="61" spans="1:19">
      <c r="A61">
        <v>5</v>
      </c>
      <c r="B61" t="s">
        <v>168</v>
      </c>
      <c r="C61" t="s">
        <v>174</v>
      </c>
      <c r="D61" t="s">
        <v>169</v>
      </c>
      <c r="E61">
        <v>153021802</v>
      </c>
      <c r="F61" t="s">
        <v>351</v>
      </c>
      <c r="G61" t="s">
        <v>350</v>
      </c>
      <c r="H61" t="s">
        <v>127</v>
      </c>
      <c r="I61" t="s">
        <v>334</v>
      </c>
      <c r="J61">
        <v>4</v>
      </c>
      <c r="K61" s="5">
        <v>4709.5600000000004</v>
      </c>
      <c r="L61" s="5">
        <v>1640</v>
      </c>
      <c r="M61">
        <v>0.65177214000000006</v>
      </c>
      <c r="N61" s="5">
        <v>3069.56</v>
      </c>
      <c r="O61" s="5">
        <v>767.39</v>
      </c>
      <c r="P61">
        <v>0</v>
      </c>
      <c r="Q61" s="5">
        <v>0</v>
      </c>
      <c r="R61" s="5">
        <v>0</v>
      </c>
      <c r="S61" s="5">
        <v>410</v>
      </c>
    </row>
    <row r="62" spans="1:19">
      <c r="A62">
        <v>5</v>
      </c>
      <c r="B62" t="s">
        <v>168</v>
      </c>
      <c r="C62" t="s">
        <v>174</v>
      </c>
      <c r="D62" t="s">
        <v>169</v>
      </c>
      <c r="E62">
        <v>153021802</v>
      </c>
      <c r="F62" t="s">
        <v>351</v>
      </c>
      <c r="G62" t="s">
        <v>350</v>
      </c>
      <c r="H62" t="s">
        <v>127</v>
      </c>
      <c r="I62" t="s">
        <v>333</v>
      </c>
      <c r="J62">
        <v>4</v>
      </c>
      <c r="K62" s="5">
        <v>3135.4</v>
      </c>
      <c r="L62" s="5">
        <v>1240</v>
      </c>
      <c r="M62">
        <v>0.60451617000000002</v>
      </c>
      <c r="N62" s="5">
        <v>1895.4</v>
      </c>
      <c r="O62" s="5">
        <v>473.85</v>
      </c>
      <c r="P62">
        <v>0</v>
      </c>
      <c r="Q62" s="5">
        <v>0</v>
      </c>
      <c r="R62" s="5">
        <v>0</v>
      </c>
      <c r="S62" s="5">
        <v>310</v>
      </c>
    </row>
    <row r="63" spans="1:19">
      <c r="A63">
        <v>10</v>
      </c>
      <c r="B63" t="s">
        <v>58</v>
      </c>
      <c r="C63" t="s">
        <v>352</v>
      </c>
      <c r="D63" t="s">
        <v>60</v>
      </c>
      <c r="E63">
        <v>153021802</v>
      </c>
      <c r="F63" t="s">
        <v>353</v>
      </c>
      <c r="G63" t="s">
        <v>354</v>
      </c>
      <c r="H63" t="s">
        <v>355</v>
      </c>
      <c r="I63" t="s">
        <v>333</v>
      </c>
      <c r="J63">
        <v>4</v>
      </c>
      <c r="K63" s="5">
        <v>2102.1</v>
      </c>
      <c r="L63" s="5">
        <v>1240</v>
      </c>
      <c r="M63">
        <v>0.410113695</v>
      </c>
      <c r="N63" s="5">
        <v>862.1</v>
      </c>
      <c r="O63" s="5">
        <v>215.52</v>
      </c>
      <c r="P63">
        <v>0</v>
      </c>
      <c r="Q63" s="5">
        <v>0</v>
      </c>
      <c r="R63" s="5">
        <v>0</v>
      </c>
      <c r="S63" s="5">
        <v>310</v>
      </c>
    </row>
    <row r="64" spans="1:19">
      <c r="A64">
        <v>10</v>
      </c>
      <c r="B64" t="s">
        <v>58</v>
      </c>
      <c r="C64" t="s">
        <v>352</v>
      </c>
      <c r="D64" t="s">
        <v>60</v>
      </c>
      <c r="E64">
        <v>153020800</v>
      </c>
      <c r="F64" t="s">
        <v>353</v>
      </c>
      <c r="G64" t="s">
        <v>354</v>
      </c>
      <c r="H64" t="s">
        <v>355</v>
      </c>
      <c r="I64" t="s">
        <v>334</v>
      </c>
      <c r="J64">
        <v>4</v>
      </c>
      <c r="K64" s="5">
        <v>3236.32</v>
      </c>
      <c r="L64" s="5">
        <v>1640</v>
      </c>
      <c r="M64">
        <v>0.49325159400000002</v>
      </c>
      <c r="N64" s="5">
        <v>1596.32</v>
      </c>
      <c r="O64" s="5">
        <v>399.08</v>
      </c>
      <c r="P64">
        <v>0</v>
      </c>
      <c r="Q64" s="5">
        <v>0</v>
      </c>
      <c r="R64" s="5">
        <v>0</v>
      </c>
      <c r="S64" s="5">
        <v>410</v>
      </c>
    </row>
    <row r="65" spans="1:19">
      <c r="A65">
        <v>10</v>
      </c>
      <c r="B65" t="s">
        <v>58</v>
      </c>
      <c r="C65" t="s">
        <v>352</v>
      </c>
      <c r="D65" t="s">
        <v>60</v>
      </c>
      <c r="E65">
        <v>153020800</v>
      </c>
      <c r="F65" t="s">
        <v>353</v>
      </c>
      <c r="G65" t="s">
        <v>354</v>
      </c>
      <c r="H65" t="s">
        <v>355</v>
      </c>
      <c r="I65" t="s">
        <v>334</v>
      </c>
      <c r="J65">
        <v>4</v>
      </c>
      <c r="K65" s="5">
        <v>3081.52</v>
      </c>
      <c r="L65" s="5">
        <v>1640</v>
      </c>
      <c r="M65">
        <v>0.46779511400000001</v>
      </c>
      <c r="N65" s="5">
        <v>1441.52</v>
      </c>
      <c r="O65" s="5">
        <v>360.38</v>
      </c>
      <c r="P65">
        <v>0</v>
      </c>
      <c r="Q65" s="5">
        <v>0</v>
      </c>
      <c r="R65" s="5">
        <v>0</v>
      </c>
      <c r="S65" s="5">
        <v>410</v>
      </c>
    </row>
    <row r="66" spans="1:19">
      <c r="A66">
        <v>10</v>
      </c>
      <c r="B66" t="s">
        <v>58</v>
      </c>
      <c r="C66" t="s">
        <v>352</v>
      </c>
      <c r="D66" t="s">
        <v>60</v>
      </c>
      <c r="E66">
        <v>153020800</v>
      </c>
      <c r="F66" t="s">
        <v>353</v>
      </c>
      <c r="G66" t="s">
        <v>354</v>
      </c>
      <c r="H66" t="s">
        <v>355</v>
      </c>
      <c r="I66" t="s">
        <v>333</v>
      </c>
      <c r="J66">
        <v>4</v>
      </c>
      <c r="K66" s="5">
        <v>1766.81</v>
      </c>
      <c r="L66" s="5">
        <v>1240</v>
      </c>
      <c r="M66">
        <v>0.29817014800000002</v>
      </c>
      <c r="N66" s="5">
        <v>526.80999999999995</v>
      </c>
      <c r="O66" s="5">
        <v>131.69999999999999</v>
      </c>
      <c r="P66">
        <v>0</v>
      </c>
      <c r="Q66" s="5">
        <v>0</v>
      </c>
      <c r="R66" s="5">
        <v>0</v>
      </c>
      <c r="S66" s="5">
        <v>310</v>
      </c>
    </row>
    <row r="67" spans="1:19">
      <c r="A67">
        <v>10</v>
      </c>
      <c r="B67" t="s">
        <v>58</v>
      </c>
      <c r="C67" t="s">
        <v>352</v>
      </c>
      <c r="D67" t="s">
        <v>60</v>
      </c>
      <c r="E67">
        <v>153020800</v>
      </c>
      <c r="F67" t="s">
        <v>353</v>
      </c>
      <c r="G67" t="s">
        <v>354</v>
      </c>
      <c r="H67" t="s">
        <v>355</v>
      </c>
      <c r="I67" t="s">
        <v>333</v>
      </c>
      <c r="J67">
        <v>4</v>
      </c>
      <c r="K67" s="5">
        <v>2570.73</v>
      </c>
      <c r="L67" s="5">
        <v>1240</v>
      </c>
      <c r="M67">
        <v>0.51764673800000005</v>
      </c>
      <c r="N67" s="5">
        <v>1330.73</v>
      </c>
      <c r="O67" s="5">
        <v>332.68</v>
      </c>
      <c r="P67">
        <v>0</v>
      </c>
      <c r="Q67" s="5">
        <v>0</v>
      </c>
      <c r="R67" s="5">
        <v>0</v>
      </c>
      <c r="S67" s="5">
        <v>310</v>
      </c>
    </row>
    <row r="68" spans="1:19">
      <c r="A68">
        <v>10</v>
      </c>
      <c r="B68" t="s">
        <v>58</v>
      </c>
      <c r="C68" t="s">
        <v>352</v>
      </c>
      <c r="D68" t="s">
        <v>60</v>
      </c>
      <c r="E68">
        <v>153020800</v>
      </c>
      <c r="F68" t="s">
        <v>353</v>
      </c>
      <c r="G68" t="s">
        <v>354</v>
      </c>
      <c r="H68" t="s">
        <v>355</v>
      </c>
      <c r="I68" t="s">
        <v>333</v>
      </c>
      <c r="J68">
        <v>4</v>
      </c>
      <c r="K68" s="5">
        <v>2373.2600000000002</v>
      </c>
      <c r="L68" s="5">
        <v>1240</v>
      </c>
      <c r="M68">
        <v>0.47751194499999999</v>
      </c>
      <c r="N68" s="5">
        <v>1133.26</v>
      </c>
      <c r="O68" s="5">
        <v>283.32</v>
      </c>
      <c r="P68">
        <v>0</v>
      </c>
      <c r="Q68" s="5">
        <v>0</v>
      </c>
      <c r="R68" s="5">
        <v>0</v>
      </c>
      <c r="S68" s="5">
        <v>310</v>
      </c>
    </row>
    <row r="69" spans="1:19">
      <c r="A69">
        <v>10</v>
      </c>
      <c r="B69" t="s">
        <v>58</v>
      </c>
      <c r="C69" t="s">
        <v>352</v>
      </c>
      <c r="D69" t="s">
        <v>60</v>
      </c>
      <c r="E69">
        <v>153020800</v>
      </c>
      <c r="F69" t="s">
        <v>353</v>
      </c>
      <c r="G69" t="s">
        <v>354</v>
      </c>
      <c r="H69" t="s">
        <v>355</v>
      </c>
      <c r="I69" t="s">
        <v>334</v>
      </c>
      <c r="J69">
        <v>4</v>
      </c>
      <c r="K69" s="5">
        <v>3007.32</v>
      </c>
      <c r="L69" s="5">
        <v>1640</v>
      </c>
      <c r="M69">
        <v>0.45466395300000001</v>
      </c>
      <c r="N69" s="5">
        <v>1367.32</v>
      </c>
      <c r="O69" s="5">
        <v>341.83</v>
      </c>
      <c r="P69">
        <v>0</v>
      </c>
      <c r="Q69" s="5">
        <v>0</v>
      </c>
      <c r="R69" s="5">
        <v>0</v>
      </c>
      <c r="S69" s="5">
        <v>410</v>
      </c>
    </row>
    <row r="70" spans="1:19">
      <c r="A70">
        <v>10</v>
      </c>
      <c r="B70" t="s">
        <v>58</v>
      </c>
      <c r="C70" t="s">
        <v>352</v>
      </c>
      <c r="D70" t="s">
        <v>60</v>
      </c>
      <c r="E70">
        <v>153020800</v>
      </c>
      <c r="F70" t="s">
        <v>353</v>
      </c>
      <c r="G70" t="s">
        <v>354</v>
      </c>
      <c r="H70" t="s">
        <v>355</v>
      </c>
      <c r="I70" t="s">
        <v>334</v>
      </c>
      <c r="J70">
        <v>4</v>
      </c>
      <c r="K70" s="5">
        <v>2038.35</v>
      </c>
      <c r="L70" s="5">
        <v>1640</v>
      </c>
      <c r="M70">
        <v>0.195427674</v>
      </c>
      <c r="N70" s="5">
        <v>398.35</v>
      </c>
      <c r="O70" s="5">
        <v>99.59</v>
      </c>
      <c r="P70">
        <v>0</v>
      </c>
      <c r="Q70" s="5">
        <v>0</v>
      </c>
      <c r="R70" s="5">
        <v>0</v>
      </c>
      <c r="S70" s="5">
        <v>410</v>
      </c>
    </row>
    <row r="71" spans="1:19">
      <c r="A71">
        <v>10</v>
      </c>
      <c r="B71" t="s">
        <v>58</v>
      </c>
      <c r="C71" t="s">
        <v>352</v>
      </c>
      <c r="D71" t="s">
        <v>60</v>
      </c>
      <c r="E71">
        <v>153020800</v>
      </c>
      <c r="F71" t="s">
        <v>353</v>
      </c>
      <c r="G71" t="s">
        <v>354</v>
      </c>
      <c r="H71" t="s">
        <v>355</v>
      </c>
      <c r="I71" t="s">
        <v>334</v>
      </c>
      <c r="J71">
        <v>0</v>
      </c>
      <c r="L71" s="5">
        <v>0</v>
      </c>
      <c r="M71">
        <v>0</v>
      </c>
      <c r="N71" s="5">
        <v>0</v>
      </c>
      <c r="O71" s="5">
        <v>0</v>
      </c>
      <c r="P71">
        <v>4</v>
      </c>
      <c r="Q71" s="5">
        <v>1640</v>
      </c>
      <c r="R71" s="5">
        <v>752.22</v>
      </c>
      <c r="S71" s="5">
        <v>410</v>
      </c>
    </row>
    <row r="72" spans="1:19">
      <c r="A72">
        <v>10</v>
      </c>
      <c r="B72" t="s">
        <v>58</v>
      </c>
      <c r="C72" t="s">
        <v>352</v>
      </c>
      <c r="D72" t="s">
        <v>60</v>
      </c>
      <c r="E72">
        <v>153020800</v>
      </c>
      <c r="F72" t="s">
        <v>353</v>
      </c>
      <c r="G72" t="s">
        <v>354</v>
      </c>
      <c r="H72" t="s">
        <v>355</v>
      </c>
      <c r="I72" t="s">
        <v>334</v>
      </c>
      <c r="J72">
        <v>4</v>
      </c>
      <c r="K72" s="5">
        <v>2892.95</v>
      </c>
      <c r="L72" s="5">
        <v>1640</v>
      </c>
      <c r="M72">
        <v>0.433104616</v>
      </c>
      <c r="N72" s="5">
        <v>1252.95</v>
      </c>
      <c r="O72" s="5">
        <v>313.24</v>
      </c>
      <c r="P72">
        <v>0</v>
      </c>
      <c r="Q72" s="5">
        <v>0</v>
      </c>
      <c r="R72" s="5">
        <v>0</v>
      </c>
      <c r="S72" s="5">
        <v>410</v>
      </c>
    </row>
    <row r="73" spans="1:19">
      <c r="A73">
        <v>10</v>
      </c>
      <c r="B73" t="s">
        <v>58</v>
      </c>
      <c r="C73" t="s">
        <v>352</v>
      </c>
      <c r="D73" t="s">
        <v>60</v>
      </c>
      <c r="E73">
        <v>153020800</v>
      </c>
      <c r="F73" t="s">
        <v>353</v>
      </c>
      <c r="G73" t="s">
        <v>354</v>
      </c>
      <c r="H73" t="s">
        <v>355</v>
      </c>
      <c r="I73" t="s">
        <v>334</v>
      </c>
      <c r="J73">
        <v>4</v>
      </c>
      <c r="K73" s="5">
        <v>3087.38</v>
      </c>
      <c r="L73" s="5">
        <v>1640</v>
      </c>
      <c r="M73">
        <v>0.46880526500000003</v>
      </c>
      <c r="N73" s="5">
        <v>1447.38</v>
      </c>
      <c r="O73" s="5">
        <v>361.84</v>
      </c>
      <c r="P73">
        <v>0</v>
      </c>
      <c r="Q73" s="5">
        <v>0</v>
      </c>
      <c r="R73" s="5">
        <v>0</v>
      </c>
      <c r="S73" s="5">
        <v>410</v>
      </c>
    </row>
    <row r="74" spans="1:19">
      <c r="A74">
        <v>10</v>
      </c>
      <c r="B74" t="s">
        <v>58</v>
      </c>
      <c r="C74" t="s">
        <v>352</v>
      </c>
      <c r="D74" t="s">
        <v>60</v>
      </c>
      <c r="E74">
        <v>153020800</v>
      </c>
      <c r="F74" t="s">
        <v>353</v>
      </c>
      <c r="G74" t="s">
        <v>354</v>
      </c>
      <c r="H74" t="s">
        <v>355</v>
      </c>
      <c r="I74" t="s">
        <v>338</v>
      </c>
      <c r="J74">
        <v>0</v>
      </c>
      <c r="L74" s="5">
        <v>0</v>
      </c>
      <c r="M74">
        <v>0</v>
      </c>
      <c r="N74" s="5">
        <v>0</v>
      </c>
      <c r="O74" s="5">
        <v>0</v>
      </c>
      <c r="P74">
        <v>2</v>
      </c>
      <c r="Q74" s="5">
        <v>1000</v>
      </c>
      <c r="R74" s="5">
        <v>823.2</v>
      </c>
      <c r="S74" s="5">
        <v>500</v>
      </c>
    </row>
    <row r="75" spans="1:19">
      <c r="A75">
        <v>10</v>
      </c>
      <c r="B75" t="s">
        <v>58</v>
      </c>
      <c r="C75" t="s">
        <v>352</v>
      </c>
      <c r="D75" t="s">
        <v>60</v>
      </c>
      <c r="E75">
        <v>153020800</v>
      </c>
      <c r="F75" t="s">
        <v>353</v>
      </c>
      <c r="G75" t="s">
        <v>354</v>
      </c>
      <c r="H75" t="s">
        <v>355</v>
      </c>
      <c r="I75" t="s">
        <v>333</v>
      </c>
      <c r="J75">
        <v>4</v>
      </c>
      <c r="K75" s="5">
        <v>2399.46</v>
      </c>
      <c r="L75" s="5">
        <v>1240</v>
      </c>
      <c r="M75">
        <v>0.48321705700000001</v>
      </c>
      <c r="N75" s="5">
        <v>1159.46</v>
      </c>
      <c r="O75" s="5">
        <v>289.86</v>
      </c>
      <c r="P75">
        <v>0</v>
      </c>
      <c r="Q75" s="5">
        <v>0</v>
      </c>
      <c r="R75" s="5">
        <v>0</v>
      </c>
      <c r="S75" s="5">
        <v>310</v>
      </c>
    </row>
    <row r="76" spans="1:19">
      <c r="A76">
        <v>10</v>
      </c>
      <c r="B76" t="s">
        <v>58</v>
      </c>
      <c r="C76" t="s">
        <v>352</v>
      </c>
      <c r="D76" t="s">
        <v>60</v>
      </c>
      <c r="E76">
        <v>153020800</v>
      </c>
      <c r="F76" t="s">
        <v>353</v>
      </c>
      <c r="G76" t="s">
        <v>354</v>
      </c>
      <c r="H76" t="s">
        <v>355</v>
      </c>
      <c r="I76" t="s">
        <v>334</v>
      </c>
      <c r="J76">
        <v>4</v>
      </c>
      <c r="K76" s="5">
        <v>3165.08</v>
      </c>
      <c r="L76" s="5">
        <v>1640</v>
      </c>
      <c r="M76">
        <v>0.48184564000000002</v>
      </c>
      <c r="N76" s="5">
        <v>1525.08</v>
      </c>
      <c r="O76" s="5">
        <v>381.27</v>
      </c>
      <c r="P76">
        <v>0</v>
      </c>
      <c r="Q76" s="5">
        <v>0</v>
      </c>
      <c r="R76" s="5">
        <v>0</v>
      </c>
      <c r="S76" s="5">
        <v>410</v>
      </c>
    </row>
    <row r="77" spans="1:19">
      <c r="A77">
        <v>10</v>
      </c>
      <c r="B77" t="s">
        <v>58</v>
      </c>
      <c r="C77" t="s">
        <v>352</v>
      </c>
      <c r="D77" t="s">
        <v>60</v>
      </c>
      <c r="E77">
        <v>153020800</v>
      </c>
      <c r="F77" t="s">
        <v>353</v>
      </c>
      <c r="G77" t="s">
        <v>354</v>
      </c>
      <c r="H77" t="s">
        <v>355</v>
      </c>
      <c r="I77" t="s">
        <v>334</v>
      </c>
      <c r="J77">
        <v>0</v>
      </c>
      <c r="L77" s="5">
        <v>0</v>
      </c>
      <c r="M77">
        <v>0</v>
      </c>
      <c r="N77" s="5">
        <v>0</v>
      </c>
      <c r="O77" s="5">
        <v>0</v>
      </c>
      <c r="P77">
        <v>4</v>
      </c>
      <c r="Q77" s="5">
        <v>1640</v>
      </c>
      <c r="R77" s="5">
        <v>781.34</v>
      </c>
      <c r="S77" s="5">
        <v>410</v>
      </c>
    </row>
    <row r="78" spans="1:19">
      <c r="A78">
        <v>10</v>
      </c>
      <c r="B78" t="s">
        <v>58</v>
      </c>
      <c r="C78" t="s">
        <v>352</v>
      </c>
      <c r="D78" t="s">
        <v>60</v>
      </c>
      <c r="E78">
        <v>153020800</v>
      </c>
      <c r="F78" t="s">
        <v>353</v>
      </c>
      <c r="G78" t="s">
        <v>354</v>
      </c>
      <c r="H78" t="s">
        <v>355</v>
      </c>
      <c r="I78" t="s">
        <v>334</v>
      </c>
      <c r="J78">
        <v>4</v>
      </c>
      <c r="K78" s="5">
        <v>2873.8</v>
      </c>
      <c r="L78" s="5">
        <v>1640</v>
      </c>
      <c r="M78">
        <v>0.42932702299999997</v>
      </c>
      <c r="N78" s="5">
        <v>1233.8</v>
      </c>
      <c r="O78" s="5">
        <v>308.45</v>
      </c>
      <c r="P78">
        <v>0</v>
      </c>
      <c r="Q78" s="5">
        <v>0</v>
      </c>
      <c r="R78" s="5">
        <v>0</v>
      </c>
      <c r="S78" s="5">
        <v>410</v>
      </c>
    </row>
    <row r="79" spans="1:19">
      <c r="A79">
        <v>10</v>
      </c>
      <c r="B79" t="s">
        <v>58</v>
      </c>
      <c r="C79" t="s">
        <v>352</v>
      </c>
      <c r="D79" t="s">
        <v>60</v>
      </c>
      <c r="E79">
        <v>153020800</v>
      </c>
      <c r="F79" t="s">
        <v>353</v>
      </c>
      <c r="G79" t="s">
        <v>354</v>
      </c>
      <c r="H79" t="s">
        <v>355</v>
      </c>
      <c r="I79" t="s">
        <v>334</v>
      </c>
      <c r="J79">
        <v>4</v>
      </c>
      <c r="K79" s="5">
        <v>2723.76</v>
      </c>
      <c r="L79" s="5">
        <v>1640</v>
      </c>
      <c r="M79">
        <v>0.39789115000000003</v>
      </c>
      <c r="N79" s="5">
        <v>1083.76</v>
      </c>
      <c r="O79" s="5">
        <v>270.94</v>
      </c>
      <c r="P79">
        <v>0</v>
      </c>
      <c r="Q79" s="5">
        <v>0</v>
      </c>
      <c r="R79" s="5">
        <v>0</v>
      </c>
      <c r="S79" s="5">
        <v>410</v>
      </c>
    </row>
    <row r="80" spans="1:19">
      <c r="A80">
        <v>10</v>
      </c>
      <c r="B80" t="s">
        <v>58</v>
      </c>
      <c r="C80" t="s">
        <v>352</v>
      </c>
      <c r="D80" t="s">
        <v>60</v>
      </c>
      <c r="E80">
        <v>153020800</v>
      </c>
      <c r="F80" t="s">
        <v>353</v>
      </c>
      <c r="G80" t="s">
        <v>354</v>
      </c>
      <c r="H80" t="s">
        <v>355</v>
      </c>
      <c r="I80" t="s">
        <v>334</v>
      </c>
      <c r="J80">
        <v>4</v>
      </c>
      <c r="K80" s="5">
        <v>2723.76</v>
      </c>
      <c r="L80" s="5">
        <v>1640</v>
      </c>
      <c r="M80">
        <v>0.39789115000000003</v>
      </c>
      <c r="N80" s="5">
        <v>1083.76</v>
      </c>
      <c r="O80" s="5">
        <v>270.94</v>
      </c>
      <c r="P80">
        <v>0</v>
      </c>
      <c r="Q80" s="5">
        <v>0</v>
      </c>
      <c r="R80" s="5">
        <v>0</v>
      </c>
      <c r="S80" s="5">
        <v>410</v>
      </c>
    </row>
    <row r="81" spans="1:19">
      <c r="A81">
        <v>10</v>
      </c>
      <c r="B81" t="s">
        <v>58</v>
      </c>
      <c r="C81" t="s">
        <v>352</v>
      </c>
      <c r="D81" t="s">
        <v>60</v>
      </c>
      <c r="E81">
        <v>153020800</v>
      </c>
      <c r="F81" t="s">
        <v>353</v>
      </c>
      <c r="G81" t="s">
        <v>354</v>
      </c>
      <c r="H81" t="s">
        <v>355</v>
      </c>
      <c r="I81" t="s">
        <v>334</v>
      </c>
      <c r="J81">
        <v>4</v>
      </c>
      <c r="K81" s="5">
        <v>3006.16</v>
      </c>
      <c r="L81" s="5">
        <v>1640</v>
      </c>
      <c r="M81">
        <v>0.454453522</v>
      </c>
      <c r="N81" s="5">
        <v>1366.16</v>
      </c>
      <c r="O81" s="5">
        <v>341.54</v>
      </c>
      <c r="P81">
        <v>0</v>
      </c>
      <c r="Q81" s="5">
        <v>0</v>
      </c>
      <c r="R81" s="5">
        <v>0</v>
      </c>
      <c r="S81" s="5">
        <v>410</v>
      </c>
    </row>
    <row r="82" spans="1:19">
      <c r="A82">
        <v>10</v>
      </c>
      <c r="B82" t="s">
        <v>58</v>
      </c>
      <c r="C82" t="s">
        <v>352</v>
      </c>
      <c r="D82" t="s">
        <v>60</v>
      </c>
      <c r="E82">
        <v>153020800</v>
      </c>
      <c r="F82" t="s">
        <v>353</v>
      </c>
      <c r="G82" t="s">
        <v>354</v>
      </c>
      <c r="H82" t="s">
        <v>355</v>
      </c>
      <c r="I82" t="s">
        <v>334</v>
      </c>
      <c r="J82">
        <v>4</v>
      </c>
      <c r="K82" s="5">
        <v>3318.85</v>
      </c>
      <c r="L82" s="5">
        <v>1640</v>
      </c>
      <c r="M82">
        <v>0.50585292999999998</v>
      </c>
      <c r="N82" s="5">
        <v>1678.85</v>
      </c>
      <c r="O82" s="5">
        <v>419.71</v>
      </c>
      <c r="P82">
        <v>0</v>
      </c>
      <c r="Q82" s="5">
        <v>0</v>
      </c>
      <c r="R82" s="5">
        <v>0</v>
      </c>
      <c r="S82" s="5">
        <v>410</v>
      </c>
    </row>
    <row r="83" spans="1:19">
      <c r="A83">
        <v>10</v>
      </c>
      <c r="B83" t="s">
        <v>58</v>
      </c>
      <c r="C83" t="s">
        <v>352</v>
      </c>
      <c r="D83" t="s">
        <v>60</v>
      </c>
      <c r="E83">
        <v>153020800</v>
      </c>
      <c r="F83" t="s">
        <v>353</v>
      </c>
      <c r="G83" t="s">
        <v>354</v>
      </c>
      <c r="H83" t="s">
        <v>355</v>
      </c>
      <c r="I83" t="s">
        <v>333</v>
      </c>
      <c r="J83">
        <v>4</v>
      </c>
      <c r="K83" s="5">
        <v>2233.65</v>
      </c>
      <c r="L83" s="5">
        <v>1240</v>
      </c>
      <c r="M83">
        <v>0.44485483399999998</v>
      </c>
      <c r="N83" s="5">
        <v>993.65</v>
      </c>
      <c r="O83" s="5">
        <v>248.41</v>
      </c>
      <c r="P83">
        <v>0</v>
      </c>
      <c r="Q83" s="5">
        <v>0</v>
      </c>
      <c r="R83" s="5">
        <v>0</v>
      </c>
      <c r="S83" s="5">
        <v>310</v>
      </c>
    </row>
    <row r="84" spans="1:19">
      <c r="A84">
        <v>10</v>
      </c>
      <c r="B84" t="s">
        <v>58</v>
      </c>
      <c r="C84" t="s">
        <v>352</v>
      </c>
      <c r="D84" t="s">
        <v>60</v>
      </c>
      <c r="E84">
        <v>153020800</v>
      </c>
      <c r="F84" t="s">
        <v>353</v>
      </c>
      <c r="G84" t="s">
        <v>354</v>
      </c>
      <c r="H84" t="s">
        <v>355</v>
      </c>
      <c r="I84" t="s">
        <v>338</v>
      </c>
      <c r="J84">
        <v>0</v>
      </c>
      <c r="L84" s="5">
        <v>0</v>
      </c>
      <c r="M84">
        <v>0</v>
      </c>
      <c r="N84" s="5">
        <v>0</v>
      </c>
      <c r="O84" s="5">
        <v>0</v>
      </c>
      <c r="P84">
        <v>3</v>
      </c>
      <c r="Q84" s="5">
        <v>1500</v>
      </c>
      <c r="R84" s="5">
        <v>783.77</v>
      </c>
      <c r="S84" s="5">
        <v>500</v>
      </c>
    </row>
    <row r="85" spans="1:19">
      <c r="A85">
        <v>10</v>
      </c>
      <c r="B85" t="s">
        <v>58</v>
      </c>
      <c r="C85" t="s">
        <v>352</v>
      </c>
      <c r="D85" t="s">
        <v>60</v>
      </c>
      <c r="E85">
        <v>153020800</v>
      </c>
      <c r="F85" t="s">
        <v>353</v>
      </c>
      <c r="G85" t="s">
        <v>354</v>
      </c>
      <c r="H85" t="s">
        <v>355</v>
      </c>
      <c r="I85" t="s">
        <v>333</v>
      </c>
      <c r="J85">
        <v>4</v>
      </c>
      <c r="K85" s="5">
        <v>2416.54</v>
      </c>
      <c r="L85" s="5">
        <v>1240</v>
      </c>
      <c r="M85">
        <v>0.48686965599999998</v>
      </c>
      <c r="N85" s="5">
        <v>1176.54</v>
      </c>
      <c r="O85" s="5">
        <v>294.14</v>
      </c>
      <c r="P85">
        <v>0</v>
      </c>
      <c r="Q85" s="5">
        <v>0</v>
      </c>
      <c r="R85" s="5">
        <v>0</v>
      </c>
      <c r="S85" s="5">
        <v>310</v>
      </c>
    </row>
    <row r="86" spans="1:19">
      <c r="A86">
        <v>11</v>
      </c>
      <c r="B86" t="s">
        <v>93</v>
      </c>
      <c r="C86" t="s">
        <v>94</v>
      </c>
      <c r="D86" t="s">
        <v>95</v>
      </c>
      <c r="E86">
        <v>153020800</v>
      </c>
      <c r="F86" t="s">
        <v>356</v>
      </c>
      <c r="G86" t="s">
        <v>357</v>
      </c>
      <c r="H86" t="s">
        <v>74</v>
      </c>
      <c r="I86" t="s">
        <v>334</v>
      </c>
      <c r="J86">
        <v>2</v>
      </c>
      <c r="K86" s="5">
        <v>2648.44</v>
      </c>
      <c r="L86" s="5">
        <v>890</v>
      </c>
      <c r="M86">
        <v>0.66395311899999998</v>
      </c>
      <c r="N86" s="5">
        <v>1758.44</v>
      </c>
      <c r="O86" s="5">
        <v>879.22</v>
      </c>
      <c r="P86">
        <v>2</v>
      </c>
      <c r="Q86" s="5">
        <v>890</v>
      </c>
      <c r="R86" s="5">
        <v>3564.8</v>
      </c>
      <c r="S86" s="5">
        <v>445</v>
      </c>
    </row>
    <row r="87" spans="1:19">
      <c r="A87">
        <v>11</v>
      </c>
      <c r="B87" t="s">
        <v>93</v>
      </c>
      <c r="C87" t="s">
        <v>94</v>
      </c>
      <c r="D87" t="s">
        <v>95</v>
      </c>
      <c r="E87">
        <v>153021218</v>
      </c>
      <c r="F87" t="s">
        <v>356</v>
      </c>
      <c r="G87" t="s">
        <v>357</v>
      </c>
      <c r="H87" t="s">
        <v>74</v>
      </c>
      <c r="I87" t="s">
        <v>333</v>
      </c>
      <c r="J87">
        <v>4</v>
      </c>
      <c r="K87" s="5">
        <v>3474.6</v>
      </c>
      <c r="L87" s="5">
        <v>1340</v>
      </c>
      <c r="M87">
        <v>0.61434409700000003</v>
      </c>
      <c r="N87" s="5">
        <v>2134.6</v>
      </c>
      <c r="O87" s="5">
        <v>533.65</v>
      </c>
      <c r="P87">
        <v>0</v>
      </c>
      <c r="Q87" s="5">
        <v>0</v>
      </c>
      <c r="R87" s="5">
        <v>0</v>
      </c>
      <c r="S87" s="5">
        <v>335</v>
      </c>
    </row>
    <row r="88" spans="1:19">
      <c r="A88">
        <v>11</v>
      </c>
      <c r="B88" t="s">
        <v>93</v>
      </c>
      <c r="C88" t="s">
        <v>94</v>
      </c>
      <c r="D88" t="s">
        <v>95</v>
      </c>
      <c r="E88">
        <v>153021218</v>
      </c>
      <c r="F88" t="s">
        <v>356</v>
      </c>
      <c r="G88" t="s">
        <v>357</v>
      </c>
      <c r="H88" t="s">
        <v>74</v>
      </c>
      <c r="I88" t="s">
        <v>333</v>
      </c>
      <c r="J88">
        <v>4</v>
      </c>
      <c r="K88" s="5">
        <v>3375.09</v>
      </c>
      <c r="L88" s="5">
        <v>1340</v>
      </c>
      <c r="M88">
        <v>0.60297354999999997</v>
      </c>
      <c r="N88" s="5">
        <v>2035.09</v>
      </c>
      <c r="O88" s="5">
        <v>508.77</v>
      </c>
      <c r="P88">
        <v>0</v>
      </c>
      <c r="Q88" s="5">
        <v>0</v>
      </c>
      <c r="R88" s="5">
        <v>0</v>
      </c>
      <c r="S88" s="5">
        <v>335</v>
      </c>
    </row>
    <row r="89" spans="1:19">
      <c r="A89">
        <v>11</v>
      </c>
      <c r="B89" t="s">
        <v>93</v>
      </c>
      <c r="C89" t="s">
        <v>94</v>
      </c>
      <c r="D89" t="s">
        <v>95</v>
      </c>
      <c r="E89">
        <v>153021218</v>
      </c>
      <c r="F89" t="s">
        <v>356</v>
      </c>
      <c r="G89" t="s">
        <v>357</v>
      </c>
      <c r="H89" t="s">
        <v>74</v>
      </c>
      <c r="I89" t="s">
        <v>333</v>
      </c>
      <c r="J89">
        <v>4</v>
      </c>
      <c r="K89" s="5">
        <v>3079.28</v>
      </c>
      <c r="L89" s="5">
        <v>1340</v>
      </c>
      <c r="M89">
        <v>0.56483333700000005</v>
      </c>
      <c r="N89" s="5">
        <v>1739.28</v>
      </c>
      <c r="O89" s="5">
        <v>434.82</v>
      </c>
      <c r="P89">
        <v>0</v>
      </c>
      <c r="Q89" s="5">
        <v>0</v>
      </c>
      <c r="R89" s="5">
        <v>0</v>
      </c>
      <c r="S89" s="5">
        <v>335</v>
      </c>
    </row>
    <row r="90" spans="1:19">
      <c r="A90">
        <v>11</v>
      </c>
      <c r="B90" t="s">
        <v>93</v>
      </c>
      <c r="C90" t="s">
        <v>94</v>
      </c>
      <c r="D90" t="s">
        <v>95</v>
      </c>
      <c r="E90">
        <v>153021218</v>
      </c>
      <c r="F90" t="s">
        <v>356</v>
      </c>
      <c r="G90" t="s">
        <v>357</v>
      </c>
      <c r="H90" t="s">
        <v>74</v>
      </c>
      <c r="I90" t="s">
        <v>333</v>
      </c>
      <c r="J90">
        <v>4</v>
      </c>
      <c r="K90" s="5">
        <v>3602.4</v>
      </c>
      <c r="L90" s="5">
        <v>1340</v>
      </c>
      <c r="M90">
        <v>0.62802575999999999</v>
      </c>
      <c r="N90" s="5">
        <v>2262.4</v>
      </c>
      <c r="O90" s="5">
        <v>565.6</v>
      </c>
      <c r="P90">
        <v>0</v>
      </c>
      <c r="Q90" s="5">
        <v>0</v>
      </c>
      <c r="R90" s="5">
        <v>0</v>
      </c>
      <c r="S90" s="5">
        <v>335</v>
      </c>
    </row>
    <row r="91" spans="1:19">
      <c r="A91">
        <v>11</v>
      </c>
      <c r="B91" t="s">
        <v>93</v>
      </c>
      <c r="C91" t="s">
        <v>94</v>
      </c>
      <c r="D91" t="s">
        <v>95</v>
      </c>
      <c r="E91">
        <v>153021218</v>
      </c>
      <c r="F91" t="s">
        <v>356</v>
      </c>
      <c r="G91" t="s">
        <v>357</v>
      </c>
      <c r="H91" t="s">
        <v>74</v>
      </c>
      <c r="I91" t="s">
        <v>333</v>
      </c>
      <c r="J91">
        <v>4</v>
      </c>
      <c r="K91" s="5">
        <v>1568</v>
      </c>
      <c r="L91" s="5">
        <v>1340</v>
      </c>
      <c r="M91">
        <v>0.14540816300000001</v>
      </c>
      <c r="N91" s="5">
        <v>228</v>
      </c>
      <c r="O91" s="5">
        <v>57</v>
      </c>
      <c r="P91">
        <v>0</v>
      </c>
      <c r="Q91" s="5">
        <v>0</v>
      </c>
      <c r="R91" s="5">
        <v>0</v>
      </c>
      <c r="S91" s="5">
        <v>335</v>
      </c>
    </row>
    <row r="92" spans="1:19">
      <c r="A92">
        <v>11</v>
      </c>
      <c r="B92" t="s">
        <v>93</v>
      </c>
      <c r="C92" t="s">
        <v>94</v>
      </c>
      <c r="D92" t="s">
        <v>95</v>
      </c>
      <c r="E92">
        <v>153021218</v>
      </c>
      <c r="F92" t="s">
        <v>356</v>
      </c>
      <c r="G92" t="s">
        <v>357</v>
      </c>
      <c r="H92" t="s">
        <v>74</v>
      </c>
      <c r="I92" t="s">
        <v>333</v>
      </c>
      <c r="J92">
        <v>0</v>
      </c>
      <c r="L92" s="5">
        <v>0</v>
      </c>
      <c r="M92">
        <v>0</v>
      </c>
      <c r="N92" s="5">
        <v>0</v>
      </c>
      <c r="O92" s="5">
        <v>0</v>
      </c>
      <c r="P92">
        <v>4</v>
      </c>
      <c r="Q92" s="5">
        <v>1340</v>
      </c>
      <c r="R92" s="5">
        <v>1393.81</v>
      </c>
      <c r="S92" s="5">
        <v>335</v>
      </c>
    </row>
    <row r="93" spans="1:19">
      <c r="A93">
        <v>11</v>
      </c>
      <c r="B93" t="s">
        <v>93</v>
      </c>
      <c r="C93" t="s">
        <v>94</v>
      </c>
      <c r="D93" t="s">
        <v>95</v>
      </c>
      <c r="E93">
        <v>153021218</v>
      </c>
      <c r="F93" t="s">
        <v>356</v>
      </c>
      <c r="G93" t="s">
        <v>357</v>
      </c>
      <c r="H93" t="s">
        <v>74</v>
      </c>
      <c r="I93" t="s">
        <v>333</v>
      </c>
      <c r="J93">
        <v>4</v>
      </c>
      <c r="K93" s="5">
        <v>3403.66</v>
      </c>
      <c r="L93" s="5">
        <v>1340</v>
      </c>
      <c r="M93">
        <v>0.60630615200000004</v>
      </c>
      <c r="N93" s="5">
        <v>2063.66</v>
      </c>
      <c r="O93" s="5">
        <v>515.91999999999996</v>
      </c>
      <c r="P93">
        <v>0</v>
      </c>
      <c r="Q93" s="5">
        <v>0</v>
      </c>
      <c r="R93" s="5">
        <v>0</v>
      </c>
      <c r="S93" s="5">
        <v>335</v>
      </c>
    </row>
    <row r="94" spans="1:19">
      <c r="A94">
        <v>11</v>
      </c>
      <c r="B94" t="s">
        <v>93</v>
      </c>
      <c r="C94" t="s">
        <v>94</v>
      </c>
      <c r="D94" t="s">
        <v>95</v>
      </c>
      <c r="E94">
        <v>153021218</v>
      </c>
      <c r="F94" t="s">
        <v>356</v>
      </c>
      <c r="G94" t="s">
        <v>357</v>
      </c>
      <c r="H94" t="s">
        <v>74</v>
      </c>
      <c r="I94" t="s">
        <v>333</v>
      </c>
      <c r="J94">
        <v>4</v>
      </c>
      <c r="K94" s="5">
        <v>2971.93</v>
      </c>
      <c r="L94" s="5">
        <v>1340</v>
      </c>
      <c r="M94">
        <v>0.54911454800000004</v>
      </c>
      <c r="N94" s="5">
        <v>1631.93</v>
      </c>
      <c r="O94" s="5">
        <v>407.98</v>
      </c>
      <c r="P94">
        <v>0</v>
      </c>
      <c r="Q94" s="5">
        <v>0</v>
      </c>
      <c r="R94" s="5">
        <v>0</v>
      </c>
      <c r="S94" s="5">
        <v>335</v>
      </c>
    </row>
    <row r="95" spans="1:19">
      <c r="A95">
        <v>11</v>
      </c>
      <c r="B95" t="s">
        <v>93</v>
      </c>
      <c r="C95" t="s">
        <v>94</v>
      </c>
      <c r="D95" t="s">
        <v>95</v>
      </c>
      <c r="E95">
        <v>153021218</v>
      </c>
      <c r="F95" t="s">
        <v>356</v>
      </c>
      <c r="G95" t="s">
        <v>357</v>
      </c>
      <c r="H95" t="s">
        <v>74</v>
      </c>
      <c r="I95" t="s">
        <v>333</v>
      </c>
      <c r="J95">
        <v>4</v>
      </c>
      <c r="K95" s="5">
        <v>4601.28</v>
      </c>
      <c r="L95" s="5">
        <v>1340</v>
      </c>
      <c r="M95">
        <v>0.70877668800000004</v>
      </c>
      <c r="N95" s="5">
        <v>3261.28</v>
      </c>
      <c r="O95" s="5">
        <v>815.32</v>
      </c>
      <c r="P95">
        <v>0</v>
      </c>
      <c r="Q95" s="5">
        <v>0</v>
      </c>
      <c r="R95" s="5">
        <v>0</v>
      </c>
      <c r="S95" s="5">
        <v>335</v>
      </c>
    </row>
    <row r="96" spans="1:19">
      <c r="A96">
        <v>11</v>
      </c>
      <c r="B96" t="s">
        <v>93</v>
      </c>
      <c r="C96" t="s">
        <v>94</v>
      </c>
      <c r="D96" t="s">
        <v>95</v>
      </c>
      <c r="E96">
        <v>153021218</v>
      </c>
      <c r="F96" t="s">
        <v>356</v>
      </c>
      <c r="G96" t="s">
        <v>357</v>
      </c>
      <c r="H96" t="s">
        <v>74</v>
      </c>
      <c r="I96" t="s">
        <v>333</v>
      </c>
      <c r="J96">
        <v>1</v>
      </c>
      <c r="K96" s="5">
        <v>452.98</v>
      </c>
      <c r="L96" s="5">
        <v>335</v>
      </c>
      <c r="M96">
        <v>0.26045299999999999</v>
      </c>
      <c r="N96" s="5">
        <v>117.98</v>
      </c>
      <c r="O96" s="5">
        <v>117.98</v>
      </c>
      <c r="P96">
        <v>0</v>
      </c>
      <c r="Q96" s="5">
        <v>0</v>
      </c>
      <c r="R96" s="5">
        <v>0</v>
      </c>
      <c r="S96" s="5">
        <v>335</v>
      </c>
    </row>
    <row r="97" spans="1:19">
      <c r="A97">
        <v>11</v>
      </c>
      <c r="B97" t="s">
        <v>93</v>
      </c>
      <c r="C97" t="s">
        <v>94</v>
      </c>
      <c r="D97" t="s">
        <v>95</v>
      </c>
      <c r="E97">
        <v>153021218</v>
      </c>
      <c r="F97" t="s">
        <v>356</v>
      </c>
      <c r="G97" t="s">
        <v>357</v>
      </c>
      <c r="H97" t="s">
        <v>74</v>
      </c>
      <c r="I97" t="s">
        <v>333</v>
      </c>
      <c r="J97">
        <v>4</v>
      </c>
      <c r="K97" s="5">
        <v>3330.68</v>
      </c>
      <c r="L97" s="5">
        <v>1340</v>
      </c>
      <c r="M97">
        <v>0.59767975299999998</v>
      </c>
      <c r="N97" s="5">
        <v>1990.68</v>
      </c>
      <c r="O97" s="5">
        <v>497.67</v>
      </c>
      <c r="P97">
        <v>0</v>
      </c>
      <c r="Q97" s="5">
        <v>0</v>
      </c>
      <c r="R97" s="5">
        <v>0</v>
      </c>
      <c r="S97" s="5">
        <v>335</v>
      </c>
    </row>
    <row r="98" spans="1:19">
      <c r="A98">
        <v>9</v>
      </c>
      <c r="B98" t="s">
        <v>358</v>
      </c>
      <c r="C98" t="s">
        <v>185</v>
      </c>
      <c r="D98" t="s">
        <v>60</v>
      </c>
      <c r="E98">
        <v>153021218</v>
      </c>
      <c r="F98" t="s">
        <v>359</v>
      </c>
      <c r="G98" t="s">
        <v>360</v>
      </c>
      <c r="H98" t="s">
        <v>171</v>
      </c>
      <c r="I98" t="s">
        <v>333</v>
      </c>
      <c r="J98">
        <v>4</v>
      </c>
      <c r="K98" s="5">
        <v>3080.88</v>
      </c>
      <c r="L98" s="5">
        <v>1440</v>
      </c>
      <c r="M98">
        <v>0.53260107499999998</v>
      </c>
      <c r="N98" s="5">
        <v>1640.88</v>
      </c>
      <c r="O98" s="5">
        <v>410.22</v>
      </c>
      <c r="P98">
        <v>0</v>
      </c>
      <c r="Q98" s="5">
        <v>0</v>
      </c>
      <c r="R98" s="5">
        <v>0</v>
      </c>
      <c r="S98" s="5">
        <v>360</v>
      </c>
    </row>
    <row r="99" spans="1:19">
      <c r="A99">
        <v>9</v>
      </c>
      <c r="B99" t="s">
        <v>358</v>
      </c>
      <c r="C99" t="s">
        <v>185</v>
      </c>
      <c r="D99" t="s">
        <v>60</v>
      </c>
      <c r="E99">
        <v>153022356</v>
      </c>
      <c r="F99" t="s">
        <v>359</v>
      </c>
      <c r="G99" t="s">
        <v>360</v>
      </c>
      <c r="H99" t="s">
        <v>171</v>
      </c>
      <c r="I99" t="s">
        <v>334</v>
      </c>
      <c r="J99">
        <v>0</v>
      </c>
      <c r="L99" s="5">
        <v>0</v>
      </c>
      <c r="M99">
        <v>0</v>
      </c>
      <c r="N99" s="5">
        <v>0</v>
      </c>
      <c r="O99" s="5">
        <v>0</v>
      </c>
      <c r="P99">
        <v>4</v>
      </c>
      <c r="Q99" s="5">
        <v>1780</v>
      </c>
      <c r="R99" s="5">
        <v>946.04</v>
      </c>
      <c r="S99" s="5">
        <v>445</v>
      </c>
    </row>
    <row r="100" spans="1:19">
      <c r="A100">
        <v>9</v>
      </c>
      <c r="B100" t="s">
        <v>358</v>
      </c>
      <c r="C100" t="s">
        <v>185</v>
      </c>
      <c r="D100" t="s">
        <v>60</v>
      </c>
      <c r="E100">
        <v>153022356</v>
      </c>
      <c r="F100" t="s">
        <v>359</v>
      </c>
      <c r="G100" t="s">
        <v>360</v>
      </c>
      <c r="H100" t="s">
        <v>171</v>
      </c>
      <c r="I100" t="s">
        <v>334</v>
      </c>
      <c r="J100">
        <v>4</v>
      </c>
      <c r="K100" s="5">
        <v>3578.54</v>
      </c>
      <c r="L100" s="5">
        <v>1780</v>
      </c>
      <c r="M100">
        <v>0.50259044100000005</v>
      </c>
      <c r="N100" s="5">
        <v>1798.54</v>
      </c>
      <c r="O100" s="5">
        <v>449.64</v>
      </c>
      <c r="P100">
        <v>0</v>
      </c>
      <c r="Q100" s="5">
        <v>0</v>
      </c>
      <c r="R100" s="5">
        <v>0</v>
      </c>
      <c r="S100" s="5">
        <v>445</v>
      </c>
    </row>
    <row r="101" spans="1:19">
      <c r="A101">
        <v>9</v>
      </c>
      <c r="B101" t="s">
        <v>358</v>
      </c>
      <c r="C101" t="s">
        <v>185</v>
      </c>
      <c r="D101" t="s">
        <v>60</v>
      </c>
      <c r="E101">
        <v>153022356</v>
      </c>
      <c r="F101" t="s">
        <v>359</v>
      </c>
      <c r="G101" t="s">
        <v>360</v>
      </c>
      <c r="H101" t="s">
        <v>171</v>
      </c>
      <c r="I101" t="s">
        <v>334</v>
      </c>
      <c r="J101">
        <v>0</v>
      </c>
      <c r="L101" s="5">
        <v>0</v>
      </c>
      <c r="M101">
        <v>0</v>
      </c>
      <c r="N101" s="5">
        <v>0</v>
      </c>
      <c r="O101" s="5">
        <v>0</v>
      </c>
      <c r="P101">
        <v>4</v>
      </c>
      <c r="Q101" s="5">
        <v>2000</v>
      </c>
      <c r="R101" s="5">
        <v>915.52</v>
      </c>
      <c r="S101" s="5">
        <v>500</v>
      </c>
    </row>
    <row r="102" spans="1:19">
      <c r="A102">
        <v>9</v>
      </c>
      <c r="B102" t="s">
        <v>358</v>
      </c>
      <c r="C102" t="s">
        <v>185</v>
      </c>
      <c r="D102" t="s">
        <v>60</v>
      </c>
      <c r="E102">
        <v>153022356</v>
      </c>
      <c r="F102" t="s">
        <v>359</v>
      </c>
      <c r="G102" t="s">
        <v>360</v>
      </c>
      <c r="H102" t="s">
        <v>171</v>
      </c>
      <c r="I102" t="s">
        <v>337</v>
      </c>
      <c r="J102">
        <v>4</v>
      </c>
      <c r="K102" s="5">
        <v>1003.97</v>
      </c>
      <c r="L102" s="5">
        <v>620</v>
      </c>
      <c r="M102">
        <v>0.38245166600000002</v>
      </c>
      <c r="N102" s="5">
        <v>383.97</v>
      </c>
      <c r="O102" s="5">
        <v>95.99</v>
      </c>
      <c r="P102">
        <v>0</v>
      </c>
      <c r="Q102" s="5">
        <v>0</v>
      </c>
      <c r="R102" s="5">
        <v>0</v>
      </c>
      <c r="S102" s="5">
        <v>155</v>
      </c>
    </row>
    <row r="103" spans="1:19">
      <c r="A103">
        <v>9</v>
      </c>
      <c r="B103" t="s">
        <v>358</v>
      </c>
      <c r="C103" t="s">
        <v>185</v>
      </c>
      <c r="D103" t="s">
        <v>60</v>
      </c>
      <c r="E103">
        <v>153022356</v>
      </c>
      <c r="F103" t="s">
        <v>359</v>
      </c>
      <c r="G103" t="s">
        <v>360</v>
      </c>
      <c r="H103" t="s">
        <v>171</v>
      </c>
      <c r="I103" t="s">
        <v>333</v>
      </c>
      <c r="J103">
        <v>4</v>
      </c>
      <c r="K103" s="5">
        <v>2963.92</v>
      </c>
      <c r="L103" s="5">
        <v>1340</v>
      </c>
      <c r="M103">
        <v>0.54789602900000001</v>
      </c>
      <c r="N103" s="5">
        <v>1623.92</v>
      </c>
      <c r="O103" s="5">
        <v>405.98</v>
      </c>
      <c r="P103">
        <v>0</v>
      </c>
      <c r="Q103" s="5">
        <v>0</v>
      </c>
      <c r="R103" s="5">
        <v>0</v>
      </c>
      <c r="S103" s="5">
        <v>335</v>
      </c>
    </row>
    <row r="104" spans="1:19">
      <c r="A104">
        <v>9</v>
      </c>
      <c r="B104" t="s">
        <v>358</v>
      </c>
      <c r="C104" t="s">
        <v>185</v>
      </c>
      <c r="D104" t="s">
        <v>60</v>
      </c>
      <c r="E104">
        <v>153022356</v>
      </c>
      <c r="F104" t="s">
        <v>359</v>
      </c>
      <c r="G104" t="s">
        <v>360</v>
      </c>
      <c r="H104" t="s">
        <v>171</v>
      </c>
      <c r="I104" t="s">
        <v>334</v>
      </c>
      <c r="J104">
        <v>4</v>
      </c>
      <c r="K104" s="5">
        <v>3571.18</v>
      </c>
      <c r="L104" s="5">
        <v>1780</v>
      </c>
      <c r="M104">
        <v>0.50156530799999999</v>
      </c>
      <c r="N104" s="5">
        <v>1791.18</v>
      </c>
      <c r="O104" s="5">
        <v>447.8</v>
      </c>
      <c r="P104">
        <v>0</v>
      </c>
      <c r="Q104" s="5">
        <v>0</v>
      </c>
      <c r="R104" s="5">
        <v>0</v>
      </c>
      <c r="S104" s="5">
        <v>445</v>
      </c>
    </row>
    <row r="105" spans="1:19">
      <c r="A105">
        <v>9</v>
      </c>
      <c r="B105" t="s">
        <v>358</v>
      </c>
      <c r="C105" t="s">
        <v>185</v>
      </c>
      <c r="D105" t="s">
        <v>60</v>
      </c>
      <c r="E105">
        <v>153022356</v>
      </c>
      <c r="F105" t="s">
        <v>359</v>
      </c>
      <c r="G105" t="s">
        <v>360</v>
      </c>
      <c r="H105" t="s">
        <v>171</v>
      </c>
      <c r="I105" t="s">
        <v>334</v>
      </c>
      <c r="J105">
        <v>4</v>
      </c>
      <c r="K105" s="5">
        <v>3798.87</v>
      </c>
      <c r="L105" s="5">
        <v>1780</v>
      </c>
      <c r="M105">
        <v>0.53143961200000001</v>
      </c>
      <c r="N105" s="5">
        <v>2018.87</v>
      </c>
      <c r="O105" s="5">
        <v>504.72</v>
      </c>
      <c r="P105">
        <v>0</v>
      </c>
      <c r="Q105" s="5">
        <v>0</v>
      </c>
      <c r="R105" s="5">
        <v>0</v>
      </c>
      <c r="S105" s="5">
        <v>445</v>
      </c>
    </row>
    <row r="106" spans="1:19">
      <c r="A106">
        <v>9</v>
      </c>
      <c r="B106" t="s">
        <v>358</v>
      </c>
      <c r="C106" t="s">
        <v>185</v>
      </c>
      <c r="D106" t="s">
        <v>60</v>
      </c>
      <c r="E106">
        <v>153022356</v>
      </c>
      <c r="F106" t="s">
        <v>359</v>
      </c>
      <c r="G106" t="s">
        <v>360</v>
      </c>
      <c r="H106" t="s">
        <v>171</v>
      </c>
      <c r="I106" t="s">
        <v>333</v>
      </c>
      <c r="J106">
        <v>4</v>
      </c>
      <c r="K106" s="5">
        <v>2875.66</v>
      </c>
      <c r="L106" s="5">
        <v>1440</v>
      </c>
      <c r="M106">
        <v>0.49924539000000001</v>
      </c>
      <c r="N106" s="5">
        <v>1435.66</v>
      </c>
      <c r="O106" s="5">
        <v>358.92</v>
      </c>
      <c r="P106">
        <v>0</v>
      </c>
      <c r="Q106" s="5">
        <v>0</v>
      </c>
      <c r="R106" s="5">
        <v>0</v>
      </c>
      <c r="S106" s="5">
        <v>360</v>
      </c>
    </row>
    <row r="107" spans="1:19">
      <c r="A107">
        <v>9</v>
      </c>
      <c r="B107" t="s">
        <v>358</v>
      </c>
      <c r="C107" t="s">
        <v>185</v>
      </c>
      <c r="D107" t="s">
        <v>60</v>
      </c>
      <c r="E107">
        <v>153022356</v>
      </c>
      <c r="F107" t="s">
        <v>359</v>
      </c>
      <c r="G107" t="s">
        <v>360</v>
      </c>
      <c r="H107" t="s">
        <v>171</v>
      </c>
      <c r="I107" t="s">
        <v>334</v>
      </c>
      <c r="J107">
        <v>4</v>
      </c>
      <c r="K107" s="5">
        <v>3795.32</v>
      </c>
      <c r="L107" s="5">
        <v>1780</v>
      </c>
      <c r="M107">
        <v>0.53100133800000004</v>
      </c>
      <c r="N107" s="5">
        <v>2015.32</v>
      </c>
      <c r="O107" s="5">
        <v>503.83</v>
      </c>
      <c r="P107">
        <v>0</v>
      </c>
      <c r="Q107" s="5">
        <v>0</v>
      </c>
      <c r="R107" s="5">
        <v>0</v>
      </c>
      <c r="S107" s="5">
        <v>445</v>
      </c>
    </row>
    <row r="108" spans="1:19">
      <c r="A108">
        <v>9</v>
      </c>
      <c r="B108" t="s">
        <v>358</v>
      </c>
      <c r="C108" t="s">
        <v>185</v>
      </c>
      <c r="D108" t="s">
        <v>60</v>
      </c>
      <c r="E108">
        <v>153022356</v>
      </c>
      <c r="F108" t="s">
        <v>359</v>
      </c>
      <c r="G108" t="s">
        <v>360</v>
      </c>
      <c r="H108" t="s">
        <v>171</v>
      </c>
      <c r="I108" t="s">
        <v>337</v>
      </c>
      <c r="J108">
        <v>4</v>
      </c>
      <c r="K108" s="5">
        <v>1951.48</v>
      </c>
      <c r="L108" s="5">
        <v>620</v>
      </c>
      <c r="M108">
        <v>0.68229241299999999</v>
      </c>
      <c r="N108" s="5">
        <v>1331.48</v>
      </c>
      <c r="O108" s="5">
        <v>332.87</v>
      </c>
      <c r="P108">
        <v>0</v>
      </c>
      <c r="Q108" s="5">
        <v>0</v>
      </c>
      <c r="R108" s="5">
        <v>0</v>
      </c>
      <c r="S108" s="5">
        <v>155</v>
      </c>
    </row>
    <row r="109" spans="1:19">
      <c r="A109">
        <v>9</v>
      </c>
      <c r="B109" t="s">
        <v>358</v>
      </c>
      <c r="C109" t="s">
        <v>185</v>
      </c>
      <c r="D109" t="s">
        <v>60</v>
      </c>
      <c r="E109">
        <v>153022356</v>
      </c>
      <c r="F109" t="s">
        <v>359</v>
      </c>
      <c r="G109" t="s">
        <v>360</v>
      </c>
      <c r="H109" t="s">
        <v>171</v>
      </c>
      <c r="I109" t="s">
        <v>334</v>
      </c>
      <c r="J109">
        <v>4</v>
      </c>
      <c r="K109" s="5">
        <v>2931.18</v>
      </c>
      <c r="L109" s="5">
        <v>1780</v>
      </c>
      <c r="M109">
        <v>0.39273603099999999</v>
      </c>
      <c r="N109" s="5">
        <v>1151.18</v>
      </c>
      <c r="O109" s="5">
        <v>287.8</v>
      </c>
      <c r="P109">
        <v>0</v>
      </c>
      <c r="Q109" s="5">
        <v>0</v>
      </c>
      <c r="R109" s="5">
        <v>0</v>
      </c>
      <c r="S109" s="5">
        <v>445</v>
      </c>
    </row>
    <row r="110" spans="1:19">
      <c r="A110">
        <v>9</v>
      </c>
      <c r="B110" t="s">
        <v>358</v>
      </c>
      <c r="C110" t="s">
        <v>185</v>
      </c>
      <c r="D110" t="s">
        <v>60</v>
      </c>
      <c r="E110">
        <v>153022356</v>
      </c>
      <c r="F110" t="s">
        <v>359</v>
      </c>
      <c r="G110" t="s">
        <v>360</v>
      </c>
      <c r="H110" t="s">
        <v>171</v>
      </c>
      <c r="I110" t="s">
        <v>333</v>
      </c>
      <c r="J110">
        <v>4</v>
      </c>
      <c r="K110" s="5">
        <v>1985.93</v>
      </c>
      <c r="L110" s="5">
        <v>1440</v>
      </c>
      <c r="M110">
        <v>0.27489891300000002</v>
      </c>
      <c r="N110" s="5">
        <v>545.92999999999995</v>
      </c>
      <c r="O110" s="5">
        <v>136.47999999999999</v>
      </c>
      <c r="P110">
        <v>0</v>
      </c>
      <c r="Q110" s="5">
        <v>0</v>
      </c>
      <c r="R110" s="5">
        <v>0</v>
      </c>
      <c r="S110" s="5">
        <v>360</v>
      </c>
    </row>
    <row r="111" spans="1:19">
      <c r="A111">
        <v>9</v>
      </c>
      <c r="B111" t="s">
        <v>358</v>
      </c>
      <c r="C111" t="s">
        <v>185</v>
      </c>
      <c r="D111" t="s">
        <v>60</v>
      </c>
      <c r="E111">
        <v>153022356</v>
      </c>
      <c r="F111" t="s">
        <v>359</v>
      </c>
      <c r="G111" t="s">
        <v>360</v>
      </c>
      <c r="H111" t="s">
        <v>171</v>
      </c>
      <c r="I111" t="s">
        <v>333</v>
      </c>
      <c r="J111">
        <v>4</v>
      </c>
      <c r="K111" s="5">
        <v>2703.31</v>
      </c>
      <c r="L111" s="5">
        <v>1340</v>
      </c>
      <c r="M111">
        <v>0.50431138099999995</v>
      </c>
      <c r="N111" s="5">
        <v>1363.31</v>
      </c>
      <c r="O111" s="5">
        <v>340.83</v>
      </c>
      <c r="P111">
        <v>0</v>
      </c>
      <c r="Q111" s="5">
        <v>0</v>
      </c>
      <c r="R111" s="5">
        <v>0</v>
      </c>
      <c r="S111" s="5">
        <v>335</v>
      </c>
    </row>
    <row r="112" spans="1:19">
      <c r="A112">
        <v>9</v>
      </c>
      <c r="B112" t="s">
        <v>358</v>
      </c>
      <c r="C112" t="s">
        <v>185</v>
      </c>
      <c r="D112" t="s">
        <v>60</v>
      </c>
      <c r="E112">
        <v>153022356</v>
      </c>
      <c r="F112" t="s">
        <v>359</v>
      </c>
      <c r="G112" t="s">
        <v>360</v>
      </c>
      <c r="H112" t="s">
        <v>171</v>
      </c>
      <c r="I112" t="s">
        <v>337</v>
      </c>
      <c r="J112">
        <v>4</v>
      </c>
      <c r="K112" s="5">
        <v>2091.6</v>
      </c>
      <c r="L112" s="5">
        <v>560</v>
      </c>
      <c r="M112">
        <v>0.73226238200000004</v>
      </c>
      <c r="N112" s="5">
        <v>1531.6</v>
      </c>
      <c r="O112" s="5">
        <v>382.9</v>
      </c>
      <c r="P112">
        <v>0</v>
      </c>
      <c r="Q112" s="5">
        <v>0</v>
      </c>
      <c r="R112" s="5">
        <v>0</v>
      </c>
      <c r="S112" s="5">
        <v>140</v>
      </c>
    </row>
    <row r="113" spans="1:19">
      <c r="A113">
        <v>9</v>
      </c>
      <c r="B113" t="s">
        <v>358</v>
      </c>
      <c r="C113" t="s">
        <v>185</v>
      </c>
      <c r="D113" t="s">
        <v>60</v>
      </c>
      <c r="E113">
        <v>153022356</v>
      </c>
      <c r="F113" t="s">
        <v>359</v>
      </c>
      <c r="G113" t="s">
        <v>360</v>
      </c>
      <c r="H113" t="s">
        <v>171</v>
      </c>
      <c r="I113" t="s">
        <v>333</v>
      </c>
      <c r="J113">
        <v>0</v>
      </c>
      <c r="L113" s="5">
        <v>0</v>
      </c>
      <c r="M113">
        <v>0</v>
      </c>
      <c r="N113" s="5">
        <v>0</v>
      </c>
      <c r="O113" s="5">
        <v>0</v>
      </c>
      <c r="P113">
        <v>4</v>
      </c>
      <c r="Q113" s="5">
        <v>1600</v>
      </c>
      <c r="R113" s="5">
        <v>864</v>
      </c>
      <c r="S113" s="5">
        <v>400</v>
      </c>
    </row>
    <row r="114" spans="1:19">
      <c r="A114">
        <v>9</v>
      </c>
      <c r="B114" t="s">
        <v>358</v>
      </c>
      <c r="C114" t="s">
        <v>185</v>
      </c>
      <c r="D114" t="s">
        <v>60</v>
      </c>
      <c r="E114">
        <v>153022356</v>
      </c>
      <c r="F114" t="s">
        <v>359</v>
      </c>
      <c r="G114" t="s">
        <v>360</v>
      </c>
      <c r="H114" t="s">
        <v>171</v>
      </c>
      <c r="I114" t="s">
        <v>334</v>
      </c>
      <c r="J114">
        <v>4</v>
      </c>
      <c r="K114" s="5">
        <v>3611</v>
      </c>
      <c r="L114" s="5">
        <v>1780</v>
      </c>
      <c r="M114">
        <v>0.50706175499999995</v>
      </c>
      <c r="N114" s="5">
        <v>1831</v>
      </c>
      <c r="O114" s="5">
        <v>457.75</v>
      </c>
      <c r="P114">
        <v>0</v>
      </c>
      <c r="Q114" s="5">
        <v>0</v>
      </c>
      <c r="R114" s="5">
        <v>0</v>
      </c>
      <c r="S114" s="5">
        <v>445</v>
      </c>
    </row>
    <row r="115" spans="1:19">
      <c r="A115">
        <v>12</v>
      </c>
      <c r="B115" t="s">
        <v>97</v>
      </c>
      <c r="C115" t="s">
        <v>98</v>
      </c>
      <c r="D115" t="s">
        <v>95</v>
      </c>
      <c r="E115">
        <v>153022356</v>
      </c>
      <c r="F115" t="s">
        <v>361</v>
      </c>
      <c r="G115" t="s">
        <v>362</v>
      </c>
      <c r="H115" t="s">
        <v>100</v>
      </c>
      <c r="I115" t="s">
        <v>333</v>
      </c>
      <c r="J115">
        <v>0</v>
      </c>
      <c r="L115" s="5">
        <v>0</v>
      </c>
      <c r="M115">
        <v>0</v>
      </c>
      <c r="N115" s="5">
        <v>0</v>
      </c>
      <c r="O115" s="5">
        <v>0</v>
      </c>
      <c r="P115">
        <v>4</v>
      </c>
      <c r="Q115" s="5">
        <v>942.52</v>
      </c>
      <c r="R115" s="5">
        <v>330.16</v>
      </c>
      <c r="S115" s="5">
        <v>235.63</v>
      </c>
    </row>
    <row r="116" spans="1:19">
      <c r="A116">
        <v>12</v>
      </c>
      <c r="B116" t="s">
        <v>97</v>
      </c>
      <c r="C116" t="s">
        <v>98</v>
      </c>
      <c r="D116" t="s">
        <v>95</v>
      </c>
      <c r="E116">
        <v>153033421</v>
      </c>
      <c r="F116" t="s">
        <v>361</v>
      </c>
      <c r="G116" t="s">
        <v>362</v>
      </c>
      <c r="H116" t="s">
        <v>100</v>
      </c>
      <c r="I116" t="s">
        <v>337</v>
      </c>
      <c r="J116">
        <v>0</v>
      </c>
      <c r="L116" s="5">
        <v>0</v>
      </c>
      <c r="M116">
        <v>0</v>
      </c>
      <c r="N116" s="5">
        <v>0</v>
      </c>
      <c r="O116" s="5">
        <v>0</v>
      </c>
      <c r="P116">
        <v>2</v>
      </c>
      <c r="Q116" s="5">
        <v>288.39999999999998</v>
      </c>
      <c r="R116" s="5">
        <v>195.52</v>
      </c>
      <c r="S116" s="5">
        <v>144.19999999999999</v>
      </c>
    </row>
    <row r="117" spans="1:19">
      <c r="A117">
        <v>12</v>
      </c>
      <c r="B117" t="s">
        <v>97</v>
      </c>
      <c r="C117" t="s">
        <v>98</v>
      </c>
      <c r="D117" t="s">
        <v>95</v>
      </c>
      <c r="E117">
        <v>153033421</v>
      </c>
      <c r="F117" t="s">
        <v>361</v>
      </c>
      <c r="G117" t="s">
        <v>362</v>
      </c>
      <c r="H117" t="s">
        <v>100</v>
      </c>
      <c r="I117" t="s">
        <v>334</v>
      </c>
      <c r="J117">
        <v>0</v>
      </c>
      <c r="L117" s="5">
        <v>0</v>
      </c>
      <c r="M117">
        <v>0</v>
      </c>
      <c r="N117" s="5">
        <v>0</v>
      </c>
      <c r="O117" s="5">
        <v>0</v>
      </c>
      <c r="P117">
        <v>4</v>
      </c>
      <c r="Q117" s="5">
        <v>1800</v>
      </c>
      <c r="R117" s="5">
        <v>450</v>
      </c>
      <c r="S117" s="5">
        <v>450</v>
      </c>
    </row>
    <row r="118" spans="1:19">
      <c r="A118">
        <v>12</v>
      </c>
      <c r="B118" t="s">
        <v>97</v>
      </c>
      <c r="C118" t="s">
        <v>98</v>
      </c>
      <c r="D118" t="s">
        <v>95</v>
      </c>
      <c r="E118">
        <v>153033421</v>
      </c>
      <c r="F118" t="s">
        <v>361</v>
      </c>
      <c r="G118" t="s">
        <v>362</v>
      </c>
      <c r="H118" t="s">
        <v>100</v>
      </c>
      <c r="I118" t="s">
        <v>334</v>
      </c>
      <c r="J118">
        <v>0</v>
      </c>
      <c r="L118" s="5">
        <v>0</v>
      </c>
      <c r="M118">
        <v>0</v>
      </c>
      <c r="N118" s="5">
        <v>0</v>
      </c>
      <c r="O118" s="5">
        <v>0</v>
      </c>
      <c r="P118">
        <v>2</v>
      </c>
      <c r="Q118" s="5">
        <v>567.29999999999995</v>
      </c>
      <c r="R118" s="5">
        <v>316.25</v>
      </c>
      <c r="S118" s="5">
        <v>283.64999999999998</v>
      </c>
    </row>
    <row r="119" spans="1:19">
      <c r="A119">
        <v>12</v>
      </c>
      <c r="B119" t="s">
        <v>97</v>
      </c>
      <c r="C119" t="s">
        <v>98</v>
      </c>
      <c r="D119" t="s">
        <v>95</v>
      </c>
      <c r="E119">
        <v>153033421</v>
      </c>
      <c r="F119" t="s">
        <v>361</v>
      </c>
      <c r="G119" t="s">
        <v>362</v>
      </c>
      <c r="H119" t="s">
        <v>100</v>
      </c>
      <c r="I119" t="s">
        <v>338</v>
      </c>
      <c r="J119">
        <v>0</v>
      </c>
      <c r="L119" s="5">
        <v>0</v>
      </c>
      <c r="M119">
        <v>0</v>
      </c>
      <c r="N119" s="5">
        <v>0</v>
      </c>
      <c r="O119" s="5">
        <v>0</v>
      </c>
      <c r="P119">
        <v>4</v>
      </c>
      <c r="Q119" s="5">
        <v>1190.6400000000001</v>
      </c>
      <c r="R119" s="5">
        <v>445.62</v>
      </c>
      <c r="S119" s="5">
        <v>297.66000000000003</v>
      </c>
    </row>
    <row r="120" spans="1:19">
      <c r="A120">
        <v>12</v>
      </c>
      <c r="B120" t="s">
        <v>97</v>
      </c>
      <c r="C120" t="s">
        <v>98</v>
      </c>
      <c r="D120" t="s">
        <v>95</v>
      </c>
      <c r="E120">
        <v>153033421</v>
      </c>
      <c r="F120" t="s">
        <v>361</v>
      </c>
      <c r="G120" t="s">
        <v>362</v>
      </c>
      <c r="H120" t="s">
        <v>100</v>
      </c>
      <c r="I120" t="s">
        <v>337</v>
      </c>
      <c r="J120">
        <v>0</v>
      </c>
      <c r="L120" s="5">
        <v>0</v>
      </c>
      <c r="M120">
        <v>0</v>
      </c>
      <c r="N120" s="5">
        <v>0</v>
      </c>
      <c r="O120" s="5">
        <v>0</v>
      </c>
      <c r="P120">
        <v>4</v>
      </c>
      <c r="Q120" s="5">
        <v>576.79999999999995</v>
      </c>
      <c r="R120" s="5">
        <v>275.51</v>
      </c>
      <c r="S120" s="5">
        <v>144.19999999999999</v>
      </c>
    </row>
    <row r="121" spans="1:19">
      <c r="A121">
        <v>12</v>
      </c>
      <c r="B121" t="s">
        <v>97</v>
      </c>
      <c r="C121" t="s">
        <v>98</v>
      </c>
      <c r="D121" t="s">
        <v>95</v>
      </c>
      <c r="E121">
        <v>153033421</v>
      </c>
      <c r="F121" t="s">
        <v>361</v>
      </c>
      <c r="G121" t="s">
        <v>362</v>
      </c>
      <c r="H121" t="s">
        <v>100</v>
      </c>
      <c r="I121" t="s">
        <v>336</v>
      </c>
      <c r="J121">
        <v>0</v>
      </c>
      <c r="L121" s="5">
        <v>0</v>
      </c>
      <c r="M121">
        <v>0</v>
      </c>
      <c r="N121" s="5">
        <v>0</v>
      </c>
      <c r="O121" s="5">
        <v>0</v>
      </c>
      <c r="P121">
        <v>2</v>
      </c>
      <c r="Q121" s="5">
        <v>285.52</v>
      </c>
      <c r="R121" s="5">
        <v>248.85</v>
      </c>
      <c r="S121" s="5">
        <v>142.76</v>
      </c>
    </row>
    <row r="122" spans="1:19">
      <c r="A122">
        <v>12</v>
      </c>
      <c r="B122" t="s">
        <v>97</v>
      </c>
      <c r="C122" t="s">
        <v>98</v>
      </c>
      <c r="D122" t="s">
        <v>95</v>
      </c>
      <c r="E122">
        <v>153033421</v>
      </c>
      <c r="F122" t="s">
        <v>361</v>
      </c>
      <c r="G122" t="s">
        <v>362</v>
      </c>
      <c r="H122" t="s">
        <v>100</v>
      </c>
      <c r="I122" t="s">
        <v>335</v>
      </c>
      <c r="J122">
        <v>0</v>
      </c>
      <c r="L122" s="5">
        <v>0</v>
      </c>
      <c r="M122">
        <v>0</v>
      </c>
      <c r="N122" s="5">
        <v>0</v>
      </c>
      <c r="O122" s="5">
        <v>0</v>
      </c>
      <c r="P122">
        <v>4</v>
      </c>
      <c r="Q122" s="5">
        <v>592.24</v>
      </c>
      <c r="R122" s="5">
        <v>336.47</v>
      </c>
      <c r="S122" s="5">
        <v>148.06</v>
      </c>
    </row>
    <row r="123" spans="1:19">
      <c r="A123">
        <v>12</v>
      </c>
      <c r="B123" t="s">
        <v>97</v>
      </c>
      <c r="C123" t="s">
        <v>98</v>
      </c>
      <c r="D123" t="s">
        <v>95</v>
      </c>
      <c r="E123">
        <v>153033421</v>
      </c>
      <c r="F123" t="s">
        <v>361</v>
      </c>
      <c r="G123" t="s">
        <v>362</v>
      </c>
      <c r="H123" t="s">
        <v>100</v>
      </c>
      <c r="I123" t="s">
        <v>333</v>
      </c>
      <c r="J123">
        <v>0</v>
      </c>
      <c r="L123" s="5">
        <v>0</v>
      </c>
      <c r="M123">
        <v>0</v>
      </c>
      <c r="N123" s="5">
        <v>0</v>
      </c>
      <c r="O123" s="5">
        <v>0</v>
      </c>
      <c r="P123">
        <v>2</v>
      </c>
      <c r="Q123" s="5">
        <v>458.76</v>
      </c>
      <c r="R123" s="5">
        <v>259.41000000000003</v>
      </c>
      <c r="S123" s="5">
        <v>229.38</v>
      </c>
    </row>
    <row r="124" spans="1:19">
      <c r="A124">
        <v>16</v>
      </c>
      <c r="B124" t="s">
        <v>115</v>
      </c>
      <c r="C124" t="s">
        <v>116</v>
      </c>
      <c r="D124" t="s">
        <v>111</v>
      </c>
      <c r="E124">
        <v>153033421</v>
      </c>
      <c r="F124" t="s">
        <v>363</v>
      </c>
      <c r="G124" t="s">
        <v>364</v>
      </c>
      <c r="H124" t="s">
        <v>365</v>
      </c>
      <c r="I124" t="s">
        <v>343</v>
      </c>
      <c r="J124">
        <v>0</v>
      </c>
      <c r="L124" s="5">
        <v>0</v>
      </c>
      <c r="M124">
        <v>0</v>
      </c>
      <c r="N124" s="5">
        <v>0</v>
      </c>
      <c r="O124" s="5">
        <v>0</v>
      </c>
      <c r="P124">
        <v>2</v>
      </c>
      <c r="Q124" s="5">
        <v>1000</v>
      </c>
      <c r="R124" s="5">
        <v>749.77</v>
      </c>
      <c r="S124" s="5">
        <v>500</v>
      </c>
    </row>
    <row r="125" spans="1:19">
      <c r="A125">
        <v>16</v>
      </c>
      <c r="B125" t="s">
        <v>115</v>
      </c>
      <c r="C125" t="s">
        <v>116</v>
      </c>
      <c r="D125" t="s">
        <v>111</v>
      </c>
      <c r="E125">
        <v>153020522</v>
      </c>
      <c r="F125" t="s">
        <v>363</v>
      </c>
      <c r="G125" t="s">
        <v>364</v>
      </c>
      <c r="H125" t="s">
        <v>365</v>
      </c>
      <c r="I125" t="s">
        <v>334</v>
      </c>
      <c r="J125">
        <v>0</v>
      </c>
      <c r="L125" s="5">
        <v>0</v>
      </c>
      <c r="M125">
        <v>0</v>
      </c>
      <c r="N125" s="5">
        <v>0</v>
      </c>
      <c r="O125" s="5">
        <v>0</v>
      </c>
      <c r="P125">
        <v>4</v>
      </c>
      <c r="Q125" s="5">
        <v>2000</v>
      </c>
      <c r="R125" s="5">
        <v>802.96</v>
      </c>
      <c r="S125" s="5">
        <v>500</v>
      </c>
    </row>
    <row r="126" spans="1:19">
      <c r="A126">
        <v>16</v>
      </c>
      <c r="B126" t="s">
        <v>115</v>
      </c>
      <c r="C126" t="s">
        <v>116</v>
      </c>
      <c r="D126" t="s">
        <v>111</v>
      </c>
      <c r="E126">
        <v>153020522</v>
      </c>
      <c r="F126" t="s">
        <v>363</v>
      </c>
      <c r="G126" t="s">
        <v>364</v>
      </c>
      <c r="H126" t="s">
        <v>365</v>
      </c>
      <c r="I126" t="s">
        <v>333</v>
      </c>
      <c r="J126">
        <v>4</v>
      </c>
      <c r="K126" s="5">
        <v>2300.75</v>
      </c>
      <c r="L126" s="5">
        <v>1240</v>
      </c>
      <c r="M126">
        <v>0.46104531100000001</v>
      </c>
      <c r="N126" s="5">
        <v>1060.75</v>
      </c>
      <c r="O126" s="5">
        <v>265.19</v>
      </c>
      <c r="P126">
        <v>0</v>
      </c>
      <c r="Q126" s="5">
        <v>0</v>
      </c>
      <c r="R126" s="5">
        <v>0</v>
      </c>
      <c r="S126" s="5">
        <v>310</v>
      </c>
    </row>
    <row r="127" spans="1:19">
      <c r="A127">
        <v>16</v>
      </c>
      <c r="B127" t="s">
        <v>115</v>
      </c>
      <c r="C127" t="s">
        <v>116</v>
      </c>
      <c r="D127" t="s">
        <v>111</v>
      </c>
      <c r="E127">
        <v>153020522</v>
      </c>
      <c r="F127" t="s">
        <v>363</v>
      </c>
      <c r="G127" t="s">
        <v>364</v>
      </c>
      <c r="H127" t="s">
        <v>365</v>
      </c>
      <c r="I127" t="s">
        <v>333</v>
      </c>
      <c r="J127">
        <v>4</v>
      </c>
      <c r="K127" s="5">
        <v>2330.6999999999998</v>
      </c>
      <c r="L127" s="5">
        <v>1240</v>
      </c>
      <c r="M127">
        <v>0.467970995</v>
      </c>
      <c r="N127" s="5">
        <v>1090.7</v>
      </c>
      <c r="O127" s="5">
        <v>272.68</v>
      </c>
      <c r="P127">
        <v>0</v>
      </c>
      <c r="Q127" s="5">
        <v>0</v>
      </c>
      <c r="R127" s="5">
        <v>0</v>
      </c>
      <c r="S127" s="5">
        <v>310</v>
      </c>
    </row>
    <row r="128" spans="1:19">
      <c r="A128">
        <v>16</v>
      </c>
      <c r="B128" t="s">
        <v>115</v>
      </c>
      <c r="C128" t="s">
        <v>116</v>
      </c>
      <c r="D128" t="s">
        <v>111</v>
      </c>
      <c r="E128">
        <v>153020522</v>
      </c>
      <c r="F128" t="s">
        <v>363</v>
      </c>
      <c r="G128" t="s">
        <v>364</v>
      </c>
      <c r="H128" t="s">
        <v>365</v>
      </c>
      <c r="I128" t="s">
        <v>333</v>
      </c>
      <c r="J128">
        <v>4</v>
      </c>
      <c r="K128" s="5">
        <v>1617.18</v>
      </c>
      <c r="L128" s="5">
        <v>1240</v>
      </c>
      <c r="M128">
        <v>0.233233158</v>
      </c>
      <c r="N128" s="5">
        <v>377.18</v>
      </c>
      <c r="O128" s="5">
        <v>94.3</v>
      </c>
      <c r="P128">
        <v>0</v>
      </c>
      <c r="Q128" s="5">
        <v>0</v>
      </c>
      <c r="R128" s="5">
        <v>0</v>
      </c>
      <c r="S128" s="5">
        <v>310</v>
      </c>
    </row>
    <row r="129" spans="1:19">
      <c r="A129">
        <v>16</v>
      </c>
      <c r="B129" t="s">
        <v>115</v>
      </c>
      <c r="C129" t="s">
        <v>116</v>
      </c>
      <c r="D129" t="s">
        <v>111</v>
      </c>
      <c r="E129">
        <v>153020522</v>
      </c>
      <c r="F129" t="s">
        <v>363</v>
      </c>
      <c r="G129" t="s">
        <v>364</v>
      </c>
      <c r="H129" t="s">
        <v>365</v>
      </c>
      <c r="I129" t="s">
        <v>333</v>
      </c>
      <c r="J129">
        <v>0</v>
      </c>
      <c r="L129" s="5">
        <v>0</v>
      </c>
      <c r="M129">
        <v>0</v>
      </c>
      <c r="N129" s="5">
        <v>0</v>
      </c>
      <c r="O129" s="5">
        <v>0</v>
      </c>
      <c r="P129">
        <v>4</v>
      </c>
      <c r="Q129" s="5">
        <v>1240</v>
      </c>
      <c r="R129" s="5">
        <v>749.77</v>
      </c>
      <c r="S129" s="5">
        <v>310</v>
      </c>
    </row>
    <row r="130" spans="1:19">
      <c r="A130">
        <v>14</v>
      </c>
      <c r="B130" t="s">
        <v>106</v>
      </c>
      <c r="C130" t="s">
        <v>107</v>
      </c>
      <c r="D130" t="s">
        <v>104</v>
      </c>
      <c r="E130">
        <v>153020522</v>
      </c>
      <c r="F130" t="s">
        <v>366</v>
      </c>
      <c r="G130" t="s">
        <v>364</v>
      </c>
      <c r="H130" t="s">
        <v>79</v>
      </c>
      <c r="I130" t="s">
        <v>333</v>
      </c>
      <c r="J130">
        <v>4</v>
      </c>
      <c r="K130" s="5">
        <v>3128.38</v>
      </c>
      <c r="L130" s="5">
        <v>1240</v>
      </c>
      <c r="M130">
        <v>0.60362871500000004</v>
      </c>
      <c r="N130" s="5">
        <v>1888.38</v>
      </c>
      <c r="O130" s="5">
        <v>472.1</v>
      </c>
      <c r="P130">
        <v>0</v>
      </c>
      <c r="Q130" s="5">
        <v>0</v>
      </c>
      <c r="R130" s="5">
        <v>0</v>
      </c>
      <c r="S130" s="5">
        <v>310</v>
      </c>
    </row>
    <row r="131" spans="1:19">
      <c r="A131">
        <v>14</v>
      </c>
      <c r="B131" t="s">
        <v>106</v>
      </c>
      <c r="C131" t="s">
        <v>107</v>
      </c>
      <c r="D131" t="s">
        <v>104</v>
      </c>
      <c r="E131">
        <v>153022393</v>
      </c>
      <c r="F131" t="s">
        <v>366</v>
      </c>
      <c r="G131" t="s">
        <v>364</v>
      </c>
      <c r="H131" t="s">
        <v>79</v>
      </c>
      <c r="I131" t="s">
        <v>334</v>
      </c>
      <c r="J131">
        <v>0</v>
      </c>
      <c r="L131" s="5">
        <v>0</v>
      </c>
      <c r="M131">
        <v>0</v>
      </c>
      <c r="N131" s="5">
        <v>0</v>
      </c>
      <c r="O131" s="5">
        <v>0</v>
      </c>
      <c r="P131">
        <v>4</v>
      </c>
      <c r="Q131" s="5">
        <v>2000</v>
      </c>
      <c r="R131" s="5">
        <v>1090.42</v>
      </c>
      <c r="S131" s="5">
        <v>500</v>
      </c>
    </row>
    <row r="132" spans="1:19">
      <c r="A132">
        <v>14</v>
      </c>
      <c r="B132" t="s">
        <v>106</v>
      </c>
      <c r="C132" t="s">
        <v>107</v>
      </c>
      <c r="D132" t="s">
        <v>104</v>
      </c>
      <c r="E132">
        <v>153022393</v>
      </c>
      <c r="F132" t="s">
        <v>366</v>
      </c>
      <c r="G132" t="s">
        <v>364</v>
      </c>
      <c r="H132" t="s">
        <v>79</v>
      </c>
      <c r="I132" t="s">
        <v>334</v>
      </c>
      <c r="J132">
        <v>4</v>
      </c>
      <c r="K132" s="5">
        <v>3434.89</v>
      </c>
      <c r="L132" s="5">
        <v>1640</v>
      </c>
      <c r="M132">
        <v>0.52254657299999996</v>
      </c>
      <c r="N132" s="5">
        <v>1794.89</v>
      </c>
      <c r="O132" s="5">
        <v>448.72</v>
      </c>
      <c r="P132">
        <v>0</v>
      </c>
      <c r="Q132" s="5">
        <v>0</v>
      </c>
      <c r="R132" s="5">
        <v>0</v>
      </c>
      <c r="S132" s="5">
        <v>410</v>
      </c>
    </row>
    <row r="133" spans="1:19">
      <c r="A133">
        <v>14</v>
      </c>
      <c r="B133" t="s">
        <v>106</v>
      </c>
      <c r="C133" t="s">
        <v>107</v>
      </c>
      <c r="D133" t="s">
        <v>104</v>
      </c>
      <c r="E133">
        <v>153022393</v>
      </c>
      <c r="F133" t="s">
        <v>366</v>
      </c>
      <c r="G133" t="s">
        <v>364</v>
      </c>
      <c r="H133" t="s">
        <v>79</v>
      </c>
      <c r="I133" t="s">
        <v>334</v>
      </c>
      <c r="J133">
        <v>0</v>
      </c>
      <c r="L133" s="5">
        <v>0</v>
      </c>
      <c r="M133">
        <v>0</v>
      </c>
      <c r="N133" s="5">
        <v>0</v>
      </c>
      <c r="O133" s="5">
        <v>0</v>
      </c>
      <c r="P133">
        <v>4</v>
      </c>
      <c r="Q133" s="5">
        <v>2000</v>
      </c>
      <c r="R133" s="5">
        <v>540.69000000000005</v>
      </c>
      <c r="S133" s="5">
        <v>500</v>
      </c>
    </row>
    <row r="134" spans="1:19">
      <c r="A134">
        <v>14</v>
      </c>
      <c r="B134" t="s">
        <v>106</v>
      </c>
      <c r="C134" t="s">
        <v>107</v>
      </c>
      <c r="D134" t="s">
        <v>104</v>
      </c>
      <c r="E134">
        <v>153022393</v>
      </c>
      <c r="F134" t="s">
        <v>366</v>
      </c>
      <c r="G134" t="s">
        <v>364</v>
      </c>
      <c r="H134" t="s">
        <v>79</v>
      </c>
      <c r="I134" t="s">
        <v>333</v>
      </c>
      <c r="J134">
        <v>0</v>
      </c>
      <c r="L134" s="5">
        <v>0</v>
      </c>
      <c r="M134">
        <v>0</v>
      </c>
      <c r="N134" s="5">
        <v>0</v>
      </c>
      <c r="O134" s="5">
        <v>0</v>
      </c>
      <c r="P134">
        <v>4</v>
      </c>
      <c r="Q134" s="5">
        <v>1600</v>
      </c>
      <c r="R134" s="5">
        <v>464.09</v>
      </c>
      <c r="S134" s="5">
        <v>400</v>
      </c>
    </row>
    <row r="135" spans="1:19">
      <c r="A135">
        <v>14</v>
      </c>
      <c r="B135" t="s">
        <v>106</v>
      </c>
      <c r="C135" t="s">
        <v>107</v>
      </c>
      <c r="D135" t="s">
        <v>104</v>
      </c>
      <c r="E135">
        <v>153022393</v>
      </c>
      <c r="F135" t="s">
        <v>366</v>
      </c>
      <c r="G135" t="s">
        <v>364</v>
      </c>
      <c r="H135" t="s">
        <v>79</v>
      </c>
      <c r="I135" t="s">
        <v>334</v>
      </c>
      <c r="J135">
        <v>0</v>
      </c>
      <c r="L135" s="5">
        <v>0</v>
      </c>
      <c r="M135">
        <v>0</v>
      </c>
      <c r="N135" s="5">
        <v>0</v>
      </c>
      <c r="O135" s="5">
        <v>0</v>
      </c>
      <c r="P135">
        <v>4</v>
      </c>
      <c r="Q135" s="5">
        <v>2000</v>
      </c>
      <c r="R135" s="5">
        <v>1181.28</v>
      </c>
      <c r="S135" s="5">
        <v>500</v>
      </c>
    </row>
    <row r="136" spans="1:19">
      <c r="A136">
        <v>14</v>
      </c>
      <c r="B136" t="s">
        <v>106</v>
      </c>
      <c r="C136" t="s">
        <v>107</v>
      </c>
      <c r="D136" t="s">
        <v>104</v>
      </c>
      <c r="E136">
        <v>153022393</v>
      </c>
      <c r="F136" t="s">
        <v>366</v>
      </c>
      <c r="G136" t="s">
        <v>364</v>
      </c>
      <c r="H136" t="s">
        <v>79</v>
      </c>
      <c r="I136" t="s">
        <v>333</v>
      </c>
      <c r="J136">
        <v>0</v>
      </c>
      <c r="L136" s="5">
        <v>0</v>
      </c>
      <c r="M136">
        <v>0</v>
      </c>
      <c r="N136" s="5">
        <v>0</v>
      </c>
      <c r="O136" s="5">
        <v>0</v>
      </c>
      <c r="P136">
        <v>4</v>
      </c>
      <c r="Q136" s="5">
        <v>1240</v>
      </c>
      <c r="R136" s="5">
        <v>927.55</v>
      </c>
      <c r="S136" s="5">
        <v>310</v>
      </c>
    </row>
    <row r="137" spans="1:19">
      <c r="A137">
        <v>14</v>
      </c>
      <c r="B137" t="s">
        <v>106</v>
      </c>
      <c r="C137" t="s">
        <v>107</v>
      </c>
      <c r="D137" t="s">
        <v>104</v>
      </c>
      <c r="E137">
        <v>153022393</v>
      </c>
      <c r="F137" t="s">
        <v>366</v>
      </c>
      <c r="G137" t="s">
        <v>364</v>
      </c>
      <c r="H137" t="s">
        <v>79</v>
      </c>
      <c r="I137" t="s">
        <v>333</v>
      </c>
      <c r="J137">
        <v>4</v>
      </c>
      <c r="K137" s="5">
        <v>2478.96</v>
      </c>
      <c r="L137" s="5">
        <v>1240</v>
      </c>
      <c r="M137">
        <v>0.499790234</v>
      </c>
      <c r="N137" s="5">
        <v>1238.96</v>
      </c>
      <c r="O137" s="5">
        <v>309.74</v>
      </c>
      <c r="P137">
        <v>0</v>
      </c>
      <c r="Q137" s="5">
        <v>0</v>
      </c>
      <c r="R137" s="5">
        <v>0</v>
      </c>
      <c r="S137" s="5">
        <v>310</v>
      </c>
    </row>
    <row r="138" spans="1:19">
      <c r="A138">
        <v>14</v>
      </c>
      <c r="B138" t="s">
        <v>106</v>
      </c>
      <c r="C138" t="s">
        <v>107</v>
      </c>
      <c r="D138" t="s">
        <v>104</v>
      </c>
      <c r="E138">
        <v>153022393</v>
      </c>
      <c r="F138" t="s">
        <v>366</v>
      </c>
      <c r="G138" t="s">
        <v>364</v>
      </c>
      <c r="H138" t="s">
        <v>79</v>
      </c>
      <c r="I138" t="s">
        <v>334</v>
      </c>
      <c r="J138">
        <v>0</v>
      </c>
      <c r="L138" s="5">
        <v>0</v>
      </c>
      <c r="M138">
        <v>0</v>
      </c>
      <c r="N138" s="5">
        <v>0</v>
      </c>
      <c r="O138" s="5">
        <v>0</v>
      </c>
      <c r="P138">
        <v>4</v>
      </c>
      <c r="Q138" s="5">
        <v>2000</v>
      </c>
      <c r="R138" s="5">
        <v>648.83000000000004</v>
      </c>
      <c r="S138" s="5">
        <v>500</v>
      </c>
    </row>
    <row r="139" spans="1:19">
      <c r="A139">
        <v>15</v>
      </c>
      <c r="B139" t="s">
        <v>109</v>
      </c>
      <c r="C139" t="s">
        <v>110</v>
      </c>
      <c r="D139" t="s">
        <v>111</v>
      </c>
      <c r="E139">
        <v>153022393</v>
      </c>
      <c r="F139" t="s">
        <v>367</v>
      </c>
      <c r="G139" t="s">
        <v>368</v>
      </c>
      <c r="H139" t="s">
        <v>113</v>
      </c>
      <c r="I139" t="s">
        <v>337</v>
      </c>
      <c r="J139">
        <v>0</v>
      </c>
      <c r="L139" s="5">
        <v>0</v>
      </c>
      <c r="M139">
        <v>0</v>
      </c>
      <c r="N139" s="5">
        <v>0</v>
      </c>
      <c r="O139" s="5">
        <v>0</v>
      </c>
      <c r="P139">
        <v>4</v>
      </c>
      <c r="Q139" s="5">
        <v>560</v>
      </c>
      <c r="R139" s="5">
        <v>410.5</v>
      </c>
      <c r="S139" s="5">
        <v>140</v>
      </c>
    </row>
    <row r="140" spans="1:19">
      <c r="A140">
        <v>15</v>
      </c>
      <c r="B140" t="s">
        <v>109</v>
      </c>
      <c r="C140" t="s">
        <v>110</v>
      </c>
      <c r="D140" t="s">
        <v>111</v>
      </c>
      <c r="E140">
        <v>153020712</v>
      </c>
      <c r="F140" t="s">
        <v>367</v>
      </c>
      <c r="G140" t="s">
        <v>368</v>
      </c>
      <c r="H140" t="s">
        <v>113</v>
      </c>
      <c r="I140" t="s">
        <v>334</v>
      </c>
      <c r="J140">
        <v>4</v>
      </c>
      <c r="K140" s="5">
        <v>4777.08</v>
      </c>
      <c r="L140" s="5">
        <v>2480</v>
      </c>
      <c r="M140">
        <v>0.48085441299999998</v>
      </c>
      <c r="N140" s="5">
        <v>2297.08</v>
      </c>
      <c r="O140" s="5">
        <v>574.27</v>
      </c>
      <c r="P140">
        <v>0</v>
      </c>
      <c r="Q140" s="5">
        <v>0</v>
      </c>
      <c r="R140" s="5">
        <v>0</v>
      </c>
      <c r="S140" s="5">
        <v>620</v>
      </c>
    </row>
    <row r="141" spans="1:19">
      <c r="A141">
        <v>15</v>
      </c>
      <c r="B141" t="s">
        <v>109</v>
      </c>
      <c r="C141" t="s">
        <v>110</v>
      </c>
      <c r="D141" t="s">
        <v>111</v>
      </c>
      <c r="E141">
        <v>153020712</v>
      </c>
      <c r="F141" t="s">
        <v>367</v>
      </c>
      <c r="G141" t="s">
        <v>368</v>
      </c>
      <c r="H141" t="s">
        <v>113</v>
      </c>
      <c r="I141" t="s">
        <v>334</v>
      </c>
      <c r="J141">
        <v>4</v>
      </c>
      <c r="K141" s="5">
        <v>3007.99</v>
      </c>
      <c r="L141" s="5">
        <v>2480</v>
      </c>
      <c r="M141">
        <v>0.17552917300000001</v>
      </c>
      <c r="N141" s="5">
        <v>527.99</v>
      </c>
      <c r="O141" s="5">
        <v>132</v>
      </c>
      <c r="P141">
        <v>0</v>
      </c>
      <c r="Q141" s="5">
        <v>0</v>
      </c>
      <c r="R141" s="5">
        <v>0</v>
      </c>
      <c r="S141" s="5">
        <v>620</v>
      </c>
    </row>
    <row r="142" spans="1:19">
      <c r="A142">
        <v>15</v>
      </c>
      <c r="B142" t="s">
        <v>109</v>
      </c>
      <c r="C142" t="s">
        <v>110</v>
      </c>
      <c r="D142" t="s">
        <v>111</v>
      </c>
      <c r="E142">
        <v>153020712</v>
      </c>
      <c r="F142" t="s">
        <v>367</v>
      </c>
      <c r="G142" t="s">
        <v>368</v>
      </c>
      <c r="H142" t="s">
        <v>113</v>
      </c>
      <c r="I142" t="s">
        <v>333</v>
      </c>
      <c r="J142">
        <v>0</v>
      </c>
      <c r="L142" s="5">
        <v>0</v>
      </c>
      <c r="M142">
        <v>0</v>
      </c>
      <c r="N142" s="5">
        <v>0</v>
      </c>
      <c r="O142" s="5">
        <v>0</v>
      </c>
      <c r="P142">
        <v>4</v>
      </c>
      <c r="Q142" s="5">
        <v>1860</v>
      </c>
      <c r="R142" s="5">
        <v>910.99</v>
      </c>
      <c r="S142" s="5">
        <v>465</v>
      </c>
    </row>
    <row r="143" spans="1:19">
      <c r="A143">
        <v>15</v>
      </c>
      <c r="B143" t="s">
        <v>109</v>
      </c>
      <c r="C143" t="s">
        <v>110</v>
      </c>
      <c r="D143" t="s">
        <v>111</v>
      </c>
      <c r="E143">
        <v>153020712</v>
      </c>
      <c r="F143" t="s">
        <v>367</v>
      </c>
      <c r="G143" t="s">
        <v>368</v>
      </c>
      <c r="H143" t="s">
        <v>113</v>
      </c>
      <c r="I143" t="s">
        <v>333</v>
      </c>
      <c r="J143">
        <v>2</v>
      </c>
      <c r="K143" s="5">
        <v>1352.31</v>
      </c>
      <c r="L143" s="5">
        <v>930</v>
      </c>
      <c r="M143">
        <v>0.31228786200000003</v>
      </c>
      <c r="N143" s="5">
        <v>422.31</v>
      </c>
      <c r="O143" s="5">
        <v>211.16</v>
      </c>
      <c r="P143">
        <v>2</v>
      </c>
      <c r="Q143" s="5">
        <v>930</v>
      </c>
      <c r="R143" s="5">
        <v>1107.48</v>
      </c>
      <c r="S143" s="5">
        <v>465</v>
      </c>
    </row>
    <row r="144" spans="1:19">
      <c r="A144">
        <v>13</v>
      </c>
      <c r="B144" t="s">
        <v>102</v>
      </c>
      <c r="C144" t="s">
        <v>103</v>
      </c>
      <c r="D144" t="s">
        <v>104</v>
      </c>
      <c r="E144">
        <v>153020712</v>
      </c>
      <c r="F144" t="s">
        <v>369</v>
      </c>
      <c r="G144" t="s">
        <v>368</v>
      </c>
      <c r="H144" t="s">
        <v>370</v>
      </c>
      <c r="I144" t="s">
        <v>333</v>
      </c>
      <c r="J144">
        <v>4</v>
      </c>
      <c r="K144" s="5">
        <v>1411.36</v>
      </c>
      <c r="L144" s="5">
        <v>1420</v>
      </c>
      <c r="M144">
        <v>-6.1217540000000001E-3</v>
      </c>
      <c r="N144" s="5">
        <v>-8.64</v>
      </c>
      <c r="O144" s="5">
        <v>-2.16</v>
      </c>
      <c r="P144">
        <v>0</v>
      </c>
      <c r="Q144" s="5">
        <v>0</v>
      </c>
      <c r="R144" s="5">
        <v>0</v>
      </c>
      <c r="S144" s="5">
        <v>355</v>
      </c>
    </row>
    <row r="145" spans="1:19">
      <c r="A145">
        <v>13</v>
      </c>
      <c r="B145" t="s">
        <v>102</v>
      </c>
      <c r="C145" t="s">
        <v>103</v>
      </c>
      <c r="D145" t="s">
        <v>104</v>
      </c>
      <c r="E145">
        <v>153022572</v>
      </c>
      <c r="F145" t="s">
        <v>369</v>
      </c>
      <c r="G145" t="s">
        <v>368</v>
      </c>
      <c r="H145" t="s">
        <v>370</v>
      </c>
      <c r="I145" t="s">
        <v>333</v>
      </c>
      <c r="J145">
        <v>4</v>
      </c>
      <c r="K145" s="5">
        <v>1809.7</v>
      </c>
      <c r="L145" s="5">
        <v>1420</v>
      </c>
      <c r="M145">
        <v>0.21533955900000001</v>
      </c>
      <c r="N145" s="5">
        <v>389.7</v>
      </c>
      <c r="O145" s="5">
        <v>97.42</v>
      </c>
      <c r="P145">
        <v>0</v>
      </c>
      <c r="Q145" s="5">
        <v>0</v>
      </c>
      <c r="R145" s="5">
        <v>0</v>
      </c>
      <c r="S145" s="5">
        <v>355</v>
      </c>
    </row>
    <row r="146" spans="1:19">
      <c r="A146">
        <v>13</v>
      </c>
      <c r="B146" t="s">
        <v>102</v>
      </c>
      <c r="C146" t="s">
        <v>103</v>
      </c>
      <c r="D146" t="s">
        <v>104</v>
      </c>
      <c r="E146">
        <v>153022572</v>
      </c>
      <c r="F146" t="s">
        <v>369</v>
      </c>
      <c r="G146" t="s">
        <v>368</v>
      </c>
      <c r="H146" t="s">
        <v>370</v>
      </c>
      <c r="I146" t="s">
        <v>333</v>
      </c>
      <c r="J146">
        <v>4</v>
      </c>
      <c r="K146" s="5">
        <v>1806.34</v>
      </c>
      <c r="L146" s="5">
        <v>1520</v>
      </c>
      <c r="M146">
        <v>0.15851943700000001</v>
      </c>
      <c r="N146" s="5">
        <v>286.33999999999997</v>
      </c>
      <c r="O146" s="5">
        <v>71.58</v>
      </c>
      <c r="P146">
        <v>0</v>
      </c>
      <c r="Q146" s="5">
        <v>0</v>
      </c>
      <c r="R146" s="5">
        <v>0</v>
      </c>
      <c r="S146" s="5">
        <v>380</v>
      </c>
    </row>
    <row r="147" spans="1:19">
      <c r="A147">
        <v>13</v>
      </c>
      <c r="B147" t="s">
        <v>102</v>
      </c>
      <c r="C147" t="s">
        <v>103</v>
      </c>
      <c r="D147" t="s">
        <v>104</v>
      </c>
      <c r="E147">
        <v>153022572</v>
      </c>
      <c r="F147" t="s">
        <v>369</v>
      </c>
      <c r="G147" t="s">
        <v>368</v>
      </c>
      <c r="H147" t="s">
        <v>370</v>
      </c>
      <c r="I147" t="s">
        <v>333</v>
      </c>
      <c r="J147">
        <v>0</v>
      </c>
      <c r="L147" s="5">
        <v>0</v>
      </c>
      <c r="M147">
        <v>0</v>
      </c>
      <c r="N147" s="5">
        <v>0</v>
      </c>
      <c r="O147" s="5">
        <v>0</v>
      </c>
      <c r="P147">
        <v>4</v>
      </c>
      <c r="Q147" s="5">
        <v>1420</v>
      </c>
      <c r="R147" s="5">
        <v>689.83</v>
      </c>
      <c r="S147" s="5">
        <v>355</v>
      </c>
    </row>
    <row r="148" spans="1:19">
      <c r="A148">
        <v>17</v>
      </c>
      <c r="B148" t="s">
        <v>120</v>
      </c>
      <c r="C148" t="s">
        <v>121</v>
      </c>
      <c r="D148" t="s">
        <v>122</v>
      </c>
      <c r="E148">
        <v>153022572</v>
      </c>
      <c r="F148" t="s">
        <v>371</v>
      </c>
      <c r="G148" t="s">
        <v>372</v>
      </c>
      <c r="H148" t="s">
        <v>91</v>
      </c>
      <c r="I148" t="s">
        <v>333</v>
      </c>
      <c r="J148">
        <v>4</v>
      </c>
      <c r="K148" s="5">
        <v>3246.42</v>
      </c>
      <c r="L148" s="5">
        <v>1860</v>
      </c>
      <c r="M148">
        <v>0.42706119300000001</v>
      </c>
      <c r="N148" s="5">
        <v>1386.42</v>
      </c>
      <c r="O148" s="5">
        <v>346.6</v>
      </c>
      <c r="P148">
        <v>0</v>
      </c>
      <c r="Q148" s="5">
        <v>0</v>
      </c>
      <c r="R148" s="5">
        <v>0</v>
      </c>
      <c r="S148" s="5">
        <v>465</v>
      </c>
    </row>
    <row r="149" spans="1:19">
      <c r="A149">
        <v>17</v>
      </c>
      <c r="B149" t="s">
        <v>120</v>
      </c>
      <c r="C149" t="s">
        <v>121</v>
      </c>
      <c r="D149" t="s">
        <v>122</v>
      </c>
      <c r="E149">
        <v>153022598</v>
      </c>
      <c r="F149" t="s">
        <v>371</v>
      </c>
      <c r="G149" t="s">
        <v>372</v>
      </c>
      <c r="H149" t="s">
        <v>91</v>
      </c>
      <c r="I149" t="s">
        <v>334</v>
      </c>
      <c r="J149">
        <v>4</v>
      </c>
      <c r="K149" s="5">
        <v>3993.6</v>
      </c>
      <c r="L149" s="5">
        <v>2480</v>
      </c>
      <c r="M149">
        <v>0.37900641000000002</v>
      </c>
      <c r="N149" s="5">
        <v>1513.6</v>
      </c>
      <c r="O149" s="5">
        <v>378.4</v>
      </c>
      <c r="P149">
        <v>0</v>
      </c>
      <c r="Q149" s="5">
        <v>0</v>
      </c>
      <c r="R149" s="5">
        <v>0</v>
      </c>
      <c r="S149" s="5">
        <v>620</v>
      </c>
    </row>
    <row r="150" spans="1:19">
      <c r="A150">
        <v>17</v>
      </c>
      <c r="B150" t="s">
        <v>120</v>
      </c>
      <c r="C150" t="s">
        <v>121</v>
      </c>
      <c r="D150" t="s">
        <v>122</v>
      </c>
      <c r="E150">
        <v>153022598</v>
      </c>
      <c r="F150" t="s">
        <v>371</v>
      </c>
      <c r="G150" t="s">
        <v>372</v>
      </c>
      <c r="H150" t="s">
        <v>91</v>
      </c>
      <c r="I150" t="s">
        <v>333</v>
      </c>
      <c r="J150">
        <v>0</v>
      </c>
      <c r="L150" s="5">
        <v>0</v>
      </c>
      <c r="M150">
        <v>0</v>
      </c>
      <c r="N150" s="5">
        <v>0</v>
      </c>
      <c r="O150" s="5">
        <v>0</v>
      </c>
      <c r="P150">
        <v>4</v>
      </c>
      <c r="Q150" s="5">
        <v>1860</v>
      </c>
      <c r="R150" s="5">
        <v>1401.42</v>
      </c>
      <c r="S150" s="5">
        <v>465</v>
      </c>
    </row>
    <row r="151" spans="1:19">
      <c r="A151">
        <v>17</v>
      </c>
      <c r="B151" t="s">
        <v>120</v>
      </c>
      <c r="C151" t="s">
        <v>121</v>
      </c>
      <c r="D151" t="s">
        <v>122</v>
      </c>
      <c r="E151">
        <v>153022598</v>
      </c>
      <c r="F151" t="s">
        <v>371</v>
      </c>
      <c r="G151" t="s">
        <v>372</v>
      </c>
      <c r="H151" t="s">
        <v>91</v>
      </c>
      <c r="I151" t="s">
        <v>334</v>
      </c>
      <c r="J151">
        <v>4</v>
      </c>
      <c r="K151" s="5">
        <v>4999.84</v>
      </c>
      <c r="L151" s="5">
        <v>2480</v>
      </c>
      <c r="M151">
        <v>0.50398412699999995</v>
      </c>
      <c r="N151" s="5">
        <v>2519.84</v>
      </c>
      <c r="O151" s="5">
        <v>629.96</v>
      </c>
      <c r="P151">
        <v>0</v>
      </c>
      <c r="Q151" s="5">
        <v>0</v>
      </c>
      <c r="R151" s="5">
        <v>0</v>
      </c>
      <c r="S151" s="5">
        <v>620</v>
      </c>
    </row>
    <row r="152" spans="1:19">
      <c r="A152">
        <v>18</v>
      </c>
      <c r="B152" t="s">
        <v>124</v>
      </c>
      <c r="C152" t="s">
        <v>125</v>
      </c>
      <c r="D152" t="s">
        <v>122</v>
      </c>
      <c r="E152">
        <v>153022598</v>
      </c>
      <c r="F152" t="s">
        <v>373</v>
      </c>
      <c r="G152" t="s">
        <v>374</v>
      </c>
      <c r="H152" t="s">
        <v>127</v>
      </c>
      <c r="I152" t="s">
        <v>333</v>
      </c>
      <c r="J152">
        <v>4</v>
      </c>
      <c r="K152" s="5">
        <v>2083.44</v>
      </c>
      <c r="L152" s="5">
        <v>1240</v>
      </c>
      <c r="M152">
        <v>0.404830472</v>
      </c>
      <c r="N152" s="5">
        <v>843.44</v>
      </c>
      <c r="O152" s="5">
        <v>210.86</v>
      </c>
      <c r="P152">
        <v>0</v>
      </c>
      <c r="Q152" s="5">
        <v>0</v>
      </c>
      <c r="R152" s="5">
        <v>0</v>
      </c>
      <c r="S152" s="5">
        <v>310</v>
      </c>
    </row>
    <row r="153" spans="1:19">
      <c r="A153">
        <v>18</v>
      </c>
      <c r="B153" t="s">
        <v>124</v>
      </c>
      <c r="C153" t="s">
        <v>125</v>
      </c>
      <c r="D153" t="s">
        <v>122</v>
      </c>
      <c r="E153">
        <v>153022585</v>
      </c>
      <c r="F153" t="s">
        <v>373</v>
      </c>
      <c r="G153" t="s">
        <v>374</v>
      </c>
      <c r="H153" t="s">
        <v>127</v>
      </c>
      <c r="I153" t="s">
        <v>334</v>
      </c>
      <c r="J153">
        <v>4</v>
      </c>
      <c r="K153" s="5">
        <v>2546.27</v>
      </c>
      <c r="L153" s="5">
        <v>1640</v>
      </c>
      <c r="M153">
        <v>0.35592062099999999</v>
      </c>
      <c r="N153" s="5">
        <v>906.27</v>
      </c>
      <c r="O153" s="5">
        <v>226.57</v>
      </c>
      <c r="P153">
        <v>0</v>
      </c>
      <c r="Q153" s="5">
        <v>0</v>
      </c>
      <c r="R153" s="5">
        <v>0</v>
      </c>
      <c r="S153" s="5">
        <v>410</v>
      </c>
    </row>
    <row r="154" spans="1:19">
      <c r="A154">
        <v>18</v>
      </c>
      <c r="B154" t="s">
        <v>124</v>
      </c>
      <c r="C154" t="s">
        <v>125</v>
      </c>
      <c r="D154" t="s">
        <v>122</v>
      </c>
      <c r="E154">
        <v>153022585</v>
      </c>
      <c r="F154" t="s">
        <v>373</v>
      </c>
      <c r="G154" t="s">
        <v>374</v>
      </c>
      <c r="H154" t="s">
        <v>127</v>
      </c>
      <c r="I154" t="s">
        <v>333</v>
      </c>
      <c r="J154">
        <v>0</v>
      </c>
      <c r="L154" s="5">
        <v>0</v>
      </c>
      <c r="M154">
        <v>0</v>
      </c>
      <c r="N154" s="5">
        <v>0</v>
      </c>
      <c r="O154" s="5">
        <v>0</v>
      </c>
      <c r="P154">
        <v>4</v>
      </c>
      <c r="Q154" s="5">
        <v>1240</v>
      </c>
      <c r="R154" s="5">
        <v>779.56</v>
      </c>
      <c r="S154" s="5">
        <v>310</v>
      </c>
    </row>
    <row r="155" spans="1:19">
      <c r="A155">
        <v>18</v>
      </c>
      <c r="B155" t="s">
        <v>124</v>
      </c>
      <c r="C155" t="s">
        <v>125</v>
      </c>
      <c r="D155" t="s">
        <v>122</v>
      </c>
      <c r="E155">
        <v>153022585</v>
      </c>
      <c r="F155" t="s">
        <v>373</v>
      </c>
      <c r="G155" t="s">
        <v>374</v>
      </c>
      <c r="H155" t="s">
        <v>127</v>
      </c>
      <c r="I155" t="s">
        <v>334</v>
      </c>
      <c r="J155">
        <v>4</v>
      </c>
      <c r="K155" s="5">
        <v>3291.44</v>
      </c>
      <c r="L155" s="5">
        <v>1640</v>
      </c>
      <c r="M155">
        <v>0.50173784099999996</v>
      </c>
      <c r="N155" s="5">
        <v>1651.44</v>
      </c>
      <c r="O155" s="5">
        <v>412.86</v>
      </c>
      <c r="P155">
        <v>0</v>
      </c>
      <c r="Q155" s="5">
        <v>0</v>
      </c>
      <c r="R155" s="5">
        <v>0</v>
      </c>
      <c r="S155" s="5">
        <v>410</v>
      </c>
    </row>
    <row r="156" spans="1:19">
      <c r="A156">
        <v>18</v>
      </c>
      <c r="B156" t="s">
        <v>124</v>
      </c>
      <c r="C156" t="s">
        <v>125</v>
      </c>
      <c r="D156" t="s">
        <v>122</v>
      </c>
      <c r="E156">
        <v>153022585</v>
      </c>
      <c r="F156" t="s">
        <v>373</v>
      </c>
      <c r="G156" t="s">
        <v>374</v>
      </c>
      <c r="H156" t="s">
        <v>127</v>
      </c>
      <c r="I156" t="s">
        <v>338</v>
      </c>
      <c r="J156">
        <v>0</v>
      </c>
      <c r="L156" s="5">
        <v>0</v>
      </c>
      <c r="M156">
        <v>0</v>
      </c>
      <c r="N156" s="5">
        <v>0</v>
      </c>
      <c r="O156" s="5">
        <v>0</v>
      </c>
      <c r="P156">
        <v>2</v>
      </c>
      <c r="Q156" s="5">
        <v>1000</v>
      </c>
      <c r="R156" s="5">
        <v>750.98</v>
      </c>
      <c r="S156" s="5">
        <v>500</v>
      </c>
    </row>
    <row r="157" spans="1:19">
      <c r="A157">
        <v>18</v>
      </c>
      <c r="B157" t="s">
        <v>124</v>
      </c>
      <c r="C157" t="s">
        <v>125</v>
      </c>
      <c r="D157" t="s">
        <v>122</v>
      </c>
      <c r="E157">
        <v>153022585</v>
      </c>
      <c r="F157" t="s">
        <v>373</v>
      </c>
      <c r="G157" t="s">
        <v>374</v>
      </c>
      <c r="H157" t="s">
        <v>127</v>
      </c>
      <c r="I157" t="s">
        <v>333</v>
      </c>
      <c r="J157">
        <v>0</v>
      </c>
      <c r="L157" s="5">
        <v>0</v>
      </c>
      <c r="M157">
        <v>0</v>
      </c>
      <c r="N157" s="5">
        <v>0</v>
      </c>
      <c r="O157" s="5">
        <v>0</v>
      </c>
      <c r="P157">
        <v>4</v>
      </c>
      <c r="Q157" s="5">
        <v>1240</v>
      </c>
      <c r="R157" s="5">
        <v>671.29</v>
      </c>
      <c r="S157" s="5">
        <v>310</v>
      </c>
    </row>
    <row r="158" spans="1:19">
      <c r="A158">
        <v>18</v>
      </c>
      <c r="B158" t="s">
        <v>124</v>
      </c>
      <c r="C158" t="s">
        <v>125</v>
      </c>
      <c r="D158" t="s">
        <v>122</v>
      </c>
      <c r="E158">
        <v>153022585</v>
      </c>
      <c r="F158" t="s">
        <v>373</v>
      </c>
      <c r="G158" t="s">
        <v>374</v>
      </c>
      <c r="H158" t="s">
        <v>127</v>
      </c>
      <c r="I158" t="s">
        <v>333</v>
      </c>
      <c r="J158">
        <v>4</v>
      </c>
      <c r="K158" s="5">
        <v>1530.97</v>
      </c>
      <c r="L158" s="5">
        <v>1240</v>
      </c>
      <c r="M158">
        <v>0.19005597699999999</v>
      </c>
      <c r="N158" s="5">
        <v>290.97000000000003</v>
      </c>
      <c r="O158" s="5">
        <v>72.739999999999995</v>
      </c>
      <c r="P158">
        <v>0</v>
      </c>
      <c r="Q158" s="5">
        <v>0</v>
      </c>
      <c r="R158" s="5">
        <v>0</v>
      </c>
      <c r="S158" s="5">
        <v>310</v>
      </c>
    </row>
    <row r="159" spans="1:19">
      <c r="A159">
        <v>18</v>
      </c>
      <c r="B159" t="s">
        <v>124</v>
      </c>
      <c r="C159" t="s">
        <v>125</v>
      </c>
      <c r="D159" t="s">
        <v>122</v>
      </c>
      <c r="E159">
        <v>153022585</v>
      </c>
      <c r="F159" t="s">
        <v>373</v>
      </c>
      <c r="G159" t="s">
        <v>374</v>
      </c>
      <c r="H159" t="s">
        <v>127</v>
      </c>
      <c r="I159" t="s">
        <v>333</v>
      </c>
      <c r="J159">
        <v>4</v>
      </c>
      <c r="K159" s="5">
        <v>2093.06</v>
      </c>
      <c r="L159" s="5">
        <v>1240</v>
      </c>
      <c r="M159">
        <v>0.40756595600000001</v>
      </c>
      <c r="N159" s="5">
        <v>853.06</v>
      </c>
      <c r="O159" s="5">
        <v>213.26</v>
      </c>
      <c r="P159">
        <v>0</v>
      </c>
      <c r="Q159" s="5">
        <v>0</v>
      </c>
      <c r="R159" s="5">
        <v>0</v>
      </c>
      <c r="S159" s="5">
        <v>310</v>
      </c>
    </row>
    <row r="160" spans="1:19">
      <c r="A160">
        <v>18</v>
      </c>
      <c r="B160" t="s">
        <v>124</v>
      </c>
      <c r="C160" t="s">
        <v>125</v>
      </c>
      <c r="D160" t="s">
        <v>122</v>
      </c>
      <c r="E160">
        <v>153022585</v>
      </c>
      <c r="F160" t="s">
        <v>373</v>
      </c>
      <c r="G160" t="s">
        <v>374</v>
      </c>
      <c r="H160" t="s">
        <v>127</v>
      </c>
      <c r="I160" t="s">
        <v>333</v>
      </c>
      <c r="J160">
        <v>4</v>
      </c>
      <c r="K160" s="5">
        <v>1932.92</v>
      </c>
      <c r="L160" s="5">
        <v>1240</v>
      </c>
      <c r="M160">
        <v>0.35848353700000002</v>
      </c>
      <c r="N160" s="5">
        <v>692.92</v>
      </c>
      <c r="O160" s="5">
        <v>173.23</v>
      </c>
      <c r="P160">
        <v>0</v>
      </c>
      <c r="Q160" s="5">
        <v>0</v>
      </c>
      <c r="R160" s="5">
        <v>0</v>
      </c>
      <c r="S160" s="5">
        <v>310</v>
      </c>
    </row>
    <row r="161" spans="1:19">
      <c r="A161">
        <v>18</v>
      </c>
      <c r="B161" t="s">
        <v>124</v>
      </c>
      <c r="C161" t="s">
        <v>125</v>
      </c>
      <c r="D161" t="s">
        <v>122</v>
      </c>
      <c r="E161">
        <v>153022585</v>
      </c>
      <c r="F161" t="s">
        <v>373</v>
      </c>
      <c r="G161" t="s">
        <v>374</v>
      </c>
      <c r="H161" t="s">
        <v>127</v>
      </c>
      <c r="I161" t="s">
        <v>334</v>
      </c>
      <c r="J161">
        <v>4</v>
      </c>
      <c r="K161" s="5">
        <v>2861.52</v>
      </c>
      <c r="L161" s="5">
        <v>1640</v>
      </c>
      <c r="M161">
        <v>0.42687802200000002</v>
      </c>
      <c r="N161" s="5">
        <v>1221.52</v>
      </c>
      <c r="O161" s="5">
        <v>305.38</v>
      </c>
      <c r="P161">
        <v>0</v>
      </c>
      <c r="Q161" s="5">
        <v>0</v>
      </c>
      <c r="R161" s="5">
        <v>0</v>
      </c>
      <c r="S161" s="5">
        <v>410</v>
      </c>
    </row>
    <row r="162" spans="1:19">
      <c r="A162">
        <v>19</v>
      </c>
      <c r="B162" t="s">
        <v>129</v>
      </c>
      <c r="C162" t="s">
        <v>130</v>
      </c>
      <c r="D162" t="s">
        <v>131</v>
      </c>
      <c r="E162">
        <v>153022585</v>
      </c>
      <c r="F162" t="s">
        <v>375</v>
      </c>
      <c r="G162" t="s">
        <v>376</v>
      </c>
      <c r="H162" t="s">
        <v>68</v>
      </c>
      <c r="I162" t="s">
        <v>337</v>
      </c>
      <c r="J162">
        <v>4</v>
      </c>
      <c r="K162" s="5">
        <v>3105.15</v>
      </c>
      <c r="L162" s="5">
        <v>560</v>
      </c>
      <c r="M162">
        <v>0.81965444499999995</v>
      </c>
      <c r="N162" s="5">
        <v>2545.15</v>
      </c>
      <c r="O162" s="5">
        <v>636.29</v>
      </c>
      <c r="P162">
        <v>0</v>
      </c>
      <c r="Q162" s="5">
        <v>0</v>
      </c>
      <c r="R162" s="5">
        <v>0</v>
      </c>
      <c r="S162" s="5">
        <v>140</v>
      </c>
    </row>
    <row r="163" spans="1:19">
      <c r="A163">
        <v>19</v>
      </c>
      <c r="B163" t="s">
        <v>129</v>
      </c>
      <c r="C163" t="s">
        <v>130</v>
      </c>
      <c r="D163" t="s">
        <v>131</v>
      </c>
      <c r="E163">
        <v>153021561</v>
      </c>
      <c r="F163" t="s">
        <v>375</v>
      </c>
      <c r="G163" t="s">
        <v>376</v>
      </c>
      <c r="H163" t="s">
        <v>68</v>
      </c>
      <c r="I163" t="s">
        <v>334</v>
      </c>
      <c r="J163">
        <v>4</v>
      </c>
      <c r="K163" s="5">
        <v>2153.7399999999998</v>
      </c>
      <c r="L163" s="5">
        <v>1640</v>
      </c>
      <c r="M163">
        <v>0.23853389899999999</v>
      </c>
      <c r="N163" s="5">
        <v>513.74</v>
      </c>
      <c r="O163" s="5">
        <v>128.44</v>
      </c>
      <c r="P163">
        <v>0</v>
      </c>
      <c r="Q163" s="5">
        <v>0</v>
      </c>
      <c r="R163" s="5">
        <v>0</v>
      </c>
      <c r="S163" s="5">
        <v>410</v>
      </c>
    </row>
    <row r="164" spans="1:19">
      <c r="A164">
        <v>19</v>
      </c>
      <c r="B164" t="s">
        <v>129</v>
      </c>
      <c r="C164" t="s">
        <v>130</v>
      </c>
      <c r="D164" t="s">
        <v>131</v>
      </c>
      <c r="E164">
        <v>153021561</v>
      </c>
      <c r="F164" t="s">
        <v>375</v>
      </c>
      <c r="G164" t="s">
        <v>376</v>
      </c>
      <c r="H164" t="s">
        <v>68</v>
      </c>
      <c r="I164" t="s">
        <v>334</v>
      </c>
      <c r="J164">
        <v>0</v>
      </c>
      <c r="L164" s="5">
        <v>0</v>
      </c>
      <c r="M164">
        <v>0</v>
      </c>
      <c r="N164" s="5">
        <v>0</v>
      </c>
      <c r="O164" s="5">
        <v>0</v>
      </c>
      <c r="P164">
        <v>4</v>
      </c>
      <c r="Q164" s="5">
        <v>1640</v>
      </c>
      <c r="R164" s="5">
        <v>2077.1999999999998</v>
      </c>
      <c r="S164" s="5">
        <v>410</v>
      </c>
    </row>
    <row r="165" spans="1:19">
      <c r="A165">
        <v>19</v>
      </c>
      <c r="B165" t="s">
        <v>129</v>
      </c>
      <c r="C165" t="s">
        <v>130</v>
      </c>
      <c r="D165" t="s">
        <v>131</v>
      </c>
      <c r="E165">
        <v>153021561</v>
      </c>
      <c r="F165" t="s">
        <v>375</v>
      </c>
      <c r="G165" t="s">
        <v>376</v>
      </c>
      <c r="H165" t="s">
        <v>68</v>
      </c>
      <c r="I165" t="s">
        <v>337</v>
      </c>
      <c r="J165">
        <v>4</v>
      </c>
      <c r="K165" s="5">
        <v>980.78</v>
      </c>
      <c r="L165" s="5">
        <v>560</v>
      </c>
      <c r="M165">
        <v>0.429025877</v>
      </c>
      <c r="N165" s="5">
        <v>420.78</v>
      </c>
      <c r="O165" s="5">
        <v>105.2</v>
      </c>
      <c r="P165">
        <v>0</v>
      </c>
      <c r="Q165" s="5">
        <v>0</v>
      </c>
      <c r="R165" s="5">
        <v>0</v>
      </c>
      <c r="S165" s="5">
        <v>140</v>
      </c>
    </row>
    <row r="166" spans="1:19">
      <c r="A166">
        <v>19</v>
      </c>
      <c r="B166" t="s">
        <v>129</v>
      </c>
      <c r="C166" t="s">
        <v>130</v>
      </c>
      <c r="D166" t="s">
        <v>131</v>
      </c>
      <c r="E166">
        <v>153021561</v>
      </c>
      <c r="F166" t="s">
        <v>375</v>
      </c>
      <c r="G166" t="s">
        <v>376</v>
      </c>
      <c r="H166" t="s">
        <v>68</v>
      </c>
      <c r="I166" t="s">
        <v>334</v>
      </c>
      <c r="J166">
        <v>4</v>
      </c>
      <c r="K166" s="5">
        <v>5415.92</v>
      </c>
      <c r="L166" s="5">
        <v>1640</v>
      </c>
      <c r="M166">
        <v>0.69718902699999996</v>
      </c>
      <c r="N166" s="5">
        <v>3775.92</v>
      </c>
      <c r="O166" s="5">
        <v>943.98</v>
      </c>
      <c r="P166">
        <v>0</v>
      </c>
      <c r="Q166" s="5">
        <v>0</v>
      </c>
      <c r="R166" s="5">
        <v>0</v>
      </c>
      <c r="S166" s="5">
        <v>410</v>
      </c>
    </row>
    <row r="167" spans="1:19">
      <c r="A167">
        <v>19</v>
      </c>
      <c r="B167" t="s">
        <v>129</v>
      </c>
      <c r="C167" t="s">
        <v>130</v>
      </c>
      <c r="D167" t="s">
        <v>131</v>
      </c>
      <c r="E167">
        <v>153021561</v>
      </c>
      <c r="F167" t="s">
        <v>375</v>
      </c>
      <c r="G167" t="s">
        <v>376</v>
      </c>
      <c r="H167" t="s">
        <v>68</v>
      </c>
      <c r="I167" t="s">
        <v>337</v>
      </c>
      <c r="J167">
        <v>4</v>
      </c>
      <c r="K167" s="5">
        <v>3704.32</v>
      </c>
      <c r="L167" s="5">
        <v>560</v>
      </c>
      <c r="M167">
        <v>0.848825155</v>
      </c>
      <c r="N167" s="5">
        <v>3144.32</v>
      </c>
      <c r="O167" s="5">
        <v>786.08</v>
      </c>
      <c r="P167">
        <v>0</v>
      </c>
      <c r="Q167" s="5">
        <v>0</v>
      </c>
      <c r="R167" s="5">
        <v>0</v>
      </c>
      <c r="S167" s="5">
        <v>140</v>
      </c>
    </row>
    <row r="168" spans="1:19">
      <c r="A168">
        <v>19</v>
      </c>
      <c r="B168" t="s">
        <v>129</v>
      </c>
      <c r="C168" t="s">
        <v>130</v>
      </c>
      <c r="D168" t="s">
        <v>131</v>
      </c>
      <c r="E168">
        <v>153021561</v>
      </c>
      <c r="F168" t="s">
        <v>375</v>
      </c>
      <c r="G168" t="s">
        <v>376</v>
      </c>
      <c r="H168" t="s">
        <v>68</v>
      </c>
      <c r="I168" t="s">
        <v>337</v>
      </c>
      <c r="J168">
        <v>4</v>
      </c>
      <c r="K168" s="5">
        <v>2830.4</v>
      </c>
      <c r="L168" s="5">
        <v>560</v>
      </c>
      <c r="M168">
        <v>0.80214810599999997</v>
      </c>
      <c r="N168" s="5">
        <v>2270.4</v>
      </c>
      <c r="O168" s="5">
        <v>567.6</v>
      </c>
      <c r="P168">
        <v>0</v>
      </c>
      <c r="Q168" s="5">
        <v>0</v>
      </c>
      <c r="R168" s="5">
        <v>0</v>
      </c>
      <c r="S168" s="5">
        <v>140</v>
      </c>
    </row>
    <row r="169" spans="1:19">
      <c r="A169">
        <v>19</v>
      </c>
      <c r="B169" t="s">
        <v>129</v>
      </c>
      <c r="C169" t="s">
        <v>130</v>
      </c>
      <c r="D169" t="s">
        <v>131</v>
      </c>
      <c r="E169">
        <v>153021561</v>
      </c>
      <c r="F169" t="s">
        <v>375</v>
      </c>
      <c r="G169" t="s">
        <v>376</v>
      </c>
      <c r="H169" t="s">
        <v>68</v>
      </c>
      <c r="I169" t="s">
        <v>337</v>
      </c>
      <c r="J169">
        <v>4</v>
      </c>
      <c r="K169" s="5">
        <v>3062.85</v>
      </c>
      <c r="L169" s="5">
        <v>560</v>
      </c>
      <c r="M169">
        <v>0.81716375200000002</v>
      </c>
      <c r="N169" s="5">
        <v>2502.85</v>
      </c>
      <c r="O169" s="5">
        <v>625.71</v>
      </c>
      <c r="P169">
        <v>0</v>
      </c>
      <c r="Q169" s="5">
        <v>0</v>
      </c>
      <c r="R169" s="5">
        <v>0</v>
      </c>
      <c r="S169" s="5">
        <v>140</v>
      </c>
    </row>
    <row r="170" spans="1:19">
      <c r="A170">
        <v>19</v>
      </c>
      <c r="B170" t="s">
        <v>129</v>
      </c>
      <c r="C170" t="s">
        <v>130</v>
      </c>
      <c r="D170" t="s">
        <v>131</v>
      </c>
      <c r="E170">
        <v>153021561</v>
      </c>
      <c r="F170" t="s">
        <v>375</v>
      </c>
      <c r="G170" t="s">
        <v>376</v>
      </c>
      <c r="H170" t="s">
        <v>68</v>
      </c>
      <c r="I170" t="s">
        <v>333</v>
      </c>
      <c r="J170">
        <v>4</v>
      </c>
      <c r="K170" s="5">
        <v>2944.62</v>
      </c>
      <c r="L170" s="5">
        <v>1240</v>
      </c>
      <c r="M170">
        <v>0.57889303199999997</v>
      </c>
      <c r="N170" s="5">
        <v>1704.62</v>
      </c>
      <c r="O170" s="5">
        <v>426.16</v>
      </c>
      <c r="P170">
        <v>0</v>
      </c>
      <c r="Q170" s="5">
        <v>0</v>
      </c>
      <c r="R170" s="5">
        <v>0</v>
      </c>
      <c r="S170" s="5">
        <v>310</v>
      </c>
    </row>
    <row r="171" spans="1:19">
      <c r="A171">
        <v>19</v>
      </c>
      <c r="B171" t="s">
        <v>129</v>
      </c>
      <c r="C171" t="s">
        <v>130</v>
      </c>
      <c r="D171" t="s">
        <v>131</v>
      </c>
      <c r="E171">
        <v>153021561</v>
      </c>
      <c r="F171" t="s">
        <v>375</v>
      </c>
      <c r="G171" t="s">
        <v>376</v>
      </c>
      <c r="H171" t="s">
        <v>68</v>
      </c>
      <c r="I171" t="s">
        <v>334</v>
      </c>
      <c r="J171">
        <v>4</v>
      </c>
      <c r="K171" s="5">
        <v>1998.6</v>
      </c>
      <c r="L171" s="5">
        <v>1640</v>
      </c>
      <c r="M171">
        <v>0.17942559699999999</v>
      </c>
      <c r="N171" s="5">
        <v>358.6</v>
      </c>
      <c r="O171" s="5">
        <v>89.65</v>
      </c>
      <c r="P171">
        <v>0</v>
      </c>
      <c r="Q171" s="5">
        <v>0</v>
      </c>
      <c r="R171" s="5">
        <v>0</v>
      </c>
      <c r="S171" s="5">
        <v>410</v>
      </c>
    </row>
    <row r="172" spans="1:19">
      <c r="A172">
        <v>19</v>
      </c>
      <c r="B172" t="s">
        <v>129</v>
      </c>
      <c r="C172" t="s">
        <v>130</v>
      </c>
      <c r="D172" t="s">
        <v>131</v>
      </c>
      <c r="E172">
        <v>153021561</v>
      </c>
      <c r="F172" t="s">
        <v>375</v>
      </c>
      <c r="G172" t="s">
        <v>376</v>
      </c>
      <c r="H172" t="s">
        <v>68</v>
      </c>
      <c r="I172" t="s">
        <v>337</v>
      </c>
      <c r="J172">
        <v>0</v>
      </c>
      <c r="L172" s="5">
        <v>0</v>
      </c>
      <c r="M172">
        <v>0</v>
      </c>
      <c r="N172" s="5">
        <v>0</v>
      </c>
      <c r="O172" s="5">
        <v>0</v>
      </c>
      <c r="P172">
        <v>4</v>
      </c>
      <c r="Q172" s="5">
        <v>560</v>
      </c>
      <c r="R172" s="5">
        <v>1399.29</v>
      </c>
      <c r="S172" s="5">
        <v>140</v>
      </c>
    </row>
    <row r="173" spans="1:19">
      <c r="A173">
        <v>19</v>
      </c>
      <c r="B173" t="s">
        <v>129</v>
      </c>
      <c r="C173" t="s">
        <v>130</v>
      </c>
      <c r="D173" t="s">
        <v>131</v>
      </c>
      <c r="E173">
        <v>153021561</v>
      </c>
      <c r="F173" t="s">
        <v>375</v>
      </c>
      <c r="G173" t="s">
        <v>376</v>
      </c>
      <c r="H173" t="s">
        <v>68</v>
      </c>
      <c r="I173" t="s">
        <v>337</v>
      </c>
      <c r="J173">
        <v>4</v>
      </c>
      <c r="K173" s="5">
        <v>2323.2800000000002</v>
      </c>
      <c r="L173" s="5">
        <v>560</v>
      </c>
      <c r="M173">
        <v>0.75896146799999997</v>
      </c>
      <c r="N173" s="5">
        <v>1763.28</v>
      </c>
      <c r="O173" s="5">
        <v>440.82</v>
      </c>
      <c r="P173">
        <v>0</v>
      </c>
      <c r="Q173" s="5">
        <v>0</v>
      </c>
      <c r="R173" s="5">
        <v>0</v>
      </c>
      <c r="S173" s="5">
        <v>140</v>
      </c>
    </row>
    <row r="174" spans="1:19">
      <c r="A174">
        <v>19</v>
      </c>
      <c r="B174" t="s">
        <v>129</v>
      </c>
      <c r="C174" t="s">
        <v>130</v>
      </c>
      <c r="D174" t="s">
        <v>131</v>
      </c>
      <c r="E174">
        <v>153021561</v>
      </c>
      <c r="F174" t="s">
        <v>375</v>
      </c>
      <c r="G174" t="s">
        <v>376</v>
      </c>
      <c r="H174" t="s">
        <v>68</v>
      </c>
      <c r="I174" t="s">
        <v>337</v>
      </c>
      <c r="J174">
        <v>4</v>
      </c>
      <c r="K174" s="5">
        <v>910.27</v>
      </c>
      <c r="L174" s="5">
        <v>560</v>
      </c>
      <c r="M174">
        <v>0.38479791699999999</v>
      </c>
      <c r="N174" s="5">
        <v>350.27</v>
      </c>
      <c r="O174" s="5">
        <v>87.57</v>
      </c>
      <c r="P174">
        <v>0</v>
      </c>
      <c r="Q174" s="5">
        <v>0</v>
      </c>
      <c r="R174" s="5">
        <v>0</v>
      </c>
      <c r="S174" s="5">
        <v>140</v>
      </c>
    </row>
    <row r="175" spans="1:19">
      <c r="A175">
        <v>19</v>
      </c>
      <c r="B175" t="s">
        <v>129</v>
      </c>
      <c r="C175" t="s">
        <v>130</v>
      </c>
      <c r="D175" t="s">
        <v>131</v>
      </c>
      <c r="E175">
        <v>153021561</v>
      </c>
      <c r="F175" t="s">
        <v>375</v>
      </c>
      <c r="G175" t="s">
        <v>376</v>
      </c>
      <c r="H175" t="s">
        <v>68</v>
      </c>
      <c r="I175" t="s">
        <v>334</v>
      </c>
      <c r="J175">
        <v>0</v>
      </c>
      <c r="L175" s="5">
        <v>0</v>
      </c>
      <c r="M175">
        <v>0</v>
      </c>
      <c r="N175" s="5">
        <v>0</v>
      </c>
      <c r="O175" s="5">
        <v>0</v>
      </c>
      <c r="P175">
        <v>4</v>
      </c>
      <c r="Q175" s="5">
        <v>1640</v>
      </c>
      <c r="R175" s="5">
        <v>2018.65</v>
      </c>
      <c r="S175" s="5">
        <v>410</v>
      </c>
    </row>
    <row r="176" spans="1:19">
      <c r="A176">
        <v>19</v>
      </c>
      <c r="B176" t="s">
        <v>129</v>
      </c>
      <c r="C176" t="s">
        <v>130</v>
      </c>
      <c r="D176" t="s">
        <v>131</v>
      </c>
      <c r="E176">
        <v>153021561</v>
      </c>
      <c r="F176" t="s">
        <v>375</v>
      </c>
      <c r="G176" t="s">
        <v>376</v>
      </c>
      <c r="H176" t="s">
        <v>68</v>
      </c>
      <c r="I176" t="s">
        <v>334</v>
      </c>
      <c r="J176">
        <v>4</v>
      </c>
      <c r="K176" s="5">
        <v>5314.72</v>
      </c>
      <c r="L176" s="5">
        <v>1640</v>
      </c>
      <c r="M176">
        <v>0.69142306600000003</v>
      </c>
      <c r="N176" s="5">
        <v>3674.72</v>
      </c>
      <c r="O176" s="5">
        <v>918.68</v>
      </c>
      <c r="P176">
        <v>0</v>
      </c>
      <c r="Q176" s="5">
        <v>0</v>
      </c>
      <c r="R176" s="5">
        <v>0</v>
      </c>
      <c r="S176" s="5">
        <v>410</v>
      </c>
    </row>
    <row r="177" spans="1:19">
      <c r="A177">
        <v>19</v>
      </c>
      <c r="B177" t="s">
        <v>129</v>
      </c>
      <c r="C177" t="s">
        <v>130</v>
      </c>
      <c r="D177" t="s">
        <v>131</v>
      </c>
      <c r="E177">
        <v>153021561</v>
      </c>
      <c r="F177" t="s">
        <v>375</v>
      </c>
      <c r="G177" t="s">
        <v>376</v>
      </c>
      <c r="H177" t="s">
        <v>68</v>
      </c>
      <c r="I177" t="s">
        <v>334</v>
      </c>
      <c r="J177">
        <v>4</v>
      </c>
      <c r="K177" s="5">
        <v>5665.88</v>
      </c>
      <c r="L177" s="5">
        <v>1640</v>
      </c>
      <c r="M177">
        <v>0.71054805200000004</v>
      </c>
      <c r="N177" s="5">
        <v>4025.88</v>
      </c>
      <c r="O177" s="5">
        <v>1006.47</v>
      </c>
      <c r="P177">
        <v>0</v>
      </c>
      <c r="Q177" s="5">
        <v>0</v>
      </c>
      <c r="R177" s="5">
        <v>0</v>
      </c>
      <c r="S177" s="5">
        <v>410</v>
      </c>
    </row>
    <row r="178" spans="1:19">
      <c r="A178">
        <v>19</v>
      </c>
      <c r="B178" t="s">
        <v>129</v>
      </c>
      <c r="C178" t="s">
        <v>130</v>
      </c>
      <c r="D178" t="s">
        <v>131</v>
      </c>
      <c r="E178">
        <v>153021561</v>
      </c>
      <c r="F178" t="s">
        <v>375</v>
      </c>
      <c r="G178" t="s">
        <v>376</v>
      </c>
      <c r="H178" t="s">
        <v>68</v>
      </c>
      <c r="I178" t="s">
        <v>337</v>
      </c>
      <c r="J178">
        <v>4</v>
      </c>
      <c r="K178" s="5">
        <v>843.64</v>
      </c>
      <c r="L178" s="5">
        <v>560</v>
      </c>
      <c r="M178">
        <v>0.336209757</v>
      </c>
      <c r="N178" s="5">
        <v>283.64</v>
      </c>
      <c r="O178" s="5">
        <v>70.91</v>
      </c>
      <c r="P178">
        <v>0</v>
      </c>
      <c r="Q178" s="5">
        <v>0</v>
      </c>
      <c r="R178" s="5">
        <v>0</v>
      </c>
      <c r="S178" s="5">
        <v>140</v>
      </c>
    </row>
    <row r="179" spans="1:19">
      <c r="A179">
        <v>20</v>
      </c>
      <c r="B179" t="s">
        <v>137</v>
      </c>
      <c r="C179" t="s">
        <v>138</v>
      </c>
      <c r="D179" t="s">
        <v>131</v>
      </c>
      <c r="E179">
        <v>153021561</v>
      </c>
      <c r="F179" t="s">
        <v>377</v>
      </c>
      <c r="G179" t="s">
        <v>378</v>
      </c>
      <c r="H179" t="s">
        <v>140</v>
      </c>
      <c r="I179" t="s">
        <v>333</v>
      </c>
      <c r="J179">
        <v>4</v>
      </c>
      <c r="K179" s="5">
        <v>2453.91</v>
      </c>
      <c r="L179" s="5">
        <v>1860</v>
      </c>
      <c r="M179">
        <v>0.242025991</v>
      </c>
      <c r="N179" s="5">
        <v>593.91</v>
      </c>
      <c r="O179" s="5">
        <v>148.47999999999999</v>
      </c>
      <c r="P179">
        <v>0</v>
      </c>
      <c r="Q179" s="5">
        <v>0</v>
      </c>
      <c r="R179" s="5">
        <v>0</v>
      </c>
      <c r="S179" s="5">
        <v>465</v>
      </c>
    </row>
    <row r="180" spans="1:19">
      <c r="A180">
        <v>20</v>
      </c>
      <c r="B180" t="s">
        <v>137</v>
      </c>
      <c r="C180" t="s">
        <v>138</v>
      </c>
      <c r="D180" t="s">
        <v>131</v>
      </c>
      <c r="E180">
        <v>153020625</v>
      </c>
      <c r="F180" t="s">
        <v>377</v>
      </c>
      <c r="G180" t="s">
        <v>378</v>
      </c>
      <c r="H180" t="s">
        <v>140</v>
      </c>
      <c r="I180" t="s">
        <v>333</v>
      </c>
      <c r="J180">
        <v>4</v>
      </c>
      <c r="K180" s="5">
        <v>1318.48</v>
      </c>
      <c r="L180" s="5">
        <v>1860</v>
      </c>
      <c r="M180">
        <v>-0.410715369</v>
      </c>
      <c r="N180" s="5">
        <v>-541.52</v>
      </c>
      <c r="O180" s="5">
        <v>-135.38</v>
      </c>
      <c r="P180">
        <v>0</v>
      </c>
      <c r="Q180" s="5">
        <v>0</v>
      </c>
      <c r="R180" s="5">
        <v>0</v>
      </c>
      <c r="S180" s="5">
        <v>465</v>
      </c>
    </row>
    <row r="181" spans="1:19">
      <c r="A181">
        <v>20</v>
      </c>
      <c r="B181" t="s">
        <v>137</v>
      </c>
      <c r="C181" t="s">
        <v>138</v>
      </c>
      <c r="D181" t="s">
        <v>131</v>
      </c>
      <c r="E181">
        <v>153020625</v>
      </c>
      <c r="F181" t="s">
        <v>377</v>
      </c>
      <c r="G181" t="s">
        <v>378</v>
      </c>
      <c r="H181" t="s">
        <v>140</v>
      </c>
      <c r="I181" t="s">
        <v>333</v>
      </c>
      <c r="J181">
        <v>0</v>
      </c>
      <c r="L181" s="5">
        <v>0</v>
      </c>
      <c r="M181">
        <v>0</v>
      </c>
      <c r="N181" s="5">
        <v>0</v>
      </c>
      <c r="O181" s="5">
        <v>0</v>
      </c>
      <c r="P181">
        <v>4</v>
      </c>
      <c r="Q181" s="5">
        <v>1520</v>
      </c>
      <c r="R181" s="5">
        <v>380</v>
      </c>
      <c r="S181" s="5">
        <v>380</v>
      </c>
    </row>
    <row r="182" spans="1:19">
      <c r="A182">
        <v>20</v>
      </c>
      <c r="B182" t="s">
        <v>137</v>
      </c>
      <c r="C182" t="s">
        <v>138</v>
      </c>
      <c r="D182" t="s">
        <v>131</v>
      </c>
      <c r="E182">
        <v>153020625</v>
      </c>
      <c r="F182" t="s">
        <v>377</v>
      </c>
      <c r="G182" t="s">
        <v>378</v>
      </c>
      <c r="H182" t="s">
        <v>140</v>
      </c>
      <c r="I182" t="s">
        <v>333</v>
      </c>
      <c r="J182">
        <v>4</v>
      </c>
      <c r="K182" s="5">
        <v>1314</v>
      </c>
      <c r="L182" s="5">
        <v>1860</v>
      </c>
      <c r="M182">
        <v>-0.41552511399999997</v>
      </c>
      <c r="N182" s="5">
        <v>-546</v>
      </c>
      <c r="O182" s="5">
        <v>-136.5</v>
      </c>
      <c r="P182">
        <v>0</v>
      </c>
      <c r="Q182" s="5">
        <v>0</v>
      </c>
      <c r="R182" s="5">
        <v>0</v>
      </c>
      <c r="S182" s="5">
        <v>465</v>
      </c>
    </row>
    <row r="183" spans="1:19">
      <c r="A183">
        <v>20</v>
      </c>
      <c r="B183" t="s">
        <v>137</v>
      </c>
      <c r="C183" t="s">
        <v>138</v>
      </c>
      <c r="D183" t="s">
        <v>131</v>
      </c>
      <c r="E183">
        <v>153020625</v>
      </c>
      <c r="F183" t="s">
        <v>377</v>
      </c>
      <c r="G183" t="s">
        <v>378</v>
      </c>
      <c r="H183" t="s">
        <v>140</v>
      </c>
      <c r="I183" t="s">
        <v>334</v>
      </c>
      <c r="J183">
        <v>4</v>
      </c>
      <c r="K183" s="5">
        <v>3284.8</v>
      </c>
      <c r="L183" s="5">
        <v>2480</v>
      </c>
      <c r="M183">
        <v>0.24500730600000001</v>
      </c>
      <c r="N183" s="5">
        <v>804.8</v>
      </c>
      <c r="O183" s="5">
        <v>201.2</v>
      </c>
      <c r="P183">
        <v>0</v>
      </c>
      <c r="Q183" s="5">
        <v>0</v>
      </c>
      <c r="R183" s="5">
        <v>0</v>
      </c>
      <c r="S183" s="5">
        <v>620</v>
      </c>
    </row>
    <row r="184" spans="1:19">
      <c r="A184">
        <v>20</v>
      </c>
      <c r="B184" t="s">
        <v>137</v>
      </c>
      <c r="C184" t="s">
        <v>138</v>
      </c>
      <c r="D184" t="s">
        <v>131</v>
      </c>
      <c r="E184">
        <v>153020625</v>
      </c>
      <c r="F184" t="s">
        <v>377</v>
      </c>
      <c r="G184" t="s">
        <v>378</v>
      </c>
      <c r="H184" t="s">
        <v>140</v>
      </c>
      <c r="I184" t="s">
        <v>334</v>
      </c>
      <c r="J184">
        <v>4</v>
      </c>
      <c r="K184" s="5">
        <v>2317.23</v>
      </c>
      <c r="L184" s="5">
        <v>2480</v>
      </c>
      <c r="M184">
        <v>-7.0243349999999996E-2</v>
      </c>
      <c r="N184" s="5">
        <v>-162.77000000000001</v>
      </c>
      <c r="O184" s="5">
        <v>-40.69</v>
      </c>
      <c r="P184">
        <v>0</v>
      </c>
      <c r="Q184" s="5">
        <v>0</v>
      </c>
      <c r="R184" s="5">
        <v>0</v>
      </c>
      <c r="S184" s="5">
        <v>620</v>
      </c>
    </row>
    <row r="185" spans="1:19">
      <c r="A185">
        <v>23</v>
      </c>
      <c r="B185" t="s">
        <v>151</v>
      </c>
      <c r="C185" t="s">
        <v>124</v>
      </c>
      <c r="D185" t="s">
        <v>152</v>
      </c>
      <c r="E185">
        <v>153020625</v>
      </c>
      <c r="F185" t="s">
        <v>379</v>
      </c>
      <c r="G185" t="s">
        <v>380</v>
      </c>
      <c r="H185" t="s">
        <v>355</v>
      </c>
      <c r="I185" t="s">
        <v>334</v>
      </c>
      <c r="J185">
        <v>4</v>
      </c>
      <c r="K185" s="5">
        <v>5215.34</v>
      </c>
      <c r="L185" s="5">
        <v>1640</v>
      </c>
      <c r="M185">
        <v>0.685543032</v>
      </c>
      <c r="N185" s="5">
        <v>3575.34</v>
      </c>
      <c r="O185" s="5">
        <v>893.84</v>
      </c>
      <c r="P185">
        <v>0</v>
      </c>
      <c r="Q185" s="5">
        <v>0</v>
      </c>
      <c r="R185" s="5">
        <v>0</v>
      </c>
      <c r="S185" s="5">
        <v>410</v>
      </c>
    </row>
    <row r="186" spans="1:19">
      <c r="A186">
        <v>23</v>
      </c>
      <c r="B186" t="s">
        <v>151</v>
      </c>
      <c r="C186" t="s">
        <v>124</v>
      </c>
      <c r="D186" t="s">
        <v>152</v>
      </c>
      <c r="E186">
        <v>153020837</v>
      </c>
      <c r="F186" t="s">
        <v>379</v>
      </c>
      <c r="G186" t="s">
        <v>380</v>
      </c>
      <c r="H186" t="s">
        <v>355</v>
      </c>
      <c r="I186" t="s">
        <v>333</v>
      </c>
      <c r="J186">
        <v>0</v>
      </c>
      <c r="L186" s="5">
        <v>0</v>
      </c>
      <c r="M186">
        <v>0</v>
      </c>
      <c r="N186" s="5">
        <v>0</v>
      </c>
      <c r="O186" s="5">
        <v>0</v>
      </c>
      <c r="P186">
        <v>4</v>
      </c>
      <c r="Q186" s="5">
        <v>1240</v>
      </c>
      <c r="R186" s="5">
        <v>1289.27</v>
      </c>
      <c r="S186" s="5">
        <v>310</v>
      </c>
    </row>
    <row r="187" spans="1:19">
      <c r="A187">
        <v>23</v>
      </c>
      <c r="B187" t="s">
        <v>151</v>
      </c>
      <c r="C187" t="s">
        <v>124</v>
      </c>
      <c r="D187" t="s">
        <v>152</v>
      </c>
      <c r="E187">
        <v>153020837</v>
      </c>
      <c r="F187" t="s">
        <v>379</v>
      </c>
      <c r="G187" t="s">
        <v>380</v>
      </c>
      <c r="H187" t="s">
        <v>355</v>
      </c>
      <c r="I187" t="s">
        <v>334</v>
      </c>
      <c r="J187">
        <v>0</v>
      </c>
      <c r="L187" s="5">
        <v>0</v>
      </c>
      <c r="M187">
        <v>0</v>
      </c>
      <c r="N187" s="5">
        <v>0</v>
      </c>
      <c r="O187" s="5">
        <v>0</v>
      </c>
      <c r="P187">
        <v>4</v>
      </c>
      <c r="Q187" s="5">
        <v>1640</v>
      </c>
      <c r="R187" s="5">
        <v>1495.55</v>
      </c>
      <c r="S187" s="5">
        <v>410</v>
      </c>
    </row>
    <row r="188" spans="1:19">
      <c r="A188">
        <v>23</v>
      </c>
      <c r="B188" t="s">
        <v>151</v>
      </c>
      <c r="C188" t="s">
        <v>124</v>
      </c>
      <c r="D188" t="s">
        <v>152</v>
      </c>
      <c r="E188">
        <v>153020837</v>
      </c>
      <c r="F188" t="s">
        <v>379</v>
      </c>
      <c r="G188" t="s">
        <v>380</v>
      </c>
      <c r="H188" t="s">
        <v>355</v>
      </c>
      <c r="I188" t="s">
        <v>334</v>
      </c>
      <c r="J188">
        <v>0</v>
      </c>
      <c r="L188" s="5">
        <v>0</v>
      </c>
      <c r="M188">
        <v>0</v>
      </c>
      <c r="N188" s="5">
        <v>0</v>
      </c>
      <c r="O188" s="5">
        <v>0</v>
      </c>
      <c r="P188">
        <v>4</v>
      </c>
      <c r="Q188" s="5">
        <v>1640</v>
      </c>
      <c r="R188" s="5">
        <v>1784.36</v>
      </c>
      <c r="S188" s="5">
        <v>410</v>
      </c>
    </row>
    <row r="189" spans="1:19">
      <c r="A189">
        <v>23</v>
      </c>
      <c r="B189" t="s">
        <v>151</v>
      </c>
      <c r="C189" t="s">
        <v>124</v>
      </c>
      <c r="D189" t="s">
        <v>152</v>
      </c>
      <c r="E189">
        <v>153020837</v>
      </c>
      <c r="F189" t="s">
        <v>379</v>
      </c>
      <c r="G189" t="s">
        <v>380</v>
      </c>
      <c r="H189" t="s">
        <v>355</v>
      </c>
      <c r="I189" t="s">
        <v>333</v>
      </c>
      <c r="J189">
        <v>4</v>
      </c>
      <c r="K189" s="5">
        <v>4799.3599999999997</v>
      </c>
      <c r="L189" s="5">
        <v>1240</v>
      </c>
      <c r="M189">
        <v>0.74163221700000004</v>
      </c>
      <c r="N189" s="5">
        <v>3559.36</v>
      </c>
      <c r="O189" s="5">
        <v>889.84</v>
      </c>
      <c r="P189">
        <v>0</v>
      </c>
      <c r="Q189" s="5">
        <v>0</v>
      </c>
      <c r="R189" s="5">
        <v>0</v>
      </c>
      <c r="S189" s="5">
        <v>310</v>
      </c>
    </row>
    <row r="190" spans="1:19">
      <c r="A190">
        <v>23</v>
      </c>
      <c r="B190" t="s">
        <v>151</v>
      </c>
      <c r="C190" t="s">
        <v>124</v>
      </c>
      <c r="D190" t="s">
        <v>152</v>
      </c>
      <c r="E190">
        <v>153020837</v>
      </c>
      <c r="F190" t="s">
        <v>379</v>
      </c>
      <c r="G190" t="s">
        <v>380</v>
      </c>
      <c r="H190" t="s">
        <v>355</v>
      </c>
      <c r="I190" t="s">
        <v>334</v>
      </c>
      <c r="J190">
        <v>0</v>
      </c>
      <c r="L190" s="5">
        <v>0</v>
      </c>
      <c r="M190">
        <v>0</v>
      </c>
      <c r="N190" s="5">
        <v>0</v>
      </c>
      <c r="O190" s="5">
        <v>0</v>
      </c>
      <c r="P190">
        <v>4</v>
      </c>
      <c r="Q190" s="5">
        <v>1640</v>
      </c>
      <c r="R190" s="5">
        <v>1995.89</v>
      </c>
      <c r="S190" s="5">
        <v>410</v>
      </c>
    </row>
    <row r="191" spans="1:19">
      <c r="A191">
        <v>23</v>
      </c>
      <c r="B191" t="s">
        <v>151</v>
      </c>
      <c r="C191" t="s">
        <v>124</v>
      </c>
      <c r="D191" t="s">
        <v>152</v>
      </c>
      <c r="E191">
        <v>153020837</v>
      </c>
      <c r="F191" t="s">
        <v>379</v>
      </c>
      <c r="G191" t="s">
        <v>380</v>
      </c>
      <c r="H191" t="s">
        <v>355</v>
      </c>
      <c r="I191" t="s">
        <v>334</v>
      </c>
      <c r="J191">
        <v>0</v>
      </c>
      <c r="L191" s="5">
        <v>0</v>
      </c>
      <c r="M191">
        <v>0</v>
      </c>
      <c r="N191" s="5">
        <v>0</v>
      </c>
      <c r="O191" s="5">
        <v>0</v>
      </c>
      <c r="P191">
        <v>4</v>
      </c>
      <c r="Q191" s="5">
        <v>1640</v>
      </c>
      <c r="R191" s="5">
        <v>1607.79</v>
      </c>
      <c r="S191" s="5">
        <v>410</v>
      </c>
    </row>
    <row r="192" spans="1:19">
      <c r="A192">
        <v>23</v>
      </c>
      <c r="B192" t="s">
        <v>151</v>
      </c>
      <c r="C192" t="s">
        <v>124</v>
      </c>
      <c r="D192" t="s">
        <v>152</v>
      </c>
      <c r="E192">
        <v>153020837</v>
      </c>
      <c r="F192" t="s">
        <v>379</v>
      </c>
      <c r="G192" t="s">
        <v>380</v>
      </c>
      <c r="H192" t="s">
        <v>355</v>
      </c>
      <c r="I192" t="s">
        <v>334</v>
      </c>
      <c r="J192">
        <v>4</v>
      </c>
      <c r="K192" s="5">
        <v>5516.99</v>
      </c>
      <c r="L192" s="5">
        <v>1640</v>
      </c>
      <c r="M192">
        <v>0.70273645500000004</v>
      </c>
      <c r="N192" s="5">
        <v>3876.99</v>
      </c>
      <c r="O192" s="5">
        <v>969.25</v>
      </c>
      <c r="P192">
        <v>0</v>
      </c>
      <c r="Q192" s="5">
        <v>0</v>
      </c>
      <c r="R192" s="5">
        <v>0</v>
      </c>
      <c r="S192" s="5">
        <v>410</v>
      </c>
    </row>
    <row r="193" spans="1:19">
      <c r="A193">
        <v>23</v>
      </c>
      <c r="B193" t="s">
        <v>151</v>
      </c>
      <c r="C193" t="s">
        <v>124</v>
      </c>
      <c r="D193" t="s">
        <v>152</v>
      </c>
      <c r="E193">
        <v>153020837</v>
      </c>
      <c r="F193" t="s">
        <v>379</v>
      </c>
      <c r="G193" t="s">
        <v>380</v>
      </c>
      <c r="H193" t="s">
        <v>355</v>
      </c>
      <c r="I193" t="s">
        <v>334</v>
      </c>
      <c r="J193">
        <v>4</v>
      </c>
      <c r="K193" s="5">
        <v>5990.06</v>
      </c>
      <c r="L193" s="5">
        <v>1640</v>
      </c>
      <c r="M193">
        <v>0.72621309300000003</v>
      </c>
      <c r="N193" s="5">
        <v>4350.0600000000004</v>
      </c>
      <c r="O193" s="5">
        <v>1087.52</v>
      </c>
      <c r="P193">
        <v>0</v>
      </c>
      <c r="Q193" s="5">
        <v>0</v>
      </c>
      <c r="R193" s="5">
        <v>0</v>
      </c>
      <c r="S193" s="5">
        <v>410</v>
      </c>
    </row>
    <row r="194" spans="1:19">
      <c r="A194">
        <v>23</v>
      </c>
      <c r="B194" t="s">
        <v>151</v>
      </c>
      <c r="C194" t="s">
        <v>124</v>
      </c>
      <c r="D194" t="s">
        <v>152</v>
      </c>
      <c r="E194">
        <v>153020837</v>
      </c>
      <c r="F194" t="s">
        <v>379</v>
      </c>
      <c r="G194" t="s">
        <v>380</v>
      </c>
      <c r="H194" t="s">
        <v>355</v>
      </c>
      <c r="I194" t="s">
        <v>334</v>
      </c>
      <c r="J194">
        <v>4</v>
      </c>
      <c r="K194" s="5">
        <v>4852.7</v>
      </c>
      <c r="L194" s="5">
        <v>1640</v>
      </c>
      <c r="M194">
        <v>0.66204381000000001</v>
      </c>
      <c r="N194" s="5">
        <v>3212.7</v>
      </c>
      <c r="O194" s="5">
        <v>803.18</v>
      </c>
      <c r="P194">
        <v>0</v>
      </c>
      <c r="Q194" s="5">
        <v>0</v>
      </c>
      <c r="R194" s="5">
        <v>0</v>
      </c>
      <c r="S194" s="5">
        <v>410</v>
      </c>
    </row>
    <row r="195" spans="1:19">
      <c r="A195">
        <v>23</v>
      </c>
      <c r="B195" t="s">
        <v>151</v>
      </c>
      <c r="C195" t="s">
        <v>124</v>
      </c>
      <c r="D195" t="s">
        <v>152</v>
      </c>
      <c r="E195">
        <v>153020837</v>
      </c>
      <c r="F195" t="s">
        <v>379</v>
      </c>
      <c r="G195" t="s">
        <v>380</v>
      </c>
      <c r="H195" t="s">
        <v>355</v>
      </c>
      <c r="I195" t="s">
        <v>334</v>
      </c>
      <c r="J195">
        <v>4</v>
      </c>
      <c r="K195" s="5">
        <v>6536.8</v>
      </c>
      <c r="L195" s="5">
        <v>1640</v>
      </c>
      <c r="M195">
        <v>0.74911271499999998</v>
      </c>
      <c r="N195" s="5">
        <v>4896.8</v>
      </c>
      <c r="O195" s="5">
        <v>1224.2</v>
      </c>
      <c r="P195">
        <v>0</v>
      </c>
      <c r="Q195" s="5">
        <v>0</v>
      </c>
      <c r="R195" s="5">
        <v>0</v>
      </c>
      <c r="S195" s="5">
        <v>410</v>
      </c>
    </row>
    <row r="196" spans="1:19">
      <c r="A196">
        <v>23</v>
      </c>
      <c r="B196" t="s">
        <v>151</v>
      </c>
      <c r="C196" t="s">
        <v>124</v>
      </c>
      <c r="D196" t="s">
        <v>152</v>
      </c>
      <c r="E196">
        <v>153020837</v>
      </c>
      <c r="F196" t="s">
        <v>379</v>
      </c>
      <c r="G196" t="s">
        <v>380</v>
      </c>
      <c r="H196" t="s">
        <v>355</v>
      </c>
      <c r="I196" t="s">
        <v>333</v>
      </c>
      <c r="J196">
        <v>4</v>
      </c>
      <c r="K196" s="5">
        <v>4563.03</v>
      </c>
      <c r="L196" s="5">
        <v>1240</v>
      </c>
      <c r="M196">
        <v>0.72825074499999998</v>
      </c>
      <c r="N196" s="5">
        <v>3323.03</v>
      </c>
      <c r="O196" s="5">
        <v>830.76</v>
      </c>
      <c r="P196">
        <v>0</v>
      </c>
      <c r="Q196" s="5">
        <v>0</v>
      </c>
      <c r="R196" s="5">
        <v>0</v>
      </c>
      <c r="S196" s="5">
        <v>310</v>
      </c>
    </row>
    <row r="197" spans="1:19">
      <c r="A197">
        <v>23</v>
      </c>
      <c r="B197" t="s">
        <v>151</v>
      </c>
      <c r="C197" t="s">
        <v>124</v>
      </c>
      <c r="D197" t="s">
        <v>152</v>
      </c>
      <c r="E197">
        <v>153020837</v>
      </c>
      <c r="F197" t="s">
        <v>379</v>
      </c>
      <c r="G197" t="s">
        <v>380</v>
      </c>
      <c r="H197" t="s">
        <v>355</v>
      </c>
      <c r="I197" t="s">
        <v>334</v>
      </c>
      <c r="J197">
        <v>4</v>
      </c>
      <c r="K197" s="5">
        <v>6718.3</v>
      </c>
      <c r="L197" s="5">
        <v>1640</v>
      </c>
      <c r="M197">
        <v>0.75589062699999998</v>
      </c>
      <c r="N197" s="5">
        <v>5078.3</v>
      </c>
      <c r="O197" s="5">
        <v>1269.58</v>
      </c>
      <c r="P197">
        <v>0</v>
      </c>
      <c r="Q197" s="5">
        <v>0</v>
      </c>
      <c r="R197" s="5">
        <v>0</v>
      </c>
      <c r="S197" s="5">
        <v>410</v>
      </c>
    </row>
    <row r="198" spans="1:19">
      <c r="A198">
        <v>23</v>
      </c>
      <c r="B198" t="s">
        <v>151</v>
      </c>
      <c r="C198" t="s">
        <v>124</v>
      </c>
      <c r="D198" t="s">
        <v>152</v>
      </c>
      <c r="E198">
        <v>153020837</v>
      </c>
      <c r="F198" t="s">
        <v>379</v>
      </c>
      <c r="G198" t="s">
        <v>380</v>
      </c>
      <c r="H198" t="s">
        <v>355</v>
      </c>
      <c r="I198" t="s">
        <v>334</v>
      </c>
      <c r="J198">
        <v>4</v>
      </c>
      <c r="K198" s="5">
        <v>6581.42</v>
      </c>
      <c r="L198" s="5">
        <v>1640</v>
      </c>
      <c r="M198">
        <v>0.750813654</v>
      </c>
      <c r="N198" s="5">
        <v>4941.42</v>
      </c>
      <c r="O198" s="5">
        <v>1235.3599999999999</v>
      </c>
      <c r="P198">
        <v>0</v>
      </c>
      <c r="Q198" s="5">
        <v>0</v>
      </c>
      <c r="R198" s="5">
        <v>0</v>
      </c>
      <c r="S198" s="5">
        <v>410</v>
      </c>
    </row>
    <row r="199" spans="1:19">
      <c r="A199">
        <v>23</v>
      </c>
      <c r="B199" t="s">
        <v>151</v>
      </c>
      <c r="C199" t="s">
        <v>124</v>
      </c>
      <c r="D199" t="s">
        <v>152</v>
      </c>
      <c r="E199">
        <v>153020837</v>
      </c>
      <c r="F199" t="s">
        <v>379</v>
      </c>
      <c r="G199" t="s">
        <v>380</v>
      </c>
      <c r="H199" t="s">
        <v>355</v>
      </c>
      <c r="I199" t="s">
        <v>333</v>
      </c>
      <c r="J199">
        <v>4</v>
      </c>
      <c r="K199" s="5">
        <v>5157.96</v>
      </c>
      <c r="L199" s="5">
        <v>1240</v>
      </c>
      <c r="M199">
        <v>0.75959487800000003</v>
      </c>
      <c r="N199" s="5">
        <v>3917.96</v>
      </c>
      <c r="O199" s="5">
        <v>979.49</v>
      </c>
      <c r="P199">
        <v>0</v>
      </c>
      <c r="Q199" s="5">
        <v>0</v>
      </c>
      <c r="R199" s="5">
        <v>0</v>
      </c>
      <c r="S199" s="5">
        <v>310</v>
      </c>
    </row>
    <row r="200" spans="1:19">
      <c r="A200">
        <v>22</v>
      </c>
      <c r="B200" t="s">
        <v>148</v>
      </c>
      <c r="C200" t="s">
        <v>149</v>
      </c>
      <c r="D200" t="s">
        <v>144</v>
      </c>
      <c r="E200">
        <v>153020837</v>
      </c>
      <c r="F200" t="s">
        <v>381</v>
      </c>
      <c r="G200" t="s">
        <v>382</v>
      </c>
      <c r="H200" t="s">
        <v>74</v>
      </c>
      <c r="I200" t="s">
        <v>333</v>
      </c>
      <c r="J200">
        <v>0</v>
      </c>
      <c r="L200" s="5">
        <v>0</v>
      </c>
      <c r="M200">
        <v>0</v>
      </c>
      <c r="N200" s="5">
        <v>0</v>
      </c>
      <c r="O200" s="5">
        <v>0</v>
      </c>
      <c r="P200">
        <v>4</v>
      </c>
      <c r="Q200" s="5">
        <v>1340</v>
      </c>
      <c r="R200" s="5">
        <v>2072.34</v>
      </c>
      <c r="S200" s="5">
        <v>335</v>
      </c>
    </row>
    <row r="201" spans="1:19">
      <c r="A201">
        <v>22</v>
      </c>
      <c r="B201" t="s">
        <v>148</v>
      </c>
      <c r="C201" t="s">
        <v>149</v>
      </c>
      <c r="D201" t="s">
        <v>144</v>
      </c>
      <c r="E201">
        <v>153021378</v>
      </c>
      <c r="F201" t="s">
        <v>381</v>
      </c>
      <c r="G201" t="s">
        <v>382</v>
      </c>
      <c r="H201" t="s">
        <v>74</v>
      </c>
      <c r="I201" t="s">
        <v>333</v>
      </c>
      <c r="J201">
        <v>4</v>
      </c>
      <c r="K201" s="5">
        <v>4926.74</v>
      </c>
      <c r="L201" s="5">
        <v>1340</v>
      </c>
      <c r="M201">
        <v>0.72801487300000001</v>
      </c>
      <c r="N201" s="5">
        <v>3586.74</v>
      </c>
      <c r="O201" s="5">
        <v>896.68</v>
      </c>
      <c r="P201">
        <v>0</v>
      </c>
      <c r="Q201" s="5">
        <v>0</v>
      </c>
      <c r="R201" s="5">
        <v>0</v>
      </c>
      <c r="S201" s="5">
        <v>335</v>
      </c>
    </row>
    <row r="202" spans="1:19">
      <c r="A202">
        <v>22</v>
      </c>
      <c r="B202" t="s">
        <v>148</v>
      </c>
      <c r="C202" t="s">
        <v>149</v>
      </c>
      <c r="D202" t="s">
        <v>144</v>
      </c>
      <c r="E202">
        <v>153021378</v>
      </c>
      <c r="F202" t="s">
        <v>381</v>
      </c>
      <c r="G202" t="s">
        <v>382</v>
      </c>
      <c r="H202" t="s">
        <v>74</v>
      </c>
      <c r="I202" t="s">
        <v>333</v>
      </c>
      <c r="J202">
        <v>4</v>
      </c>
      <c r="K202" s="5">
        <v>6328.03</v>
      </c>
      <c r="L202" s="5">
        <v>1340</v>
      </c>
      <c r="M202">
        <v>0.78824373400000003</v>
      </c>
      <c r="N202" s="5">
        <v>4988.03</v>
      </c>
      <c r="O202" s="5">
        <v>1247.01</v>
      </c>
      <c r="P202">
        <v>0</v>
      </c>
      <c r="Q202" s="5">
        <v>0</v>
      </c>
      <c r="R202" s="5">
        <v>0</v>
      </c>
      <c r="S202" s="5">
        <v>335</v>
      </c>
    </row>
    <row r="203" spans="1:19">
      <c r="A203">
        <v>22</v>
      </c>
      <c r="B203" t="s">
        <v>148</v>
      </c>
      <c r="C203" t="s">
        <v>149</v>
      </c>
      <c r="D203" t="s">
        <v>144</v>
      </c>
      <c r="E203">
        <v>153021378</v>
      </c>
      <c r="F203" t="s">
        <v>381</v>
      </c>
      <c r="G203" t="s">
        <v>382</v>
      </c>
      <c r="H203" t="s">
        <v>74</v>
      </c>
      <c r="I203" t="s">
        <v>334</v>
      </c>
      <c r="J203">
        <v>4</v>
      </c>
      <c r="K203" s="5">
        <v>6267.83</v>
      </c>
      <c r="L203" s="5">
        <v>1780</v>
      </c>
      <c r="M203">
        <v>0.716010166</v>
      </c>
      <c r="N203" s="5">
        <v>4487.83</v>
      </c>
      <c r="O203" s="5">
        <v>1121.96</v>
      </c>
      <c r="P203">
        <v>0</v>
      </c>
      <c r="Q203" s="5">
        <v>0</v>
      </c>
      <c r="R203" s="5">
        <v>0</v>
      </c>
      <c r="S203" s="5">
        <v>445</v>
      </c>
    </row>
    <row r="204" spans="1:19">
      <c r="A204">
        <v>22</v>
      </c>
      <c r="B204" t="s">
        <v>148</v>
      </c>
      <c r="C204" t="s">
        <v>149</v>
      </c>
      <c r="D204" t="s">
        <v>144</v>
      </c>
      <c r="E204">
        <v>153021378</v>
      </c>
      <c r="F204" t="s">
        <v>381</v>
      </c>
      <c r="G204" t="s">
        <v>382</v>
      </c>
      <c r="H204" t="s">
        <v>74</v>
      </c>
      <c r="I204" t="s">
        <v>334</v>
      </c>
      <c r="J204">
        <v>0</v>
      </c>
      <c r="L204" s="5">
        <v>0</v>
      </c>
      <c r="M204">
        <v>0</v>
      </c>
      <c r="N204" s="5">
        <v>0</v>
      </c>
      <c r="O204" s="5">
        <v>0</v>
      </c>
      <c r="P204">
        <v>4</v>
      </c>
      <c r="Q204" s="5">
        <v>1780</v>
      </c>
      <c r="R204" s="5">
        <v>2978.65</v>
      </c>
      <c r="S204" s="5">
        <v>445</v>
      </c>
    </row>
    <row r="205" spans="1:19">
      <c r="A205">
        <v>22</v>
      </c>
      <c r="B205" t="s">
        <v>148</v>
      </c>
      <c r="C205" t="s">
        <v>149</v>
      </c>
      <c r="D205" t="s">
        <v>144</v>
      </c>
      <c r="E205">
        <v>153021378</v>
      </c>
      <c r="F205" t="s">
        <v>381</v>
      </c>
      <c r="G205" t="s">
        <v>382</v>
      </c>
      <c r="H205" t="s">
        <v>74</v>
      </c>
      <c r="I205" t="s">
        <v>333</v>
      </c>
      <c r="J205">
        <v>4</v>
      </c>
      <c r="K205" s="5">
        <v>4858.67</v>
      </c>
      <c r="L205" s="5">
        <v>1340</v>
      </c>
      <c r="M205">
        <v>0.72420435999999999</v>
      </c>
      <c r="N205" s="5">
        <v>3518.67</v>
      </c>
      <c r="O205" s="5">
        <v>879.67</v>
      </c>
      <c r="P205">
        <v>0</v>
      </c>
      <c r="Q205" s="5">
        <v>0</v>
      </c>
      <c r="R205" s="5">
        <v>0</v>
      </c>
      <c r="S205" s="5">
        <v>335</v>
      </c>
    </row>
    <row r="206" spans="1:19">
      <c r="A206">
        <v>22</v>
      </c>
      <c r="B206" t="s">
        <v>148</v>
      </c>
      <c r="C206" t="s">
        <v>149</v>
      </c>
      <c r="D206" t="s">
        <v>144</v>
      </c>
      <c r="E206">
        <v>153021378</v>
      </c>
      <c r="F206" t="s">
        <v>381</v>
      </c>
      <c r="G206" t="s">
        <v>382</v>
      </c>
      <c r="H206" t="s">
        <v>74</v>
      </c>
      <c r="I206" t="s">
        <v>333</v>
      </c>
      <c r="J206">
        <v>0</v>
      </c>
      <c r="L206" s="5">
        <v>0</v>
      </c>
      <c r="M206">
        <v>0</v>
      </c>
      <c r="N206" s="5">
        <v>0</v>
      </c>
      <c r="O206" s="5">
        <v>0</v>
      </c>
      <c r="P206">
        <v>4</v>
      </c>
      <c r="Q206" s="5">
        <v>1340</v>
      </c>
      <c r="R206" s="5">
        <v>1260.23</v>
      </c>
      <c r="S206" s="5">
        <v>335</v>
      </c>
    </row>
    <row r="207" spans="1:19">
      <c r="A207">
        <v>22</v>
      </c>
      <c r="B207" t="s">
        <v>148</v>
      </c>
      <c r="C207" t="s">
        <v>149</v>
      </c>
      <c r="D207" t="s">
        <v>144</v>
      </c>
      <c r="E207">
        <v>153021378</v>
      </c>
      <c r="F207" t="s">
        <v>381</v>
      </c>
      <c r="G207" t="s">
        <v>382</v>
      </c>
      <c r="H207" t="s">
        <v>74</v>
      </c>
      <c r="I207" t="s">
        <v>333</v>
      </c>
      <c r="J207">
        <v>4</v>
      </c>
      <c r="K207" s="5">
        <v>3974.82</v>
      </c>
      <c r="L207" s="5">
        <v>1340</v>
      </c>
      <c r="M207">
        <v>0.66287781499999998</v>
      </c>
      <c r="N207" s="5">
        <v>2634.82</v>
      </c>
      <c r="O207" s="5">
        <v>658.7</v>
      </c>
      <c r="P207">
        <v>0</v>
      </c>
      <c r="Q207" s="5">
        <v>0</v>
      </c>
      <c r="R207" s="5">
        <v>0</v>
      </c>
      <c r="S207" s="5">
        <v>335</v>
      </c>
    </row>
    <row r="208" spans="1:19">
      <c r="A208">
        <v>22</v>
      </c>
      <c r="B208" t="s">
        <v>148</v>
      </c>
      <c r="C208" t="s">
        <v>149</v>
      </c>
      <c r="D208" t="s">
        <v>144</v>
      </c>
      <c r="E208">
        <v>153021378</v>
      </c>
      <c r="F208" t="s">
        <v>381</v>
      </c>
      <c r="G208" t="s">
        <v>382</v>
      </c>
      <c r="H208" t="s">
        <v>74</v>
      </c>
      <c r="I208" t="s">
        <v>334</v>
      </c>
      <c r="J208">
        <v>0</v>
      </c>
      <c r="L208" s="5">
        <v>0</v>
      </c>
      <c r="M208">
        <v>0</v>
      </c>
      <c r="N208" s="5">
        <v>0</v>
      </c>
      <c r="O208" s="5">
        <v>0</v>
      </c>
      <c r="P208">
        <v>4</v>
      </c>
      <c r="Q208" s="5">
        <v>1780</v>
      </c>
      <c r="R208" s="5">
        <v>3341.9</v>
      </c>
      <c r="S208" s="5">
        <v>445</v>
      </c>
    </row>
    <row r="209" spans="1:19">
      <c r="A209">
        <v>22</v>
      </c>
      <c r="B209" t="s">
        <v>148</v>
      </c>
      <c r="C209" t="s">
        <v>149</v>
      </c>
      <c r="D209" t="s">
        <v>144</v>
      </c>
      <c r="E209">
        <v>153021378</v>
      </c>
      <c r="F209" t="s">
        <v>381</v>
      </c>
      <c r="G209" t="s">
        <v>382</v>
      </c>
      <c r="H209" t="s">
        <v>74</v>
      </c>
      <c r="I209" t="s">
        <v>334</v>
      </c>
      <c r="J209">
        <v>4</v>
      </c>
      <c r="K209" s="5">
        <v>2053.56</v>
      </c>
      <c r="L209" s="5">
        <v>1780</v>
      </c>
      <c r="M209">
        <v>0.133212567</v>
      </c>
      <c r="N209" s="5">
        <v>273.56</v>
      </c>
      <c r="O209" s="5">
        <v>68.39</v>
      </c>
      <c r="P209">
        <v>0</v>
      </c>
      <c r="Q209" s="5">
        <v>0</v>
      </c>
      <c r="R209" s="5">
        <v>0</v>
      </c>
      <c r="S209" s="5">
        <v>445</v>
      </c>
    </row>
    <row r="210" spans="1:19">
      <c r="A210">
        <v>22</v>
      </c>
      <c r="B210" t="s">
        <v>148</v>
      </c>
      <c r="C210" t="s">
        <v>149</v>
      </c>
      <c r="D210" t="s">
        <v>144</v>
      </c>
      <c r="E210">
        <v>153021378</v>
      </c>
      <c r="F210" t="s">
        <v>381</v>
      </c>
      <c r="G210" t="s">
        <v>382</v>
      </c>
      <c r="H210" t="s">
        <v>74</v>
      </c>
      <c r="I210" t="s">
        <v>334</v>
      </c>
      <c r="J210">
        <v>0</v>
      </c>
      <c r="L210" s="5">
        <v>0</v>
      </c>
      <c r="M210">
        <v>0</v>
      </c>
      <c r="N210" s="5">
        <v>0</v>
      </c>
      <c r="O210" s="5">
        <v>0</v>
      </c>
      <c r="P210">
        <v>4</v>
      </c>
      <c r="Q210" s="5">
        <v>1780</v>
      </c>
      <c r="R210" s="5">
        <v>2615.4</v>
      </c>
      <c r="S210" s="5">
        <v>445</v>
      </c>
    </row>
    <row r="211" spans="1:19">
      <c r="A211">
        <v>22</v>
      </c>
      <c r="B211" t="s">
        <v>148</v>
      </c>
      <c r="C211" t="s">
        <v>149</v>
      </c>
      <c r="D211" t="s">
        <v>144</v>
      </c>
      <c r="E211">
        <v>153021378</v>
      </c>
      <c r="F211" t="s">
        <v>381</v>
      </c>
      <c r="G211" t="s">
        <v>382</v>
      </c>
      <c r="H211" t="s">
        <v>74</v>
      </c>
      <c r="I211" t="s">
        <v>334</v>
      </c>
      <c r="J211">
        <v>2</v>
      </c>
      <c r="K211" s="5">
        <v>3882.44</v>
      </c>
      <c r="L211" s="5">
        <v>890</v>
      </c>
      <c r="M211">
        <v>0.77076271600000001</v>
      </c>
      <c r="N211" s="5">
        <v>2992.44</v>
      </c>
      <c r="O211" s="5">
        <v>1496.22</v>
      </c>
      <c r="P211">
        <v>2</v>
      </c>
      <c r="Q211" s="5">
        <v>890</v>
      </c>
      <c r="R211" s="5">
        <v>4504.3</v>
      </c>
      <c r="S211" s="5">
        <v>445</v>
      </c>
    </row>
    <row r="212" spans="1:19">
      <c r="A212">
        <v>22</v>
      </c>
      <c r="B212" t="s">
        <v>148</v>
      </c>
      <c r="C212" t="s">
        <v>149</v>
      </c>
      <c r="D212" t="s">
        <v>144</v>
      </c>
      <c r="E212">
        <v>153021378</v>
      </c>
      <c r="F212" t="s">
        <v>381</v>
      </c>
      <c r="G212" t="s">
        <v>382</v>
      </c>
      <c r="H212" t="s">
        <v>74</v>
      </c>
      <c r="I212" t="s">
        <v>334</v>
      </c>
      <c r="J212">
        <v>4</v>
      </c>
      <c r="K212" s="5">
        <v>6562.09</v>
      </c>
      <c r="L212" s="5">
        <v>1780</v>
      </c>
      <c r="M212">
        <v>0.72874495699999997</v>
      </c>
      <c r="N212" s="5">
        <v>4782.09</v>
      </c>
      <c r="O212" s="5">
        <v>1195.52</v>
      </c>
      <c r="P212">
        <v>0</v>
      </c>
      <c r="Q212" s="5">
        <v>0</v>
      </c>
      <c r="R212" s="5">
        <v>0</v>
      </c>
      <c r="S212" s="5">
        <v>445</v>
      </c>
    </row>
    <row r="213" spans="1:19">
      <c r="A213">
        <v>22</v>
      </c>
      <c r="B213" t="s">
        <v>148</v>
      </c>
      <c r="C213" t="s">
        <v>149</v>
      </c>
      <c r="D213" t="s">
        <v>144</v>
      </c>
      <c r="E213">
        <v>153021378</v>
      </c>
      <c r="F213" t="s">
        <v>381</v>
      </c>
      <c r="G213" t="s">
        <v>382</v>
      </c>
      <c r="H213" t="s">
        <v>74</v>
      </c>
      <c r="I213" t="s">
        <v>333</v>
      </c>
      <c r="J213">
        <v>4</v>
      </c>
      <c r="K213" s="5">
        <v>3812.43</v>
      </c>
      <c r="L213" s="5">
        <v>1340</v>
      </c>
      <c r="M213">
        <v>0.64851813599999997</v>
      </c>
      <c r="N213" s="5">
        <v>2472.4299999999998</v>
      </c>
      <c r="O213" s="5">
        <v>618.11</v>
      </c>
      <c r="P213">
        <v>0</v>
      </c>
      <c r="Q213" s="5">
        <v>0</v>
      </c>
      <c r="R213" s="5">
        <v>0</v>
      </c>
      <c r="S213" s="5">
        <v>335</v>
      </c>
    </row>
    <row r="214" spans="1:19">
      <c r="A214">
        <v>22</v>
      </c>
      <c r="B214" t="s">
        <v>148</v>
      </c>
      <c r="C214" t="s">
        <v>149</v>
      </c>
      <c r="D214" t="s">
        <v>144</v>
      </c>
      <c r="E214">
        <v>153021378</v>
      </c>
      <c r="F214" t="s">
        <v>381</v>
      </c>
      <c r="G214" t="s">
        <v>382</v>
      </c>
      <c r="H214" t="s">
        <v>74</v>
      </c>
      <c r="I214" t="s">
        <v>333</v>
      </c>
      <c r="J214">
        <v>4</v>
      </c>
      <c r="K214" s="5">
        <v>4786.75</v>
      </c>
      <c r="L214" s="5">
        <v>1340</v>
      </c>
      <c r="M214">
        <v>0.72006058299999998</v>
      </c>
      <c r="N214" s="5">
        <v>3446.75</v>
      </c>
      <c r="O214" s="5">
        <v>861.69</v>
      </c>
      <c r="P214">
        <v>0</v>
      </c>
      <c r="Q214" s="5">
        <v>0</v>
      </c>
      <c r="R214" s="5">
        <v>0</v>
      </c>
      <c r="S214" s="5">
        <v>335</v>
      </c>
    </row>
    <row r="215" spans="1:19">
      <c r="A215">
        <v>21</v>
      </c>
      <c r="B215" t="s">
        <v>142</v>
      </c>
      <c r="C215" t="s">
        <v>143</v>
      </c>
      <c r="D215" t="s">
        <v>144</v>
      </c>
      <c r="E215">
        <v>153021378</v>
      </c>
      <c r="F215" t="s">
        <v>383</v>
      </c>
      <c r="G215" t="s">
        <v>384</v>
      </c>
      <c r="H215" t="s">
        <v>146</v>
      </c>
      <c r="I215" t="s">
        <v>334</v>
      </c>
      <c r="J215">
        <v>0</v>
      </c>
      <c r="L215" s="5">
        <v>0</v>
      </c>
      <c r="M215">
        <v>0</v>
      </c>
      <c r="N215" s="5">
        <v>0</v>
      </c>
      <c r="O215" s="5">
        <v>0</v>
      </c>
      <c r="P215">
        <v>4</v>
      </c>
      <c r="Q215" s="5">
        <v>1800</v>
      </c>
      <c r="R215" s="5">
        <v>541.78</v>
      </c>
      <c r="S215" s="5">
        <v>450</v>
      </c>
    </row>
    <row r="216" spans="1:19">
      <c r="A216">
        <v>26</v>
      </c>
      <c r="B216" t="s">
        <v>158</v>
      </c>
      <c r="C216" t="s">
        <v>124</v>
      </c>
      <c r="D216" t="s">
        <v>159</v>
      </c>
      <c r="E216">
        <v>153022614</v>
      </c>
      <c r="F216" t="s">
        <v>385</v>
      </c>
      <c r="G216" t="s">
        <v>386</v>
      </c>
      <c r="H216" t="s">
        <v>113</v>
      </c>
      <c r="I216" t="s">
        <v>334</v>
      </c>
      <c r="J216">
        <v>4</v>
      </c>
      <c r="K216" s="5">
        <v>3820.84</v>
      </c>
      <c r="L216" s="5">
        <v>2480</v>
      </c>
      <c r="M216">
        <v>0.35092806799999998</v>
      </c>
      <c r="N216" s="5">
        <v>1340.84</v>
      </c>
      <c r="O216" s="5">
        <v>335.21</v>
      </c>
      <c r="P216">
        <v>0</v>
      </c>
      <c r="Q216" s="5">
        <v>0</v>
      </c>
      <c r="R216" s="5">
        <v>0</v>
      </c>
      <c r="S216" s="5">
        <v>620</v>
      </c>
    </row>
    <row r="217" spans="1:19">
      <c r="A217">
        <v>26</v>
      </c>
      <c r="B217" t="s">
        <v>158</v>
      </c>
      <c r="C217" t="s">
        <v>124</v>
      </c>
      <c r="D217" t="s">
        <v>159</v>
      </c>
      <c r="E217">
        <v>153020716</v>
      </c>
      <c r="F217" t="s">
        <v>385</v>
      </c>
      <c r="G217" t="s">
        <v>386</v>
      </c>
      <c r="H217" t="s">
        <v>113</v>
      </c>
      <c r="I217" t="s">
        <v>333</v>
      </c>
      <c r="J217">
        <v>4</v>
      </c>
      <c r="K217" s="5">
        <v>2282.46</v>
      </c>
      <c r="L217" s="5">
        <v>1860</v>
      </c>
      <c r="M217">
        <v>0.18508977099999999</v>
      </c>
      <c r="N217" s="5">
        <v>422.46</v>
      </c>
      <c r="O217" s="5">
        <v>105.62</v>
      </c>
      <c r="P217">
        <v>0</v>
      </c>
      <c r="Q217" s="5">
        <v>0</v>
      </c>
      <c r="R217" s="5">
        <v>0</v>
      </c>
      <c r="S217" s="5">
        <v>465</v>
      </c>
    </row>
    <row r="218" spans="1:19">
      <c r="A218">
        <v>26</v>
      </c>
      <c r="B218" t="s">
        <v>158</v>
      </c>
      <c r="C218" t="s">
        <v>124</v>
      </c>
      <c r="D218" t="s">
        <v>159</v>
      </c>
      <c r="E218">
        <v>153020716</v>
      </c>
      <c r="F218" t="s">
        <v>385</v>
      </c>
      <c r="G218" t="s">
        <v>386</v>
      </c>
      <c r="H218" t="s">
        <v>113</v>
      </c>
      <c r="I218" t="s">
        <v>334</v>
      </c>
      <c r="J218">
        <v>4</v>
      </c>
      <c r="K218" s="5">
        <v>3967.96</v>
      </c>
      <c r="L218" s="5">
        <v>2480</v>
      </c>
      <c r="M218">
        <v>0.37499369900000001</v>
      </c>
      <c r="N218" s="5">
        <v>1487.96</v>
      </c>
      <c r="O218" s="5">
        <v>371.99</v>
      </c>
      <c r="P218">
        <v>0</v>
      </c>
      <c r="Q218" s="5">
        <v>0</v>
      </c>
      <c r="R218" s="5">
        <v>0</v>
      </c>
      <c r="S218" s="5">
        <v>620</v>
      </c>
    </row>
    <row r="219" spans="1:19">
      <c r="A219">
        <v>26</v>
      </c>
      <c r="B219" t="s">
        <v>158</v>
      </c>
      <c r="C219" t="s">
        <v>124</v>
      </c>
      <c r="D219" t="s">
        <v>159</v>
      </c>
      <c r="E219">
        <v>153020716</v>
      </c>
      <c r="F219" t="s">
        <v>385</v>
      </c>
      <c r="G219" t="s">
        <v>386</v>
      </c>
      <c r="H219" t="s">
        <v>113</v>
      </c>
      <c r="I219" t="s">
        <v>333</v>
      </c>
      <c r="J219">
        <v>0</v>
      </c>
      <c r="L219" s="5">
        <v>0</v>
      </c>
      <c r="M219">
        <v>0</v>
      </c>
      <c r="N219" s="5">
        <v>0</v>
      </c>
      <c r="O219" s="5">
        <v>0</v>
      </c>
      <c r="P219">
        <v>4</v>
      </c>
      <c r="Q219" s="5">
        <v>1860</v>
      </c>
      <c r="R219" s="5">
        <v>876.01</v>
      </c>
      <c r="S219" s="5">
        <v>465</v>
      </c>
    </row>
    <row r="220" spans="1:19">
      <c r="A220">
        <v>26</v>
      </c>
      <c r="B220" t="s">
        <v>158</v>
      </c>
      <c r="C220" t="s">
        <v>124</v>
      </c>
      <c r="D220" t="s">
        <v>159</v>
      </c>
      <c r="E220">
        <v>153020716</v>
      </c>
      <c r="F220" t="s">
        <v>385</v>
      </c>
      <c r="G220" t="s">
        <v>386</v>
      </c>
      <c r="H220" t="s">
        <v>113</v>
      </c>
      <c r="I220" t="s">
        <v>333</v>
      </c>
      <c r="J220">
        <v>2</v>
      </c>
      <c r="K220" s="5">
        <v>993.5</v>
      </c>
      <c r="L220" s="5">
        <v>930</v>
      </c>
      <c r="M220">
        <v>6.3915449999999999E-2</v>
      </c>
      <c r="N220" s="5">
        <v>63.5</v>
      </c>
      <c r="O220" s="5">
        <v>31.75</v>
      </c>
      <c r="P220">
        <v>2</v>
      </c>
      <c r="Q220" s="5">
        <v>930</v>
      </c>
      <c r="R220" s="5">
        <v>956.52</v>
      </c>
      <c r="S220" s="5">
        <v>465</v>
      </c>
    </row>
    <row r="221" spans="1:19">
      <c r="A221">
        <v>26</v>
      </c>
      <c r="B221" t="s">
        <v>158</v>
      </c>
      <c r="C221" t="s">
        <v>124</v>
      </c>
      <c r="D221" t="s">
        <v>159</v>
      </c>
      <c r="E221">
        <v>153020716</v>
      </c>
      <c r="F221" t="s">
        <v>385</v>
      </c>
      <c r="G221" t="s">
        <v>386</v>
      </c>
      <c r="H221" t="s">
        <v>113</v>
      </c>
      <c r="I221" t="s">
        <v>333</v>
      </c>
      <c r="J221">
        <v>0</v>
      </c>
      <c r="L221" s="5">
        <v>0</v>
      </c>
      <c r="M221">
        <v>0</v>
      </c>
      <c r="N221" s="5">
        <v>0</v>
      </c>
      <c r="O221" s="5">
        <v>0</v>
      </c>
      <c r="P221">
        <v>4</v>
      </c>
      <c r="Q221" s="5">
        <v>1860</v>
      </c>
      <c r="R221" s="5">
        <v>1189.1600000000001</v>
      </c>
      <c r="S221" s="5">
        <v>465</v>
      </c>
    </row>
    <row r="222" spans="1:19">
      <c r="A222">
        <v>26</v>
      </c>
      <c r="B222" t="s">
        <v>158</v>
      </c>
      <c r="C222" t="s">
        <v>124</v>
      </c>
      <c r="D222" t="s">
        <v>159</v>
      </c>
      <c r="E222">
        <v>153020716</v>
      </c>
      <c r="F222" t="s">
        <v>385</v>
      </c>
      <c r="G222" t="s">
        <v>386</v>
      </c>
      <c r="H222" t="s">
        <v>113</v>
      </c>
      <c r="I222" t="s">
        <v>333</v>
      </c>
      <c r="J222">
        <v>0</v>
      </c>
      <c r="L222" s="5">
        <v>0</v>
      </c>
      <c r="M222">
        <v>0</v>
      </c>
      <c r="N222" s="5">
        <v>0</v>
      </c>
      <c r="O222" s="5">
        <v>0</v>
      </c>
      <c r="P222">
        <v>4</v>
      </c>
      <c r="Q222" s="5">
        <v>1860</v>
      </c>
      <c r="R222" s="5">
        <v>924.9</v>
      </c>
      <c r="S222" s="5">
        <v>465</v>
      </c>
    </row>
    <row r="223" spans="1:19">
      <c r="A223">
        <v>26</v>
      </c>
      <c r="B223" t="s">
        <v>158</v>
      </c>
      <c r="C223" t="s">
        <v>124</v>
      </c>
      <c r="D223" t="s">
        <v>159</v>
      </c>
      <c r="E223">
        <v>153020716</v>
      </c>
      <c r="F223" t="s">
        <v>385</v>
      </c>
      <c r="G223" t="s">
        <v>386</v>
      </c>
      <c r="H223" t="s">
        <v>113</v>
      </c>
      <c r="I223" t="s">
        <v>334</v>
      </c>
      <c r="J223">
        <v>0</v>
      </c>
      <c r="L223" s="5">
        <v>0</v>
      </c>
      <c r="M223">
        <v>0</v>
      </c>
      <c r="N223" s="5">
        <v>0</v>
      </c>
      <c r="O223" s="5">
        <v>0</v>
      </c>
      <c r="P223">
        <v>4</v>
      </c>
      <c r="Q223" s="5">
        <v>2480</v>
      </c>
      <c r="R223" s="5">
        <v>1068.55</v>
      </c>
      <c r="S223" s="5">
        <v>620</v>
      </c>
    </row>
    <row r="224" spans="1:19">
      <c r="A224">
        <v>26</v>
      </c>
      <c r="B224" t="s">
        <v>158</v>
      </c>
      <c r="C224" t="s">
        <v>124</v>
      </c>
      <c r="D224" t="s">
        <v>159</v>
      </c>
      <c r="E224">
        <v>153020716</v>
      </c>
      <c r="F224" t="s">
        <v>385</v>
      </c>
      <c r="G224" t="s">
        <v>386</v>
      </c>
      <c r="H224" t="s">
        <v>113</v>
      </c>
      <c r="I224" t="s">
        <v>333</v>
      </c>
      <c r="J224">
        <v>4</v>
      </c>
      <c r="K224" s="5">
        <v>2608.5500000000002</v>
      </c>
      <c r="L224" s="5">
        <v>1860</v>
      </c>
      <c r="M224">
        <v>0.286960188</v>
      </c>
      <c r="N224" s="5">
        <v>748.55</v>
      </c>
      <c r="O224" s="5">
        <v>187.14</v>
      </c>
      <c r="P224">
        <v>0</v>
      </c>
      <c r="Q224" s="5">
        <v>0</v>
      </c>
      <c r="R224" s="5">
        <v>0</v>
      </c>
      <c r="S224" s="5">
        <v>465</v>
      </c>
    </row>
    <row r="225" spans="1:19">
      <c r="A225">
        <v>26</v>
      </c>
      <c r="B225" t="s">
        <v>158</v>
      </c>
      <c r="C225" t="s">
        <v>124</v>
      </c>
      <c r="D225" t="s">
        <v>159</v>
      </c>
      <c r="E225">
        <v>153020716</v>
      </c>
      <c r="F225" t="s">
        <v>385</v>
      </c>
      <c r="G225" t="s">
        <v>386</v>
      </c>
      <c r="H225" t="s">
        <v>113</v>
      </c>
      <c r="I225" t="s">
        <v>334</v>
      </c>
      <c r="J225">
        <v>0</v>
      </c>
      <c r="L225" s="5">
        <v>0</v>
      </c>
      <c r="M225">
        <v>0</v>
      </c>
      <c r="N225" s="5">
        <v>0</v>
      </c>
      <c r="O225" s="5">
        <v>0</v>
      </c>
      <c r="P225">
        <v>4</v>
      </c>
      <c r="Q225" s="5">
        <v>2480</v>
      </c>
      <c r="R225" s="5">
        <v>702.19</v>
      </c>
      <c r="S225" s="5">
        <v>620</v>
      </c>
    </row>
    <row r="226" spans="1:19">
      <c r="A226">
        <v>26</v>
      </c>
      <c r="B226" t="s">
        <v>158</v>
      </c>
      <c r="C226" t="s">
        <v>124</v>
      </c>
      <c r="D226" t="s">
        <v>159</v>
      </c>
      <c r="E226">
        <v>153020716</v>
      </c>
      <c r="F226" t="s">
        <v>385</v>
      </c>
      <c r="G226" t="s">
        <v>386</v>
      </c>
      <c r="H226" t="s">
        <v>113</v>
      </c>
      <c r="I226" t="s">
        <v>334</v>
      </c>
      <c r="J226">
        <v>4</v>
      </c>
      <c r="K226" s="5">
        <v>2592.12</v>
      </c>
      <c r="L226" s="5">
        <v>2000</v>
      </c>
      <c r="M226">
        <v>0.228430782</v>
      </c>
      <c r="N226" s="5">
        <v>592.12</v>
      </c>
      <c r="O226" s="5">
        <v>148.03</v>
      </c>
      <c r="P226">
        <v>0</v>
      </c>
      <c r="Q226" s="5">
        <v>0</v>
      </c>
      <c r="R226" s="5">
        <v>0</v>
      </c>
      <c r="S226" s="5">
        <v>500</v>
      </c>
    </row>
    <row r="227" spans="1:19">
      <c r="A227">
        <v>26</v>
      </c>
      <c r="B227" t="s">
        <v>158</v>
      </c>
      <c r="C227" t="s">
        <v>124</v>
      </c>
      <c r="D227" t="s">
        <v>159</v>
      </c>
      <c r="E227">
        <v>153020716</v>
      </c>
      <c r="F227" t="s">
        <v>385</v>
      </c>
      <c r="G227" t="s">
        <v>386</v>
      </c>
      <c r="H227" t="s">
        <v>113</v>
      </c>
      <c r="I227" t="s">
        <v>333</v>
      </c>
      <c r="J227">
        <v>4</v>
      </c>
      <c r="K227" s="5">
        <v>1951.93</v>
      </c>
      <c r="L227" s="5">
        <v>1860</v>
      </c>
      <c r="M227">
        <v>4.7096974999999999E-2</v>
      </c>
      <c r="N227" s="5">
        <v>91.93</v>
      </c>
      <c r="O227" s="5">
        <v>22.98</v>
      </c>
      <c r="P227">
        <v>0</v>
      </c>
      <c r="Q227" s="5">
        <v>0</v>
      </c>
      <c r="R227" s="5">
        <v>0</v>
      </c>
      <c r="S227" s="5">
        <v>465</v>
      </c>
    </row>
    <row r="228" spans="1:19">
      <c r="A228">
        <v>26</v>
      </c>
      <c r="B228" t="s">
        <v>158</v>
      </c>
      <c r="C228" t="s">
        <v>124</v>
      </c>
      <c r="D228" t="s">
        <v>159</v>
      </c>
      <c r="E228">
        <v>153020716</v>
      </c>
      <c r="F228" t="s">
        <v>385</v>
      </c>
      <c r="G228" t="s">
        <v>386</v>
      </c>
      <c r="H228" t="s">
        <v>113</v>
      </c>
      <c r="I228" t="s">
        <v>333</v>
      </c>
      <c r="J228">
        <v>0</v>
      </c>
      <c r="L228" s="5">
        <v>0</v>
      </c>
      <c r="M228">
        <v>0</v>
      </c>
      <c r="N228" s="5">
        <v>0</v>
      </c>
      <c r="O228" s="5">
        <v>0</v>
      </c>
      <c r="P228">
        <v>4</v>
      </c>
      <c r="Q228" s="5">
        <v>1860</v>
      </c>
      <c r="R228" s="5">
        <v>525.61</v>
      </c>
      <c r="S228" s="5">
        <v>465</v>
      </c>
    </row>
    <row r="229" spans="1:19">
      <c r="A229">
        <v>26</v>
      </c>
      <c r="B229" t="s">
        <v>158</v>
      </c>
      <c r="C229" t="s">
        <v>124</v>
      </c>
      <c r="D229" t="s">
        <v>159</v>
      </c>
      <c r="E229">
        <v>153020716</v>
      </c>
      <c r="F229" t="s">
        <v>385</v>
      </c>
      <c r="G229" t="s">
        <v>386</v>
      </c>
      <c r="H229" t="s">
        <v>113</v>
      </c>
      <c r="I229" t="s">
        <v>334</v>
      </c>
      <c r="J229">
        <v>0</v>
      </c>
      <c r="L229" s="5">
        <v>0</v>
      </c>
      <c r="M229">
        <v>0</v>
      </c>
      <c r="N229" s="5">
        <v>0</v>
      </c>
      <c r="O229" s="5">
        <v>0</v>
      </c>
      <c r="P229">
        <v>4</v>
      </c>
      <c r="Q229" s="5">
        <v>2480</v>
      </c>
      <c r="R229" s="5">
        <v>1007.49</v>
      </c>
      <c r="S229" s="5">
        <v>620</v>
      </c>
    </row>
    <row r="230" spans="1:19">
      <c r="A230">
        <v>26</v>
      </c>
      <c r="B230" t="s">
        <v>158</v>
      </c>
      <c r="C230" t="s">
        <v>124</v>
      </c>
      <c r="D230" t="s">
        <v>159</v>
      </c>
      <c r="E230">
        <v>153020716</v>
      </c>
      <c r="F230" t="s">
        <v>385</v>
      </c>
      <c r="G230" t="s">
        <v>386</v>
      </c>
      <c r="H230" t="s">
        <v>113</v>
      </c>
      <c r="I230" t="s">
        <v>334</v>
      </c>
      <c r="J230">
        <v>4</v>
      </c>
      <c r="K230" s="5">
        <v>3054.24</v>
      </c>
      <c r="L230" s="5">
        <v>2480</v>
      </c>
      <c r="M230">
        <v>0.18801403899999999</v>
      </c>
      <c r="N230" s="5">
        <v>574.24</v>
      </c>
      <c r="O230" s="5">
        <v>143.56</v>
      </c>
      <c r="P230">
        <v>0</v>
      </c>
      <c r="Q230" s="5">
        <v>0</v>
      </c>
      <c r="R230" s="5">
        <v>0</v>
      </c>
      <c r="S230" s="5">
        <v>620</v>
      </c>
    </row>
    <row r="231" spans="1:19">
      <c r="A231">
        <v>26</v>
      </c>
      <c r="B231" t="s">
        <v>158</v>
      </c>
      <c r="C231" t="s">
        <v>124</v>
      </c>
      <c r="D231" t="s">
        <v>159</v>
      </c>
      <c r="E231">
        <v>153020716</v>
      </c>
      <c r="F231" t="s">
        <v>385</v>
      </c>
      <c r="G231" t="s">
        <v>386</v>
      </c>
      <c r="H231" t="s">
        <v>113</v>
      </c>
      <c r="I231" t="s">
        <v>333</v>
      </c>
      <c r="J231">
        <v>0</v>
      </c>
      <c r="L231" s="5">
        <v>0</v>
      </c>
      <c r="M231">
        <v>0</v>
      </c>
      <c r="N231" s="5">
        <v>0</v>
      </c>
      <c r="O231" s="5">
        <v>0</v>
      </c>
      <c r="P231">
        <v>4</v>
      </c>
      <c r="Q231" s="5">
        <v>1860</v>
      </c>
      <c r="R231" s="5">
        <v>818.92</v>
      </c>
      <c r="S231" s="5">
        <v>465</v>
      </c>
    </row>
    <row r="232" spans="1:19">
      <c r="A232">
        <v>26</v>
      </c>
      <c r="B232" t="s">
        <v>158</v>
      </c>
      <c r="C232" t="s">
        <v>124</v>
      </c>
      <c r="D232" t="s">
        <v>159</v>
      </c>
      <c r="E232">
        <v>153020716</v>
      </c>
      <c r="F232" t="s">
        <v>385</v>
      </c>
      <c r="G232" t="s">
        <v>386</v>
      </c>
      <c r="H232" t="s">
        <v>113</v>
      </c>
      <c r="I232" t="s">
        <v>333</v>
      </c>
      <c r="J232">
        <v>0</v>
      </c>
      <c r="L232" s="5">
        <v>0</v>
      </c>
      <c r="M232">
        <v>0</v>
      </c>
      <c r="N232" s="5">
        <v>0</v>
      </c>
      <c r="O232" s="5">
        <v>0</v>
      </c>
      <c r="P232">
        <v>4</v>
      </c>
      <c r="Q232" s="5">
        <v>1860</v>
      </c>
      <c r="R232" s="5">
        <v>1123.0899999999999</v>
      </c>
      <c r="S232" s="5">
        <v>465</v>
      </c>
    </row>
    <row r="233" spans="1:19">
      <c r="A233">
        <v>26</v>
      </c>
      <c r="B233" t="s">
        <v>158</v>
      </c>
      <c r="C233" t="s">
        <v>124</v>
      </c>
      <c r="D233" t="s">
        <v>159</v>
      </c>
      <c r="E233">
        <v>153020716</v>
      </c>
      <c r="F233" t="s">
        <v>385</v>
      </c>
      <c r="G233" t="s">
        <v>386</v>
      </c>
      <c r="H233" t="s">
        <v>113</v>
      </c>
      <c r="I233" t="s">
        <v>333</v>
      </c>
      <c r="J233">
        <v>0</v>
      </c>
      <c r="L233" s="5">
        <v>0</v>
      </c>
      <c r="M233">
        <v>0</v>
      </c>
      <c r="N233" s="5">
        <v>0</v>
      </c>
      <c r="O233" s="5">
        <v>0</v>
      </c>
      <c r="P233">
        <v>4</v>
      </c>
      <c r="Q233" s="5">
        <v>1860</v>
      </c>
      <c r="R233" s="5">
        <v>1255.22</v>
      </c>
      <c r="S233" s="5">
        <v>465</v>
      </c>
    </row>
    <row r="234" spans="1:19">
      <c r="A234">
        <v>26</v>
      </c>
      <c r="B234" t="s">
        <v>158</v>
      </c>
      <c r="C234" t="s">
        <v>124</v>
      </c>
      <c r="D234" t="s">
        <v>159</v>
      </c>
      <c r="E234">
        <v>153020716</v>
      </c>
      <c r="F234" t="s">
        <v>385</v>
      </c>
      <c r="G234" t="s">
        <v>386</v>
      </c>
      <c r="H234" t="s">
        <v>113</v>
      </c>
      <c r="I234" t="s">
        <v>333</v>
      </c>
      <c r="J234">
        <v>0</v>
      </c>
      <c r="L234" s="5">
        <v>0</v>
      </c>
      <c r="M234">
        <v>0</v>
      </c>
      <c r="N234" s="5">
        <v>0</v>
      </c>
      <c r="O234" s="5">
        <v>0</v>
      </c>
      <c r="P234">
        <v>4</v>
      </c>
      <c r="Q234" s="5">
        <v>1860</v>
      </c>
      <c r="R234" s="5">
        <v>1057.03</v>
      </c>
      <c r="S234" s="5">
        <v>465</v>
      </c>
    </row>
    <row r="235" spans="1:19">
      <c r="A235">
        <v>26</v>
      </c>
      <c r="B235" t="s">
        <v>158</v>
      </c>
      <c r="C235" t="s">
        <v>124</v>
      </c>
      <c r="D235" t="s">
        <v>159</v>
      </c>
      <c r="E235">
        <v>153020716</v>
      </c>
      <c r="F235" t="s">
        <v>385</v>
      </c>
      <c r="G235" t="s">
        <v>386</v>
      </c>
      <c r="H235" t="s">
        <v>113</v>
      </c>
      <c r="I235" t="s">
        <v>334</v>
      </c>
      <c r="J235">
        <v>4</v>
      </c>
      <c r="K235" s="5">
        <v>3322.8</v>
      </c>
      <c r="L235" s="5">
        <v>2480</v>
      </c>
      <c r="M235">
        <v>0.25364150699999999</v>
      </c>
      <c r="N235" s="5">
        <v>842.8</v>
      </c>
      <c r="O235" s="5">
        <v>210.7</v>
      </c>
      <c r="P235">
        <v>0</v>
      </c>
      <c r="Q235" s="5">
        <v>0</v>
      </c>
      <c r="R235" s="5">
        <v>0</v>
      </c>
      <c r="S235" s="5">
        <v>620</v>
      </c>
    </row>
    <row r="236" spans="1:19">
      <c r="A236">
        <v>26</v>
      </c>
      <c r="B236" t="s">
        <v>158</v>
      </c>
      <c r="C236" t="s">
        <v>124</v>
      </c>
      <c r="D236" t="s">
        <v>159</v>
      </c>
      <c r="E236">
        <v>153020716</v>
      </c>
      <c r="F236" t="s">
        <v>385</v>
      </c>
      <c r="G236" t="s">
        <v>386</v>
      </c>
      <c r="H236" t="s">
        <v>113</v>
      </c>
      <c r="I236" t="s">
        <v>333</v>
      </c>
      <c r="J236">
        <v>0</v>
      </c>
      <c r="L236" s="5">
        <v>0</v>
      </c>
      <c r="M236">
        <v>0</v>
      </c>
      <c r="N236" s="5">
        <v>0</v>
      </c>
      <c r="O236" s="5">
        <v>0</v>
      </c>
      <c r="P236">
        <v>4</v>
      </c>
      <c r="Q236" s="5">
        <v>1860</v>
      </c>
      <c r="R236" s="5">
        <v>990.96</v>
      </c>
      <c r="S236" s="5">
        <v>465</v>
      </c>
    </row>
    <row r="237" spans="1:19">
      <c r="A237">
        <v>25</v>
      </c>
      <c r="B237" t="s">
        <v>124</v>
      </c>
      <c r="C237" t="s">
        <v>52</v>
      </c>
      <c r="D237" t="s">
        <v>53</v>
      </c>
      <c r="E237">
        <v>153020716</v>
      </c>
      <c r="F237" t="s">
        <v>387</v>
      </c>
      <c r="G237" t="s">
        <v>386</v>
      </c>
      <c r="H237" t="s">
        <v>79</v>
      </c>
      <c r="I237" t="s">
        <v>334</v>
      </c>
      <c r="J237">
        <v>0</v>
      </c>
      <c r="L237" s="5">
        <v>0</v>
      </c>
      <c r="M237">
        <v>0</v>
      </c>
      <c r="N237" s="5">
        <v>0</v>
      </c>
      <c r="O237" s="5">
        <v>0</v>
      </c>
      <c r="P237">
        <v>4</v>
      </c>
      <c r="Q237" s="5">
        <v>1800</v>
      </c>
      <c r="R237" s="5">
        <v>2113.12</v>
      </c>
      <c r="S237" s="5">
        <v>450</v>
      </c>
    </row>
    <row r="238" spans="1:19">
      <c r="A238">
        <v>25</v>
      </c>
      <c r="B238" t="s">
        <v>124</v>
      </c>
      <c r="C238" t="s">
        <v>52</v>
      </c>
      <c r="D238" t="s">
        <v>53</v>
      </c>
      <c r="E238">
        <v>153022626</v>
      </c>
      <c r="F238" t="s">
        <v>387</v>
      </c>
      <c r="G238" t="s">
        <v>386</v>
      </c>
      <c r="H238" t="s">
        <v>79</v>
      </c>
      <c r="I238" t="s">
        <v>333</v>
      </c>
      <c r="J238">
        <v>0</v>
      </c>
      <c r="L238" s="5">
        <v>0</v>
      </c>
      <c r="M238">
        <v>0</v>
      </c>
      <c r="N238" s="5">
        <v>0</v>
      </c>
      <c r="O238" s="5">
        <v>0</v>
      </c>
      <c r="P238">
        <v>4</v>
      </c>
      <c r="Q238" s="5">
        <v>1240</v>
      </c>
      <c r="R238" s="5">
        <v>2134.66</v>
      </c>
      <c r="S238" s="5">
        <v>310</v>
      </c>
    </row>
    <row r="239" spans="1:19">
      <c r="A239">
        <v>25</v>
      </c>
      <c r="B239" t="s">
        <v>124</v>
      </c>
      <c r="C239" t="s">
        <v>52</v>
      </c>
      <c r="D239" t="s">
        <v>53</v>
      </c>
      <c r="E239">
        <v>153022626</v>
      </c>
      <c r="F239" t="s">
        <v>387</v>
      </c>
      <c r="G239" t="s">
        <v>386</v>
      </c>
      <c r="H239" t="s">
        <v>79</v>
      </c>
      <c r="I239" t="s">
        <v>338</v>
      </c>
      <c r="J239">
        <v>0</v>
      </c>
      <c r="L239" s="5">
        <v>0</v>
      </c>
      <c r="M239">
        <v>0</v>
      </c>
      <c r="N239" s="5">
        <v>0</v>
      </c>
      <c r="O239" s="5">
        <v>0</v>
      </c>
      <c r="P239">
        <v>2</v>
      </c>
      <c r="Q239" s="5">
        <v>900</v>
      </c>
      <c r="R239" s="5">
        <v>966.42</v>
      </c>
      <c r="S239" s="5">
        <v>450</v>
      </c>
    </row>
    <row r="240" spans="1:19">
      <c r="A240">
        <v>25</v>
      </c>
      <c r="B240" t="s">
        <v>124</v>
      </c>
      <c r="C240" t="s">
        <v>52</v>
      </c>
      <c r="D240" t="s">
        <v>53</v>
      </c>
      <c r="E240">
        <v>153022626</v>
      </c>
      <c r="F240" t="s">
        <v>387</v>
      </c>
      <c r="G240" t="s">
        <v>386</v>
      </c>
      <c r="H240" t="s">
        <v>79</v>
      </c>
      <c r="I240" t="s">
        <v>338</v>
      </c>
      <c r="J240">
        <v>0</v>
      </c>
      <c r="L240" s="5">
        <v>0</v>
      </c>
      <c r="M240">
        <v>0</v>
      </c>
      <c r="N240" s="5">
        <v>0</v>
      </c>
      <c r="O240" s="5">
        <v>0</v>
      </c>
      <c r="P240">
        <v>3</v>
      </c>
      <c r="Q240" s="5">
        <v>1350</v>
      </c>
      <c r="R240" s="5">
        <v>1325.33</v>
      </c>
      <c r="S240" s="5">
        <v>450</v>
      </c>
    </row>
    <row r="241" spans="1:19">
      <c r="A241">
        <v>25</v>
      </c>
      <c r="B241" t="s">
        <v>124</v>
      </c>
      <c r="C241" t="s">
        <v>52</v>
      </c>
      <c r="D241" t="s">
        <v>53</v>
      </c>
      <c r="E241">
        <v>153022626</v>
      </c>
      <c r="F241" t="s">
        <v>387</v>
      </c>
      <c r="G241" t="s">
        <v>386</v>
      </c>
      <c r="H241" t="s">
        <v>79</v>
      </c>
      <c r="I241" t="s">
        <v>338</v>
      </c>
      <c r="J241">
        <v>0</v>
      </c>
      <c r="L241" s="5">
        <v>0</v>
      </c>
      <c r="M241">
        <v>0</v>
      </c>
      <c r="N241" s="5">
        <v>0</v>
      </c>
      <c r="O241" s="5">
        <v>0</v>
      </c>
      <c r="P241">
        <v>2</v>
      </c>
      <c r="Q241" s="5">
        <v>900</v>
      </c>
      <c r="R241" s="5">
        <v>588.84</v>
      </c>
      <c r="S241" s="5">
        <v>450</v>
      </c>
    </row>
    <row r="242" spans="1:19">
      <c r="A242">
        <v>25</v>
      </c>
      <c r="B242" t="s">
        <v>124</v>
      </c>
      <c r="C242" t="s">
        <v>52</v>
      </c>
      <c r="D242" t="s">
        <v>53</v>
      </c>
      <c r="E242">
        <v>153022626</v>
      </c>
      <c r="F242" t="s">
        <v>387</v>
      </c>
      <c r="G242" t="s">
        <v>386</v>
      </c>
      <c r="H242" t="s">
        <v>79</v>
      </c>
      <c r="I242" t="s">
        <v>343</v>
      </c>
      <c r="J242">
        <v>0</v>
      </c>
      <c r="L242" s="5">
        <v>0</v>
      </c>
      <c r="M242">
        <v>0</v>
      </c>
      <c r="N242" s="5">
        <v>0</v>
      </c>
      <c r="O242" s="5">
        <v>0</v>
      </c>
      <c r="P242">
        <v>3</v>
      </c>
      <c r="Q242" s="5">
        <v>1140</v>
      </c>
      <c r="R242" s="5">
        <v>1174.06</v>
      </c>
      <c r="S242" s="5">
        <v>380</v>
      </c>
    </row>
    <row r="243" spans="1:19">
      <c r="A243">
        <v>25</v>
      </c>
      <c r="B243" t="s">
        <v>124</v>
      </c>
      <c r="C243" t="s">
        <v>52</v>
      </c>
      <c r="D243" t="s">
        <v>53</v>
      </c>
      <c r="E243">
        <v>153022626</v>
      </c>
      <c r="F243" t="s">
        <v>387</v>
      </c>
      <c r="G243" t="s">
        <v>386</v>
      </c>
      <c r="H243" t="s">
        <v>79</v>
      </c>
      <c r="I243" t="s">
        <v>338</v>
      </c>
      <c r="J243">
        <v>0</v>
      </c>
      <c r="L243" s="5">
        <v>0</v>
      </c>
      <c r="M243">
        <v>0</v>
      </c>
      <c r="N243" s="5">
        <v>0</v>
      </c>
      <c r="O243" s="5">
        <v>0</v>
      </c>
      <c r="P243">
        <v>3</v>
      </c>
      <c r="Q243" s="5">
        <v>1140</v>
      </c>
      <c r="R243" s="5">
        <v>1144.5999999999999</v>
      </c>
      <c r="S243" s="5">
        <v>380</v>
      </c>
    </row>
    <row r="244" spans="1:19">
      <c r="A244">
        <v>25</v>
      </c>
      <c r="B244" t="s">
        <v>124</v>
      </c>
      <c r="C244" t="s">
        <v>52</v>
      </c>
      <c r="D244" t="s">
        <v>53</v>
      </c>
      <c r="E244">
        <v>153022626</v>
      </c>
      <c r="F244" t="s">
        <v>387</v>
      </c>
      <c r="G244" t="s">
        <v>386</v>
      </c>
      <c r="H244" t="s">
        <v>79</v>
      </c>
      <c r="I244" t="s">
        <v>343</v>
      </c>
      <c r="J244">
        <v>0</v>
      </c>
      <c r="L244" s="5">
        <v>0</v>
      </c>
      <c r="M244">
        <v>0</v>
      </c>
      <c r="N244" s="5">
        <v>0</v>
      </c>
      <c r="O244" s="5">
        <v>0</v>
      </c>
      <c r="P244">
        <v>3</v>
      </c>
      <c r="Q244" s="5">
        <v>1140</v>
      </c>
      <c r="R244" s="5">
        <v>1254.1099999999999</v>
      </c>
      <c r="S244" s="5">
        <v>380</v>
      </c>
    </row>
    <row r="245" spans="1:19">
      <c r="A245">
        <v>25</v>
      </c>
      <c r="B245" t="s">
        <v>124</v>
      </c>
      <c r="C245" t="s">
        <v>52</v>
      </c>
      <c r="D245" t="s">
        <v>53</v>
      </c>
      <c r="E245">
        <v>153022626</v>
      </c>
      <c r="F245" t="s">
        <v>387</v>
      </c>
      <c r="G245" t="s">
        <v>386</v>
      </c>
      <c r="H245" t="s">
        <v>79</v>
      </c>
      <c r="I245" t="s">
        <v>333</v>
      </c>
      <c r="J245">
        <v>4</v>
      </c>
      <c r="K245" s="5">
        <v>1799.52</v>
      </c>
      <c r="L245" s="5">
        <v>1240</v>
      </c>
      <c r="M245">
        <v>0.31092735799999999</v>
      </c>
      <c r="N245" s="5">
        <v>559.52</v>
      </c>
      <c r="O245" s="5">
        <v>139.88</v>
      </c>
      <c r="P245">
        <v>0</v>
      </c>
      <c r="Q245" s="5">
        <v>0</v>
      </c>
      <c r="R245" s="5">
        <v>0</v>
      </c>
      <c r="S245" s="5">
        <v>310</v>
      </c>
    </row>
    <row r="246" spans="1:19">
      <c r="A246">
        <v>25</v>
      </c>
      <c r="B246" t="s">
        <v>124</v>
      </c>
      <c r="C246" t="s">
        <v>52</v>
      </c>
      <c r="D246" t="s">
        <v>53</v>
      </c>
      <c r="E246">
        <v>153022626</v>
      </c>
      <c r="F246" t="s">
        <v>387</v>
      </c>
      <c r="G246" t="s">
        <v>386</v>
      </c>
      <c r="H246" t="s">
        <v>79</v>
      </c>
      <c r="I246" t="s">
        <v>343</v>
      </c>
      <c r="J246">
        <v>0</v>
      </c>
      <c r="L246" s="5">
        <v>0</v>
      </c>
      <c r="M246">
        <v>0</v>
      </c>
      <c r="N246" s="5">
        <v>0</v>
      </c>
      <c r="O246" s="5">
        <v>0</v>
      </c>
      <c r="P246">
        <v>4</v>
      </c>
      <c r="Q246" s="5">
        <v>1520</v>
      </c>
      <c r="R246" s="5">
        <v>2031.37</v>
      </c>
      <c r="S246" s="5">
        <v>380</v>
      </c>
    </row>
    <row r="247" spans="1:19">
      <c r="A247">
        <v>25</v>
      </c>
      <c r="B247" t="s">
        <v>124</v>
      </c>
      <c r="C247" t="s">
        <v>52</v>
      </c>
      <c r="D247" t="s">
        <v>53</v>
      </c>
      <c r="E247">
        <v>153022626</v>
      </c>
      <c r="F247" t="s">
        <v>387</v>
      </c>
      <c r="G247" t="s">
        <v>386</v>
      </c>
      <c r="H247" t="s">
        <v>79</v>
      </c>
      <c r="I247" t="s">
        <v>343</v>
      </c>
      <c r="J247">
        <v>0</v>
      </c>
      <c r="L247" s="5">
        <v>0</v>
      </c>
      <c r="M247">
        <v>0</v>
      </c>
      <c r="N247" s="5">
        <v>0</v>
      </c>
      <c r="O247" s="5">
        <v>0</v>
      </c>
      <c r="P247">
        <v>2</v>
      </c>
      <c r="Q247" s="5">
        <v>760</v>
      </c>
      <c r="R247" s="5">
        <v>1013.96</v>
      </c>
      <c r="S247" s="5">
        <v>380</v>
      </c>
    </row>
    <row r="248" spans="1:19">
      <c r="A248">
        <v>25</v>
      </c>
      <c r="B248" t="s">
        <v>124</v>
      </c>
      <c r="C248" t="s">
        <v>52</v>
      </c>
      <c r="D248" t="s">
        <v>53</v>
      </c>
      <c r="E248">
        <v>153022626</v>
      </c>
      <c r="F248" t="s">
        <v>387</v>
      </c>
      <c r="G248" t="s">
        <v>386</v>
      </c>
      <c r="H248" t="s">
        <v>79</v>
      </c>
      <c r="I248" t="s">
        <v>343</v>
      </c>
      <c r="J248">
        <v>0</v>
      </c>
      <c r="L248" s="5">
        <v>0</v>
      </c>
      <c r="M248">
        <v>0</v>
      </c>
      <c r="N248" s="5">
        <v>0</v>
      </c>
      <c r="O248" s="5">
        <v>0</v>
      </c>
      <c r="P248">
        <v>2</v>
      </c>
      <c r="Q248" s="5">
        <v>760</v>
      </c>
      <c r="R248" s="5">
        <v>933.91</v>
      </c>
      <c r="S248" s="5">
        <v>380</v>
      </c>
    </row>
    <row r="249" spans="1:19">
      <c r="A249">
        <v>25</v>
      </c>
      <c r="B249" t="s">
        <v>124</v>
      </c>
      <c r="C249" t="s">
        <v>52</v>
      </c>
      <c r="D249" t="s">
        <v>53</v>
      </c>
      <c r="E249">
        <v>153022626</v>
      </c>
      <c r="F249" t="s">
        <v>387</v>
      </c>
      <c r="G249" t="s">
        <v>386</v>
      </c>
      <c r="H249" t="s">
        <v>79</v>
      </c>
      <c r="I249" t="s">
        <v>334</v>
      </c>
      <c r="J249">
        <v>0</v>
      </c>
      <c r="L249" s="5">
        <v>0</v>
      </c>
      <c r="M249">
        <v>0</v>
      </c>
      <c r="N249" s="5">
        <v>0</v>
      </c>
      <c r="O249" s="5">
        <v>0</v>
      </c>
      <c r="P249">
        <v>4</v>
      </c>
      <c r="Q249" s="5">
        <v>1800</v>
      </c>
      <c r="R249" s="5">
        <v>1898.23</v>
      </c>
      <c r="S249" s="5">
        <v>450</v>
      </c>
    </row>
    <row r="250" spans="1:19">
      <c r="A250">
        <v>25</v>
      </c>
      <c r="B250" t="s">
        <v>124</v>
      </c>
      <c r="C250" t="s">
        <v>52</v>
      </c>
      <c r="D250" t="s">
        <v>53</v>
      </c>
      <c r="E250">
        <v>153022626</v>
      </c>
      <c r="F250" t="s">
        <v>387</v>
      </c>
      <c r="G250" t="s">
        <v>386</v>
      </c>
      <c r="H250" t="s">
        <v>79</v>
      </c>
      <c r="I250" t="s">
        <v>343</v>
      </c>
      <c r="J250">
        <v>0</v>
      </c>
      <c r="L250" s="5">
        <v>0</v>
      </c>
      <c r="M250">
        <v>0</v>
      </c>
      <c r="N250" s="5">
        <v>0</v>
      </c>
      <c r="O250" s="5">
        <v>0</v>
      </c>
      <c r="P250">
        <v>2</v>
      </c>
      <c r="Q250" s="5">
        <v>760</v>
      </c>
      <c r="R250" s="5">
        <v>376.11</v>
      </c>
      <c r="S250" s="5">
        <v>380</v>
      </c>
    </row>
    <row r="251" spans="1:19">
      <c r="A251">
        <v>25</v>
      </c>
      <c r="B251" t="s">
        <v>124</v>
      </c>
      <c r="C251" t="s">
        <v>52</v>
      </c>
      <c r="D251" t="s">
        <v>53</v>
      </c>
      <c r="E251">
        <v>153022626</v>
      </c>
      <c r="F251" t="s">
        <v>387</v>
      </c>
      <c r="G251" t="s">
        <v>386</v>
      </c>
      <c r="H251" t="s">
        <v>79</v>
      </c>
      <c r="I251" t="s">
        <v>338</v>
      </c>
      <c r="J251">
        <v>0</v>
      </c>
      <c r="L251" s="5">
        <v>0</v>
      </c>
      <c r="M251">
        <v>0</v>
      </c>
      <c r="N251" s="5">
        <v>0</v>
      </c>
      <c r="O251" s="5">
        <v>0</v>
      </c>
      <c r="P251">
        <v>2</v>
      </c>
      <c r="Q251" s="5">
        <v>900</v>
      </c>
      <c r="R251" s="5">
        <v>719.2</v>
      </c>
      <c r="S251" s="5">
        <v>450</v>
      </c>
    </row>
    <row r="252" spans="1:19">
      <c r="A252">
        <v>25</v>
      </c>
      <c r="B252" t="s">
        <v>124</v>
      </c>
      <c r="C252" t="s">
        <v>52</v>
      </c>
      <c r="D252" t="s">
        <v>53</v>
      </c>
      <c r="E252">
        <v>153022626</v>
      </c>
      <c r="F252" t="s">
        <v>387</v>
      </c>
      <c r="G252" t="s">
        <v>386</v>
      </c>
      <c r="H252" t="s">
        <v>79</v>
      </c>
      <c r="I252" t="s">
        <v>333</v>
      </c>
      <c r="J252">
        <v>4</v>
      </c>
      <c r="K252" s="5">
        <v>1799.76</v>
      </c>
      <c r="L252" s="5">
        <v>1240</v>
      </c>
      <c r="M252">
        <v>0.311019247</v>
      </c>
      <c r="N252" s="5">
        <v>559.76</v>
      </c>
      <c r="O252" s="5">
        <v>139.94</v>
      </c>
      <c r="P252">
        <v>0</v>
      </c>
      <c r="Q252" s="5">
        <v>0</v>
      </c>
      <c r="R252" s="5">
        <v>0</v>
      </c>
      <c r="S252" s="5">
        <v>310</v>
      </c>
    </row>
    <row r="253" spans="1:19">
      <c r="A253">
        <v>25</v>
      </c>
      <c r="B253" t="s">
        <v>124</v>
      </c>
      <c r="C253" t="s">
        <v>52</v>
      </c>
      <c r="D253" t="s">
        <v>53</v>
      </c>
      <c r="E253">
        <v>153022626</v>
      </c>
      <c r="F253" t="s">
        <v>387</v>
      </c>
      <c r="G253" t="s">
        <v>386</v>
      </c>
      <c r="H253" t="s">
        <v>79</v>
      </c>
      <c r="I253" t="s">
        <v>334</v>
      </c>
      <c r="J253">
        <v>0</v>
      </c>
      <c r="L253" s="5">
        <v>0</v>
      </c>
      <c r="M253">
        <v>0</v>
      </c>
      <c r="N253" s="5">
        <v>0</v>
      </c>
      <c r="O253" s="5">
        <v>0</v>
      </c>
      <c r="P253">
        <v>4</v>
      </c>
      <c r="Q253" s="5">
        <v>1800</v>
      </c>
      <c r="R253" s="5">
        <v>1790.78</v>
      </c>
      <c r="S253" s="5">
        <v>450</v>
      </c>
    </row>
    <row r="254" spans="1:19">
      <c r="A254">
        <v>25</v>
      </c>
      <c r="B254" t="s">
        <v>124</v>
      </c>
      <c r="C254" t="s">
        <v>52</v>
      </c>
      <c r="D254" t="s">
        <v>53</v>
      </c>
      <c r="E254">
        <v>153022626</v>
      </c>
      <c r="F254" t="s">
        <v>387</v>
      </c>
      <c r="G254" t="s">
        <v>386</v>
      </c>
      <c r="H254" t="s">
        <v>79</v>
      </c>
      <c r="I254" t="s">
        <v>343</v>
      </c>
      <c r="J254">
        <v>0</v>
      </c>
      <c r="L254" s="5">
        <v>0</v>
      </c>
      <c r="M254">
        <v>0</v>
      </c>
      <c r="N254" s="5">
        <v>0</v>
      </c>
      <c r="O254" s="5">
        <v>0</v>
      </c>
      <c r="P254">
        <v>3</v>
      </c>
      <c r="Q254" s="5">
        <v>1140</v>
      </c>
      <c r="R254" s="5">
        <v>1094.01</v>
      </c>
      <c r="S254" s="5">
        <v>380</v>
      </c>
    </row>
    <row r="255" spans="1:19">
      <c r="A255">
        <v>25</v>
      </c>
      <c r="B255" t="s">
        <v>124</v>
      </c>
      <c r="C255" t="s">
        <v>52</v>
      </c>
      <c r="D255" t="s">
        <v>53</v>
      </c>
      <c r="E255">
        <v>153022626</v>
      </c>
      <c r="F255" t="s">
        <v>387</v>
      </c>
      <c r="G255" t="s">
        <v>386</v>
      </c>
      <c r="H255" t="s">
        <v>79</v>
      </c>
      <c r="I255" t="s">
        <v>343</v>
      </c>
      <c r="J255">
        <v>0</v>
      </c>
      <c r="L255" s="5">
        <v>0</v>
      </c>
      <c r="M255">
        <v>0</v>
      </c>
      <c r="N255" s="5">
        <v>0</v>
      </c>
      <c r="O255" s="5">
        <v>0</v>
      </c>
      <c r="P255">
        <v>3</v>
      </c>
      <c r="Q255" s="5">
        <v>1140</v>
      </c>
      <c r="R255" s="5">
        <v>1334.15</v>
      </c>
      <c r="S255" s="5">
        <v>380</v>
      </c>
    </row>
    <row r="256" spans="1:19">
      <c r="A256">
        <v>25</v>
      </c>
      <c r="B256" t="s">
        <v>124</v>
      </c>
      <c r="C256" t="s">
        <v>52</v>
      </c>
      <c r="D256" t="s">
        <v>53</v>
      </c>
      <c r="E256">
        <v>153022626</v>
      </c>
      <c r="F256" t="s">
        <v>387</v>
      </c>
      <c r="G256" t="s">
        <v>386</v>
      </c>
      <c r="H256" t="s">
        <v>79</v>
      </c>
      <c r="I256" t="s">
        <v>333</v>
      </c>
      <c r="J256">
        <v>0</v>
      </c>
      <c r="L256" s="5">
        <v>0</v>
      </c>
      <c r="M256">
        <v>0</v>
      </c>
      <c r="N256" s="5">
        <v>0</v>
      </c>
      <c r="O256" s="5">
        <v>0</v>
      </c>
      <c r="P256">
        <v>4</v>
      </c>
      <c r="Q256" s="5">
        <v>1240</v>
      </c>
      <c r="R256" s="5">
        <v>1494.25</v>
      </c>
      <c r="S256" s="5">
        <v>310</v>
      </c>
    </row>
    <row r="257" spans="1:19">
      <c r="A257">
        <v>25</v>
      </c>
      <c r="B257" t="s">
        <v>124</v>
      </c>
      <c r="C257" t="s">
        <v>52</v>
      </c>
      <c r="D257" t="s">
        <v>53</v>
      </c>
      <c r="E257">
        <v>153022626</v>
      </c>
      <c r="F257" t="s">
        <v>387</v>
      </c>
      <c r="G257" t="s">
        <v>386</v>
      </c>
      <c r="H257" t="s">
        <v>79</v>
      </c>
      <c r="I257" t="s">
        <v>338</v>
      </c>
      <c r="J257">
        <v>0</v>
      </c>
      <c r="L257" s="5">
        <v>0</v>
      </c>
      <c r="M257">
        <v>0</v>
      </c>
      <c r="N257" s="5">
        <v>0</v>
      </c>
      <c r="O257" s="5">
        <v>0</v>
      </c>
      <c r="P257">
        <v>3</v>
      </c>
      <c r="Q257" s="5">
        <v>1350</v>
      </c>
      <c r="R257" s="5">
        <v>1234.97</v>
      </c>
      <c r="S257" s="5">
        <v>450</v>
      </c>
    </row>
    <row r="258" spans="1:19">
      <c r="A258">
        <v>25</v>
      </c>
      <c r="B258" t="s">
        <v>124</v>
      </c>
      <c r="C258" t="s">
        <v>52</v>
      </c>
      <c r="D258" t="s">
        <v>53</v>
      </c>
      <c r="E258">
        <v>153022626</v>
      </c>
      <c r="F258" t="s">
        <v>387</v>
      </c>
      <c r="G258" t="s">
        <v>386</v>
      </c>
      <c r="H258" t="s">
        <v>79</v>
      </c>
      <c r="I258" t="s">
        <v>338</v>
      </c>
      <c r="J258">
        <v>0</v>
      </c>
      <c r="L258" s="5">
        <v>0</v>
      </c>
      <c r="M258">
        <v>0</v>
      </c>
      <c r="N258" s="5">
        <v>0</v>
      </c>
      <c r="O258" s="5">
        <v>0</v>
      </c>
      <c r="P258">
        <v>2</v>
      </c>
      <c r="Q258" s="5">
        <v>900</v>
      </c>
      <c r="R258" s="5">
        <v>1033.8499999999999</v>
      </c>
      <c r="S258" s="5">
        <v>450</v>
      </c>
    </row>
    <row r="259" spans="1:19">
      <c r="A259">
        <v>25</v>
      </c>
      <c r="B259" t="s">
        <v>124</v>
      </c>
      <c r="C259" t="s">
        <v>52</v>
      </c>
      <c r="D259" t="s">
        <v>53</v>
      </c>
      <c r="E259">
        <v>153022626</v>
      </c>
      <c r="F259" t="s">
        <v>387</v>
      </c>
      <c r="G259" t="s">
        <v>386</v>
      </c>
      <c r="H259" t="s">
        <v>79</v>
      </c>
      <c r="I259" t="s">
        <v>334</v>
      </c>
      <c r="J259">
        <v>0</v>
      </c>
      <c r="L259" s="5">
        <v>0</v>
      </c>
      <c r="M259">
        <v>0</v>
      </c>
      <c r="N259" s="5">
        <v>0</v>
      </c>
      <c r="O259" s="5">
        <v>0</v>
      </c>
      <c r="P259">
        <v>4</v>
      </c>
      <c r="Q259" s="5">
        <v>1800</v>
      </c>
      <c r="R259" s="5">
        <v>1683.33</v>
      </c>
      <c r="S259" s="5">
        <v>450</v>
      </c>
    </row>
    <row r="260" spans="1:19">
      <c r="A260">
        <v>25</v>
      </c>
      <c r="B260" t="s">
        <v>124</v>
      </c>
      <c r="C260" t="s">
        <v>52</v>
      </c>
      <c r="D260" t="s">
        <v>53</v>
      </c>
      <c r="E260">
        <v>153022626</v>
      </c>
      <c r="F260" t="s">
        <v>387</v>
      </c>
      <c r="G260" t="s">
        <v>386</v>
      </c>
      <c r="H260" t="s">
        <v>79</v>
      </c>
      <c r="I260" t="s">
        <v>343</v>
      </c>
      <c r="J260">
        <v>0</v>
      </c>
      <c r="L260" s="5">
        <v>0</v>
      </c>
      <c r="M260">
        <v>0</v>
      </c>
      <c r="N260" s="5">
        <v>0</v>
      </c>
      <c r="O260" s="5">
        <v>0</v>
      </c>
      <c r="P260">
        <v>2</v>
      </c>
      <c r="Q260" s="5">
        <v>760</v>
      </c>
      <c r="R260" s="5">
        <v>853.86</v>
      </c>
      <c r="S260" s="5">
        <v>380</v>
      </c>
    </row>
    <row r="261" spans="1:19">
      <c r="A261">
        <v>25</v>
      </c>
      <c r="B261" t="s">
        <v>124</v>
      </c>
      <c r="C261" t="s">
        <v>52</v>
      </c>
      <c r="D261" t="s">
        <v>53</v>
      </c>
      <c r="E261">
        <v>153022626</v>
      </c>
      <c r="F261" t="s">
        <v>387</v>
      </c>
      <c r="G261" t="s">
        <v>386</v>
      </c>
      <c r="H261" t="s">
        <v>79</v>
      </c>
      <c r="I261" t="s">
        <v>338</v>
      </c>
      <c r="J261">
        <v>0</v>
      </c>
      <c r="L261" s="5">
        <v>0</v>
      </c>
      <c r="M261">
        <v>0</v>
      </c>
      <c r="N261" s="5">
        <v>0</v>
      </c>
      <c r="O261" s="5">
        <v>0</v>
      </c>
      <c r="P261">
        <v>2</v>
      </c>
      <c r="Q261" s="5">
        <v>900</v>
      </c>
      <c r="R261" s="5">
        <v>454</v>
      </c>
      <c r="S261" s="5">
        <v>450</v>
      </c>
    </row>
    <row r="262" spans="1:19">
      <c r="A262">
        <v>25</v>
      </c>
      <c r="B262" t="s">
        <v>124</v>
      </c>
      <c r="C262" t="s">
        <v>52</v>
      </c>
      <c r="D262" t="s">
        <v>53</v>
      </c>
      <c r="E262">
        <v>153022626</v>
      </c>
      <c r="F262" t="s">
        <v>387</v>
      </c>
      <c r="G262" t="s">
        <v>386</v>
      </c>
      <c r="H262" t="s">
        <v>79</v>
      </c>
      <c r="I262" t="s">
        <v>338</v>
      </c>
      <c r="J262">
        <v>0</v>
      </c>
      <c r="L262" s="5">
        <v>0</v>
      </c>
      <c r="M262">
        <v>0</v>
      </c>
      <c r="N262" s="5">
        <v>0</v>
      </c>
      <c r="O262" s="5">
        <v>0</v>
      </c>
      <c r="P262">
        <v>2</v>
      </c>
      <c r="Q262" s="5">
        <v>900</v>
      </c>
      <c r="R262" s="5">
        <v>521.41999999999996</v>
      </c>
      <c r="S262" s="5">
        <v>450</v>
      </c>
    </row>
    <row r="263" spans="1:19">
      <c r="A263">
        <v>25</v>
      </c>
      <c r="B263" t="s">
        <v>124</v>
      </c>
      <c r="C263" t="s">
        <v>52</v>
      </c>
      <c r="D263" t="s">
        <v>53</v>
      </c>
      <c r="E263">
        <v>153022626</v>
      </c>
      <c r="F263" t="s">
        <v>387</v>
      </c>
      <c r="G263" t="s">
        <v>386</v>
      </c>
      <c r="H263" t="s">
        <v>79</v>
      </c>
      <c r="I263" t="s">
        <v>333</v>
      </c>
      <c r="J263">
        <v>4</v>
      </c>
      <c r="K263" s="5">
        <v>1805.26</v>
      </c>
      <c r="L263" s="5">
        <v>1240</v>
      </c>
      <c r="M263">
        <v>0.31311833100000003</v>
      </c>
      <c r="N263" s="5">
        <v>565.26</v>
      </c>
      <c r="O263" s="5">
        <v>141.32</v>
      </c>
      <c r="P263">
        <v>0</v>
      </c>
      <c r="Q263" s="5">
        <v>0</v>
      </c>
      <c r="R263" s="5">
        <v>0</v>
      </c>
      <c r="S263" s="5">
        <v>310</v>
      </c>
    </row>
    <row r="264" spans="1:19">
      <c r="A264">
        <v>25</v>
      </c>
      <c r="B264" t="s">
        <v>124</v>
      </c>
      <c r="C264" t="s">
        <v>52</v>
      </c>
      <c r="D264" t="s">
        <v>53</v>
      </c>
      <c r="E264">
        <v>153022626</v>
      </c>
      <c r="F264" t="s">
        <v>387</v>
      </c>
      <c r="G264" t="s">
        <v>386</v>
      </c>
      <c r="H264" t="s">
        <v>79</v>
      </c>
      <c r="I264" t="s">
        <v>334</v>
      </c>
      <c r="J264">
        <v>0</v>
      </c>
      <c r="L264" s="5">
        <v>0</v>
      </c>
      <c r="M264">
        <v>0</v>
      </c>
      <c r="N264" s="5">
        <v>0</v>
      </c>
      <c r="O264" s="5">
        <v>0</v>
      </c>
      <c r="P264">
        <v>4</v>
      </c>
      <c r="Q264" s="5">
        <v>1800</v>
      </c>
      <c r="R264" s="5">
        <v>2005.67</v>
      </c>
      <c r="S264" s="5">
        <v>450</v>
      </c>
    </row>
    <row r="265" spans="1:19">
      <c r="A265">
        <v>25</v>
      </c>
      <c r="B265" t="s">
        <v>124</v>
      </c>
      <c r="C265" t="s">
        <v>52</v>
      </c>
      <c r="D265" t="s">
        <v>53</v>
      </c>
      <c r="E265">
        <v>153022626</v>
      </c>
      <c r="F265" t="s">
        <v>387</v>
      </c>
      <c r="G265" t="s">
        <v>386</v>
      </c>
      <c r="H265" t="s">
        <v>79</v>
      </c>
      <c r="I265" t="s">
        <v>343</v>
      </c>
      <c r="J265">
        <v>0</v>
      </c>
      <c r="L265" s="5">
        <v>0</v>
      </c>
      <c r="M265">
        <v>0</v>
      </c>
      <c r="N265" s="5">
        <v>0</v>
      </c>
      <c r="O265" s="5">
        <v>0</v>
      </c>
      <c r="P265">
        <v>2</v>
      </c>
      <c r="Q265" s="5">
        <v>760</v>
      </c>
      <c r="R265" s="5">
        <v>432.53</v>
      </c>
      <c r="S265" s="5">
        <v>380</v>
      </c>
    </row>
    <row r="266" spans="1:19">
      <c r="A266">
        <v>25</v>
      </c>
      <c r="B266" t="s">
        <v>124</v>
      </c>
      <c r="C266" t="s">
        <v>52</v>
      </c>
      <c r="D266" t="s">
        <v>53</v>
      </c>
      <c r="E266">
        <v>153022626</v>
      </c>
      <c r="F266" t="s">
        <v>387</v>
      </c>
      <c r="G266" t="s">
        <v>386</v>
      </c>
      <c r="H266" t="s">
        <v>79</v>
      </c>
      <c r="I266" t="s">
        <v>343</v>
      </c>
      <c r="J266">
        <v>0</v>
      </c>
      <c r="L266" s="5">
        <v>0</v>
      </c>
      <c r="M266">
        <v>0</v>
      </c>
      <c r="N266" s="5">
        <v>0</v>
      </c>
      <c r="O266" s="5">
        <v>0</v>
      </c>
      <c r="P266">
        <v>2</v>
      </c>
      <c r="Q266" s="5">
        <v>760</v>
      </c>
      <c r="R266" s="5">
        <v>535.51</v>
      </c>
      <c r="S266" s="5">
        <v>380</v>
      </c>
    </row>
    <row r="267" spans="1:19">
      <c r="A267">
        <v>25</v>
      </c>
      <c r="B267" t="s">
        <v>124</v>
      </c>
      <c r="C267" t="s">
        <v>52</v>
      </c>
      <c r="D267" t="s">
        <v>53</v>
      </c>
      <c r="E267">
        <v>153022626</v>
      </c>
      <c r="F267" t="s">
        <v>387</v>
      </c>
      <c r="G267" t="s">
        <v>386</v>
      </c>
      <c r="H267" t="s">
        <v>79</v>
      </c>
      <c r="I267" t="s">
        <v>343</v>
      </c>
      <c r="J267">
        <v>0</v>
      </c>
      <c r="L267" s="5">
        <v>0</v>
      </c>
      <c r="M267">
        <v>0</v>
      </c>
      <c r="N267" s="5">
        <v>0</v>
      </c>
      <c r="O267" s="5">
        <v>0</v>
      </c>
      <c r="P267">
        <v>2</v>
      </c>
      <c r="Q267" s="5">
        <v>760</v>
      </c>
      <c r="R267" s="5">
        <v>597.29999999999995</v>
      </c>
      <c r="S267" s="5">
        <v>380</v>
      </c>
    </row>
    <row r="268" spans="1:19">
      <c r="A268">
        <v>25</v>
      </c>
      <c r="B268" t="s">
        <v>124</v>
      </c>
      <c r="C268" t="s">
        <v>52</v>
      </c>
      <c r="D268" t="s">
        <v>53</v>
      </c>
      <c r="E268">
        <v>153022626</v>
      </c>
      <c r="F268" t="s">
        <v>387</v>
      </c>
      <c r="G268" t="s">
        <v>386</v>
      </c>
      <c r="H268" t="s">
        <v>79</v>
      </c>
      <c r="I268" t="s">
        <v>333</v>
      </c>
      <c r="J268">
        <v>0</v>
      </c>
      <c r="L268" s="5">
        <v>0</v>
      </c>
      <c r="M268">
        <v>0</v>
      </c>
      <c r="N268" s="5">
        <v>0</v>
      </c>
      <c r="O268" s="5">
        <v>0</v>
      </c>
      <c r="P268">
        <v>4</v>
      </c>
      <c r="Q268" s="5">
        <v>1240</v>
      </c>
      <c r="R268" s="5">
        <v>2237.9499999999998</v>
      </c>
      <c r="S268" s="5">
        <v>310</v>
      </c>
    </row>
    <row r="269" spans="1:19">
      <c r="A269">
        <v>25</v>
      </c>
      <c r="B269" t="s">
        <v>124</v>
      </c>
      <c r="C269" t="s">
        <v>52</v>
      </c>
      <c r="D269" t="s">
        <v>53</v>
      </c>
      <c r="E269">
        <v>153022626</v>
      </c>
      <c r="F269" t="s">
        <v>387</v>
      </c>
      <c r="G269" t="s">
        <v>386</v>
      </c>
      <c r="H269" t="s">
        <v>79</v>
      </c>
      <c r="I269" t="s">
        <v>333</v>
      </c>
      <c r="J269">
        <v>0</v>
      </c>
      <c r="L269" s="5">
        <v>0</v>
      </c>
      <c r="M269">
        <v>0</v>
      </c>
      <c r="N269" s="5">
        <v>0</v>
      </c>
      <c r="O269" s="5">
        <v>0</v>
      </c>
      <c r="P269">
        <v>4</v>
      </c>
      <c r="Q269" s="5">
        <v>1520</v>
      </c>
      <c r="R269" s="5">
        <v>1133.97</v>
      </c>
      <c r="S269" s="5">
        <v>380</v>
      </c>
    </row>
    <row r="270" spans="1:19">
      <c r="A270">
        <v>32</v>
      </c>
      <c r="B270" t="s">
        <v>180</v>
      </c>
      <c r="C270" t="s">
        <v>181</v>
      </c>
      <c r="D270" t="s">
        <v>178</v>
      </c>
      <c r="E270">
        <v>153022626</v>
      </c>
      <c r="F270" t="s">
        <v>388</v>
      </c>
      <c r="G270" t="s">
        <v>389</v>
      </c>
      <c r="H270" t="s">
        <v>365</v>
      </c>
      <c r="I270" t="s">
        <v>337</v>
      </c>
      <c r="J270">
        <v>4</v>
      </c>
      <c r="K270" s="5">
        <v>3673.82</v>
      </c>
      <c r="L270" s="5">
        <v>880</v>
      </c>
      <c r="M270">
        <v>0.76046730600000001</v>
      </c>
      <c r="N270" s="5">
        <v>2793.82</v>
      </c>
      <c r="O270" s="5">
        <v>698.46</v>
      </c>
      <c r="P270">
        <v>0</v>
      </c>
      <c r="Q270" s="5">
        <v>0</v>
      </c>
      <c r="R270" s="5">
        <v>0</v>
      </c>
      <c r="S270" s="5">
        <v>220</v>
      </c>
    </row>
    <row r="271" spans="1:19">
      <c r="A271">
        <v>32</v>
      </c>
      <c r="B271" t="s">
        <v>180</v>
      </c>
      <c r="C271" t="s">
        <v>181</v>
      </c>
      <c r="D271" t="s">
        <v>178</v>
      </c>
      <c r="E271">
        <v>153020544</v>
      </c>
      <c r="F271" t="s">
        <v>388</v>
      </c>
      <c r="G271" t="s">
        <v>389</v>
      </c>
      <c r="H271" t="s">
        <v>365</v>
      </c>
      <c r="I271" t="s">
        <v>333</v>
      </c>
      <c r="J271">
        <v>0</v>
      </c>
      <c r="L271" s="5">
        <v>0</v>
      </c>
      <c r="M271">
        <v>0</v>
      </c>
      <c r="N271" s="5">
        <v>0</v>
      </c>
      <c r="O271" s="5">
        <v>0</v>
      </c>
      <c r="P271">
        <v>4</v>
      </c>
      <c r="Q271" s="5">
        <v>1880</v>
      </c>
      <c r="R271" s="5">
        <v>2657.65</v>
      </c>
      <c r="S271" s="5">
        <v>470</v>
      </c>
    </row>
    <row r="272" spans="1:19">
      <c r="A272">
        <v>30</v>
      </c>
      <c r="B272" t="s">
        <v>174</v>
      </c>
      <c r="C272" t="s">
        <v>175</v>
      </c>
      <c r="D272" t="s">
        <v>169</v>
      </c>
      <c r="E272">
        <v>153020544</v>
      </c>
      <c r="F272" t="s">
        <v>390</v>
      </c>
      <c r="G272" t="s">
        <v>391</v>
      </c>
      <c r="H272" t="s">
        <v>127</v>
      </c>
      <c r="I272" t="s">
        <v>333</v>
      </c>
      <c r="J272">
        <v>4</v>
      </c>
      <c r="K272" s="5">
        <v>4276.12</v>
      </c>
      <c r="L272" s="5">
        <v>1240</v>
      </c>
      <c r="M272">
        <v>0.71001749199999997</v>
      </c>
      <c r="N272" s="5">
        <v>3036.12</v>
      </c>
      <c r="O272" s="5">
        <v>759.03</v>
      </c>
      <c r="P272">
        <v>0</v>
      </c>
      <c r="Q272" s="5">
        <v>0</v>
      </c>
      <c r="R272" s="5">
        <v>0</v>
      </c>
      <c r="S272" s="5">
        <v>310</v>
      </c>
    </row>
    <row r="273" spans="1:19">
      <c r="A273">
        <v>30</v>
      </c>
      <c r="B273" t="s">
        <v>174</v>
      </c>
      <c r="C273" t="s">
        <v>175</v>
      </c>
      <c r="D273" t="s">
        <v>169</v>
      </c>
      <c r="E273">
        <v>153022637</v>
      </c>
      <c r="F273" t="s">
        <v>390</v>
      </c>
      <c r="G273" t="s">
        <v>391</v>
      </c>
      <c r="H273" t="s">
        <v>127</v>
      </c>
      <c r="I273" t="s">
        <v>333</v>
      </c>
      <c r="J273">
        <v>4</v>
      </c>
      <c r="K273" s="5">
        <v>3036.04</v>
      </c>
      <c r="L273" s="5">
        <v>1240</v>
      </c>
      <c r="M273">
        <v>0.59157323299999998</v>
      </c>
      <c r="N273" s="5">
        <v>1796.04</v>
      </c>
      <c r="O273" s="5">
        <v>449.01</v>
      </c>
      <c r="P273">
        <v>0</v>
      </c>
      <c r="Q273" s="5">
        <v>0</v>
      </c>
      <c r="R273" s="5">
        <v>0</v>
      </c>
      <c r="S273" s="5">
        <v>310</v>
      </c>
    </row>
    <row r="274" spans="1:19">
      <c r="A274">
        <v>30</v>
      </c>
      <c r="B274" t="s">
        <v>174</v>
      </c>
      <c r="C274" t="s">
        <v>175</v>
      </c>
      <c r="D274" t="s">
        <v>169</v>
      </c>
      <c r="E274">
        <v>153022637</v>
      </c>
      <c r="F274" t="s">
        <v>390</v>
      </c>
      <c r="G274" t="s">
        <v>391</v>
      </c>
      <c r="H274" t="s">
        <v>127</v>
      </c>
      <c r="I274" t="s">
        <v>333</v>
      </c>
      <c r="J274">
        <v>4</v>
      </c>
      <c r="K274" s="5">
        <v>3184.65</v>
      </c>
      <c r="L274" s="5">
        <v>1240</v>
      </c>
      <c r="M274">
        <v>0.61063225099999996</v>
      </c>
      <c r="N274" s="5">
        <v>1944.65</v>
      </c>
      <c r="O274" s="5">
        <v>486.16</v>
      </c>
      <c r="P274">
        <v>0</v>
      </c>
      <c r="Q274" s="5">
        <v>0</v>
      </c>
      <c r="R274" s="5">
        <v>0</v>
      </c>
      <c r="S274" s="5">
        <v>310</v>
      </c>
    </row>
    <row r="275" spans="1:19">
      <c r="A275">
        <v>30</v>
      </c>
      <c r="B275" t="s">
        <v>174</v>
      </c>
      <c r="C275" t="s">
        <v>175</v>
      </c>
      <c r="D275" t="s">
        <v>169</v>
      </c>
      <c r="E275">
        <v>153022637</v>
      </c>
      <c r="F275" t="s">
        <v>390</v>
      </c>
      <c r="G275" t="s">
        <v>391</v>
      </c>
      <c r="H275" t="s">
        <v>127</v>
      </c>
      <c r="I275" t="s">
        <v>333</v>
      </c>
      <c r="J275">
        <v>4</v>
      </c>
      <c r="K275" s="5">
        <v>2994.02</v>
      </c>
      <c r="L275" s="5">
        <v>1240</v>
      </c>
      <c r="M275">
        <v>0.58584110899999997</v>
      </c>
      <c r="N275" s="5">
        <v>1754.02</v>
      </c>
      <c r="O275" s="5">
        <v>438.5</v>
      </c>
      <c r="P275">
        <v>0</v>
      </c>
      <c r="Q275" s="5">
        <v>0</v>
      </c>
      <c r="R275" s="5">
        <v>0</v>
      </c>
      <c r="S275" s="5">
        <v>310</v>
      </c>
    </row>
    <row r="276" spans="1:19">
      <c r="A276">
        <v>30</v>
      </c>
      <c r="B276" t="s">
        <v>174</v>
      </c>
      <c r="C276" t="s">
        <v>175</v>
      </c>
      <c r="D276" t="s">
        <v>169</v>
      </c>
      <c r="E276">
        <v>153022637</v>
      </c>
      <c r="F276" t="s">
        <v>390</v>
      </c>
      <c r="G276" t="s">
        <v>391</v>
      </c>
      <c r="H276" t="s">
        <v>127</v>
      </c>
      <c r="I276" t="s">
        <v>333</v>
      </c>
      <c r="J276">
        <v>0</v>
      </c>
      <c r="L276" s="5">
        <v>0</v>
      </c>
      <c r="M276">
        <v>0</v>
      </c>
      <c r="N276" s="5">
        <v>0</v>
      </c>
      <c r="O276" s="5">
        <v>0</v>
      </c>
      <c r="P276">
        <v>4</v>
      </c>
      <c r="Q276" s="5">
        <v>1240</v>
      </c>
      <c r="R276" s="5">
        <v>1429.81</v>
      </c>
      <c r="S276" s="5">
        <v>310</v>
      </c>
    </row>
    <row r="277" spans="1:19">
      <c r="A277">
        <v>30</v>
      </c>
      <c r="B277" t="s">
        <v>174</v>
      </c>
      <c r="C277" t="s">
        <v>175</v>
      </c>
      <c r="D277" t="s">
        <v>169</v>
      </c>
      <c r="E277">
        <v>153022637</v>
      </c>
      <c r="F277" t="s">
        <v>390</v>
      </c>
      <c r="G277" t="s">
        <v>391</v>
      </c>
      <c r="H277" t="s">
        <v>127</v>
      </c>
      <c r="I277" t="s">
        <v>333</v>
      </c>
      <c r="J277">
        <v>4</v>
      </c>
      <c r="K277" s="5">
        <v>3983.56</v>
      </c>
      <c r="L277" s="5">
        <v>1240</v>
      </c>
      <c r="M277">
        <v>0.68872064099999997</v>
      </c>
      <c r="N277" s="5">
        <v>2743.56</v>
      </c>
      <c r="O277" s="5">
        <v>685.89</v>
      </c>
      <c r="P277">
        <v>0</v>
      </c>
      <c r="Q277" s="5">
        <v>0</v>
      </c>
      <c r="R277" s="5">
        <v>0</v>
      </c>
      <c r="S277" s="5">
        <v>310</v>
      </c>
    </row>
    <row r="278" spans="1:19">
      <c r="A278">
        <v>30</v>
      </c>
      <c r="B278" t="s">
        <v>174</v>
      </c>
      <c r="C278" t="s">
        <v>175</v>
      </c>
      <c r="D278" t="s">
        <v>169</v>
      </c>
      <c r="E278">
        <v>153022637</v>
      </c>
      <c r="F278" t="s">
        <v>390</v>
      </c>
      <c r="G278" t="s">
        <v>391</v>
      </c>
      <c r="H278" t="s">
        <v>127</v>
      </c>
      <c r="I278" t="s">
        <v>333</v>
      </c>
      <c r="J278">
        <v>0</v>
      </c>
      <c r="L278" s="5">
        <v>0</v>
      </c>
      <c r="M278">
        <v>0</v>
      </c>
      <c r="N278" s="5">
        <v>0</v>
      </c>
      <c r="O278" s="5">
        <v>0</v>
      </c>
      <c r="P278">
        <v>4</v>
      </c>
      <c r="Q278" s="5">
        <v>1240</v>
      </c>
      <c r="R278" s="5">
        <v>1646.7</v>
      </c>
      <c r="S278" s="5">
        <v>310</v>
      </c>
    </row>
    <row r="279" spans="1:19">
      <c r="A279">
        <v>30</v>
      </c>
      <c r="B279" t="s">
        <v>174</v>
      </c>
      <c r="C279" t="s">
        <v>175</v>
      </c>
      <c r="D279" t="s">
        <v>169</v>
      </c>
      <c r="E279">
        <v>153022637</v>
      </c>
      <c r="F279" t="s">
        <v>390</v>
      </c>
      <c r="G279" t="s">
        <v>391</v>
      </c>
      <c r="H279" t="s">
        <v>127</v>
      </c>
      <c r="I279" t="s">
        <v>333</v>
      </c>
      <c r="J279">
        <v>4</v>
      </c>
      <c r="K279" s="5">
        <v>2611.56</v>
      </c>
      <c r="L279" s="5">
        <v>1240</v>
      </c>
      <c r="M279">
        <v>0.52518801000000004</v>
      </c>
      <c r="N279" s="5">
        <v>1371.56</v>
      </c>
      <c r="O279" s="5">
        <v>342.89</v>
      </c>
      <c r="P279">
        <v>0</v>
      </c>
      <c r="Q279" s="5">
        <v>0</v>
      </c>
      <c r="R279" s="5">
        <v>0</v>
      </c>
      <c r="S279" s="5">
        <v>310</v>
      </c>
    </row>
    <row r="280" spans="1:19">
      <c r="A280">
        <v>30</v>
      </c>
      <c r="B280" t="s">
        <v>174</v>
      </c>
      <c r="C280" t="s">
        <v>175</v>
      </c>
      <c r="D280" t="s">
        <v>169</v>
      </c>
      <c r="E280">
        <v>153022637</v>
      </c>
      <c r="F280" t="s">
        <v>390</v>
      </c>
      <c r="G280" t="s">
        <v>391</v>
      </c>
      <c r="H280" t="s">
        <v>127</v>
      </c>
      <c r="I280" t="s">
        <v>333</v>
      </c>
      <c r="J280">
        <v>0</v>
      </c>
      <c r="L280" s="5">
        <v>0</v>
      </c>
      <c r="M280">
        <v>0</v>
      </c>
      <c r="N280" s="5">
        <v>0</v>
      </c>
      <c r="O280" s="5">
        <v>0</v>
      </c>
      <c r="P280">
        <v>4</v>
      </c>
      <c r="Q280" s="5">
        <v>1240</v>
      </c>
      <c r="R280" s="5">
        <v>1299.74</v>
      </c>
      <c r="S280" s="5">
        <v>310</v>
      </c>
    </row>
    <row r="281" spans="1:19">
      <c r="A281">
        <v>30</v>
      </c>
      <c r="B281" t="s">
        <v>174</v>
      </c>
      <c r="C281" t="s">
        <v>175</v>
      </c>
      <c r="D281" t="s">
        <v>169</v>
      </c>
      <c r="E281">
        <v>153022637</v>
      </c>
      <c r="F281" t="s">
        <v>390</v>
      </c>
      <c r="G281" t="s">
        <v>391</v>
      </c>
      <c r="H281" t="s">
        <v>127</v>
      </c>
      <c r="I281" t="s">
        <v>334</v>
      </c>
      <c r="J281">
        <v>4</v>
      </c>
      <c r="K281" s="5">
        <v>3935.12</v>
      </c>
      <c r="L281" s="5">
        <v>1640</v>
      </c>
      <c r="M281">
        <v>0.58324015500000004</v>
      </c>
      <c r="N281" s="5">
        <v>2295.12</v>
      </c>
      <c r="O281" s="5">
        <v>573.78</v>
      </c>
      <c r="P281">
        <v>0</v>
      </c>
      <c r="Q281" s="5">
        <v>0</v>
      </c>
      <c r="R281" s="5">
        <v>0</v>
      </c>
      <c r="S281" s="5">
        <v>410</v>
      </c>
    </row>
    <row r="282" spans="1:19">
      <c r="A282">
        <v>30</v>
      </c>
      <c r="B282" t="s">
        <v>174</v>
      </c>
      <c r="C282" t="s">
        <v>175</v>
      </c>
      <c r="D282" t="s">
        <v>169</v>
      </c>
      <c r="E282">
        <v>153022637</v>
      </c>
      <c r="F282" t="s">
        <v>390</v>
      </c>
      <c r="G282" t="s">
        <v>391</v>
      </c>
      <c r="H282" t="s">
        <v>127</v>
      </c>
      <c r="I282" t="s">
        <v>333</v>
      </c>
      <c r="J282">
        <v>4</v>
      </c>
      <c r="K282" s="5">
        <v>2758.97</v>
      </c>
      <c r="L282" s="5">
        <v>1240</v>
      </c>
      <c r="M282">
        <v>0.55055690999999995</v>
      </c>
      <c r="N282" s="5">
        <v>1518.97</v>
      </c>
      <c r="O282" s="5">
        <v>379.74</v>
      </c>
      <c r="P282">
        <v>0</v>
      </c>
      <c r="Q282" s="5">
        <v>0</v>
      </c>
      <c r="R282" s="5">
        <v>0</v>
      </c>
      <c r="S282" s="5">
        <v>310</v>
      </c>
    </row>
    <row r="283" spans="1:19">
      <c r="A283">
        <v>29</v>
      </c>
      <c r="B283" t="s">
        <v>167</v>
      </c>
      <c r="C283" t="s">
        <v>168</v>
      </c>
      <c r="D283" t="s">
        <v>169</v>
      </c>
      <c r="E283">
        <v>153022637</v>
      </c>
      <c r="F283" t="s">
        <v>392</v>
      </c>
      <c r="G283" t="s">
        <v>393</v>
      </c>
      <c r="H283" t="s">
        <v>171</v>
      </c>
      <c r="I283" t="s">
        <v>334</v>
      </c>
      <c r="J283">
        <v>3</v>
      </c>
      <c r="K283" s="5">
        <v>3468.49</v>
      </c>
      <c r="L283" s="5">
        <v>1335</v>
      </c>
      <c r="M283">
        <v>0.61510628499999997</v>
      </c>
      <c r="N283" s="5">
        <v>2133.4899999999998</v>
      </c>
      <c r="O283" s="5">
        <v>711.16</v>
      </c>
      <c r="P283">
        <v>0</v>
      </c>
      <c r="Q283" s="5">
        <v>0</v>
      </c>
      <c r="R283" s="5">
        <v>0</v>
      </c>
      <c r="S283" s="5">
        <v>445</v>
      </c>
    </row>
    <row r="284" spans="1:19">
      <c r="A284">
        <v>29</v>
      </c>
      <c r="B284" t="s">
        <v>167</v>
      </c>
      <c r="C284" t="s">
        <v>168</v>
      </c>
      <c r="D284" t="s">
        <v>169</v>
      </c>
      <c r="E284">
        <v>153022742</v>
      </c>
      <c r="F284" t="s">
        <v>392</v>
      </c>
      <c r="G284" t="s">
        <v>393</v>
      </c>
      <c r="H284" t="s">
        <v>171</v>
      </c>
      <c r="I284" t="s">
        <v>334</v>
      </c>
      <c r="J284">
        <v>4</v>
      </c>
      <c r="K284" s="5">
        <v>4482.45</v>
      </c>
      <c r="L284" s="5">
        <v>1780</v>
      </c>
      <c r="M284">
        <v>0.60289573699999999</v>
      </c>
      <c r="N284" s="5">
        <v>2702.45</v>
      </c>
      <c r="O284" s="5">
        <v>675.61</v>
      </c>
      <c r="P284">
        <v>0</v>
      </c>
      <c r="Q284" s="5">
        <v>0</v>
      </c>
      <c r="R284" s="5">
        <v>0</v>
      </c>
      <c r="S284" s="5">
        <v>445</v>
      </c>
    </row>
    <row r="285" spans="1:19">
      <c r="A285">
        <v>29</v>
      </c>
      <c r="B285" t="s">
        <v>167</v>
      </c>
      <c r="C285" t="s">
        <v>168</v>
      </c>
      <c r="D285" t="s">
        <v>169</v>
      </c>
      <c r="E285">
        <v>153022742</v>
      </c>
      <c r="F285" t="s">
        <v>392</v>
      </c>
      <c r="G285" t="s">
        <v>393</v>
      </c>
      <c r="H285" t="s">
        <v>171</v>
      </c>
      <c r="I285" t="s">
        <v>334</v>
      </c>
      <c r="J285">
        <v>4</v>
      </c>
      <c r="K285" s="5">
        <v>4704.08</v>
      </c>
      <c r="L285" s="5">
        <v>1780</v>
      </c>
      <c r="M285">
        <v>0.62160507399999998</v>
      </c>
      <c r="N285" s="5">
        <v>2924.08</v>
      </c>
      <c r="O285" s="5">
        <v>731.02</v>
      </c>
      <c r="P285">
        <v>0</v>
      </c>
      <c r="Q285" s="5">
        <v>0</v>
      </c>
      <c r="R285" s="5">
        <v>0</v>
      </c>
      <c r="S285" s="5">
        <v>445</v>
      </c>
    </row>
    <row r="286" spans="1:19">
      <c r="A286">
        <v>29</v>
      </c>
      <c r="B286" t="s">
        <v>167</v>
      </c>
      <c r="C286" t="s">
        <v>168</v>
      </c>
      <c r="D286" t="s">
        <v>169</v>
      </c>
      <c r="E286">
        <v>153022742</v>
      </c>
      <c r="F286" t="s">
        <v>392</v>
      </c>
      <c r="G286" t="s">
        <v>393</v>
      </c>
      <c r="H286" t="s">
        <v>171</v>
      </c>
      <c r="I286" t="s">
        <v>337</v>
      </c>
      <c r="J286">
        <v>4</v>
      </c>
      <c r="K286" s="5">
        <v>996.17</v>
      </c>
      <c r="L286" s="5">
        <v>620</v>
      </c>
      <c r="M286">
        <v>0.37761626999999998</v>
      </c>
      <c r="N286" s="5">
        <v>376.17</v>
      </c>
      <c r="O286" s="5">
        <v>94.04</v>
      </c>
      <c r="P286">
        <v>0</v>
      </c>
      <c r="Q286" s="5">
        <v>0</v>
      </c>
      <c r="R286" s="5">
        <v>0</v>
      </c>
      <c r="S286" s="5">
        <v>155</v>
      </c>
    </row>
    <row r="287" spans="1:19">
      <c r="A287">
        <v>29</v>
      </c>
      <c r="B287" t="s">
        <v>167</v>
      </c>
      <c r="C287" t="s">
        <v>168</v>
      </c>
      <c r="D287" t="s">
        <v>169</v>
      </c>
      <c r="E287">
        <v>153022742</v>
      </c>
      <c r="F287" t="s">
        <v>392</v>
      </c>
      <c r="G287" t="s">
        <v>393</v>
      </c>
      <c r="H287" t="s">
        <v>171</v>
      </c>
      <c r="I287" t="s">
        <v>334</v>
      </c>
      <c r="J287">
        <v>0</v>
      </c>
      <c r="L287" s="5">
        <v>0</v>
      </c>
      <c r="M287">
        <v>0</v>
      </c>
      <c r="N287" s="5">
        <v>0</v>
      </c>
      <c r="O287" s="5">
        <v>0</v>
      </c>
      <c r="P287">
        <v>4</v>
      </c>
      <c r="Q287" s="5">
        <v>1780</v>
      </c>
      <c r="R287" s="5">
        <v>2050.0300000000002</v>
      </c>
      <c r="S287" s="5">
        <v>445</v>
      </c>
    </row>
    <row r="288" spans="1:19">
      <c r="A288">
        <v>29</v>
      </c>
      <c r="B288" t="s">
        <v>167</v>
      </c>
      <c r="C288" t="s">
        <v>168</v>
      </c>
      <c r="D288" t="s">
        <v>169</v>
      </c>
      <c r="E288">
        <v>153022742</v>
      </c>
      <c r="F288" t="s">
        <v>392</v>
      </c>
      <c r="G288" t="s">
        <v>393</v>
      </c>
      <c r="H288" t="s">
        <v>171</v>
      </c>
      <c r="I288" t="s">
        <v>333</v>
      </c>
      <c r="J288">
        <v>0</v>
      </c>
      <c r="L288" s="5">
        <v>0</v>
      </c>
      <c r="M288">
        <v>0</v>
      </c>
      <c r="N288" s="5">
        <v>0</v>
      </c>
      <c r="O288" s="5">
        <v>0</v>
      </c>
      <c r="P288">
        <v>4</v>
      </c>
      <c r="Q288" s="5">
        <v>1440</v>
      </c>
      <c r="R288" s="5">
        <v>1524.96</v>
      </c>
      <c r="S288" s="5">
        <v>360</v>
      </c>
    </row>
    <row r="289" spans="1:19">
      <c r="A289">
        <v>29</v>
      </c>
      <c r="B289" t="s">
        <v>167</v>
      </c>
      <c r="C289" t="s">
        <v>168</v>
      </c>
      <c r="D289" t="s">
        <v>169</v>
      </c>
      <c r="E289">
        <v>153022742</v>
      </c>
      <c r="F289" t="s">
        <v>392</v>
      </c>
      <c r="G289" t="s">
        <v>393</v>
      </c>
      <c r="H289" t="s">
        <v>171</v>
      </c>
      <c r="I289" t="s">
        <v>333</v>
      </c>
      <c r="J289">
        <v>4</v>
      </c>
      <c r="K289" s="5">
        <v>3963.96</v>
      </c>
      <c r="L289" s="5">
        <v>1440</v>
      </c>
      <c r="M289">
        <v>0.63672690899999995</v>
      </c>
      <c r="N289" s="5">
        <v>2523.96</v>
      </c>
      <c r="O289" s="5">
        <v>630.99</v>
      </c>
      <c r="P289">
        <v>0</v>
      </c>
      <c r="Q289" s="5">
        <v>0</v>
      </c>
      <c r="R289" s="5">
        <v>0</v>
      </c>
      <c r="S289" s="5">
        <v>360</v>
      </c>
    </row>
    <row r="290" spans="1:19">
      <c r="A290">
        <v>29</v>
      </c>
      <c r="B290" t="s">
        <v>167</v>
      </c>
      <c r="C290" t="s">
        <v>168</v>
      </c>
      <c r="D290" t="s">
        <v>169</v>
      </c>
      <c r="E290">
        <v>153022742</v>
      </c>
      <c r="F290" t="s">
        <v>392</v>
      </c>
      <c r="G290" t="s">
        <v>393</v>
      </c>
      <c r="H290" t="s">
        <v>171</v>
      </c>
      <c r="I290" t="s">
        <v>333</v>
      </c>
      <c r="J290">
        <v>4</v>
      </c>
      <c r="K290" s="5">
        <v>4167.1899999999996</v>
      </c>
      <c r="L290" s="5">
        <v>1340</v>
      </c>
      <c r="M290">
        <v>0.67844038699999998</v>
      </c>
      <c r="N290" s="5">
        <v>2827.19</v>
      </c>
      <c r="O290" s="5">
        <v>706.8</v>
      </c>
      <c r="P290">
        <v>0</v>
      </c>
      <c r="Q290" s="5">
        <v>0</v>
      </c>
      <c r="R290" s="5">
        <v>0</v>
      </c>
      <c r="S290" s="5">
        <v>335</v>
      </c>
    </row>
    <row r="291" spans="1:19">
      <c r="A291">
        <v>29</v>
      </c>
      <c r="B291" t="s">
        <v>167</v>
      </c>
      <c r="C291" t="s">
        <v>168</v>
      </c>
      <c r="D291" t="s">
        <v>169</v>
      </c>
      <c r="E291">
        <v>153022742</v>
      </c>
      <c r="F291" t="s">
        <v>392</v>
      </c>
      <c r="G291" t="s">
        <v>393</v>
      </c>
      <c r="H291" t="s">
        <v>171</v>
      </c>
      <c r="I291" t="s">
        <v>334</v>
      </c>
      <c r="J291">
        <v>4</v>
      </c>
      <c r="K291" s="5">
        <v>5153.08</v>
      </c>
      <c r="L291" s="5">
        <v>1780</v>
      </c>
      <c r="M291">
        <v>0.65457551599999997</v>
      </c>
      <c r="N291" s="5">
        <v>3373.08</v>
      </c>
      <c r="O291" s="5">
        <v>843.27</v>
      </c>
      <c r="P291">
        <v>0</v>
      </c>
      <c r="Q291" s="5">
        <v>0</v>
      </c>
      <c r="R291" s="5">
        <v>0</v>
      </c>
      <c r="S291" s="5">
        <v>445</v>
      </c>
    </row>
    <row r="292" spans="1:19">
      <c r="A292">
        <v>29</v>
      </c>
      <c r="B292" t="s">
        <v>167</v>
      </c>
      <c r="C292" t="s">
        <v>168</v>
      </c>
      <c r="D292" t="s">
        <v>169</v>
      </c>
      <c r="E292">
        <v>153022742</v>
      </c>
      <c r="F292" t="s">
        <v>392</v>
      </c>
      <c r="G292" t="s">
        <v>393</v>
      </c>
      <c r="H292" t="s">
        <v>171</v>
      </c>
      <c r="I292" t="s">
        <v>337</v>
      </c>
      <c r="J292">
        <v>4</v>
      </c>
      <c r="K292" s="5">
        <v>2622.49</v>
      </c>
      <c r="L292" s="5">
        <v>620</v>
      </c>
      <c r="M292">
        <v>0.76358346399999999</v>
      </c>
      <c r="N292" s="5">
        <v>2002.49</v>
      </c>
      <c r="O292" s="5">
        <v>500.62</v>
      </c>
      <c r="P292">
        <v>0</v>
      </c>
      <c r="Q292" s="5">
        <v>0</v>
      </c>
      <c r="R292" s="5">
        <v>0</v>
      </c>
      <c r="S292" s="5">
        <v>155</v>
      </c>
    </row>
    <row r="293" spans="1:19">
      <c r="A293">
        <v>29</v>
      </c>
      <c r="B293" t="s">
        <v>167</v>
      </c>
      <c r="C293" t="s">
        <v>168</v>
      </c>
      <c r="D293" t="s">
        <v>169</v>
      </c>
      <c r="E293">
        <v>153022742</v>
      </c>
      <c r="F293" t="s">
        <v>392</v>
      </c>
      <c r="G293" t="s">
        <v>393</v>
      </c>
      <c r="H293" t="s">
        <v>171</v>
      </c>
      <c r="I293" t="s">
        <v>334</v>
      </c>
      <c r="J293">
        <v>0</v>
      </c>
      <c r="L293" s="5">
        <v>0</v>
      </c>
      <c r="M293">
        <v>0</v>
      </c>
      <c r="N293" s="5">
        <v>0</v>
      </c>
      <c r="O293" s="5">
        <v>0</v>
      </c>
      <c r="P293">
        <v>4</v>
      </c>
      <c r="Q293" s="5">
        <v>1780</v>
      </c>
      <c r="R293" s="5">
        <v>1916.27</v>
      </c>
      <c r="S293" s="5">
        <v>445</v>
      </c>
    </row>
    <row r="294" spans="1:19">
      <c r="A294">
        <v>29</v>
      </c>
      <c r="B294" t="s">
        <v>167</v>
      </c>
      <c r="C294" t="s">
        <v>168</v>
      </c>
      <c r="D294" t="s">
        <v>169</v>
      </c>
      <c r="E294">
        <v>153022742</v>
      </c>
      <c r="F294" t="s">
        <v>392</v>
      </c>
      <c r="G294" t="s">
        <v>393</v>
      </c>
      <c r="H294" t="s">
        <v>171</v>
      </c>
      <c r="I294" t="s">
        <v>334</v>
      </c>
      <c r="J294">
        <v>4</v>
      </c>
      <c r="K294" s="5">
        <v>5054</v>
      </c>
      <c r="L294" s="5">
        <v>1780</v>
      </c>
      <c r="M294">
        <v>0.647803719</v>
      </c>
      <c r="N294" s="5">
        <v>3274</v>
      </c>
      <c r="O294" s="5">
        <v>818.5</v>
      </c>
      <c r="P294">
        <v>0</v>
      </c>
      <c r="Q294" s="5">
        <v>0</v>
      </c>
      <c r="R294" s="5">
        <v>0</v>
      </c>
      <c r="S294" s="5">
        <v>445</v>
      </c>
    </row>
    <row r="295" spans="1:19">
      <c r="A295">
        <v>29</v>
      </c>
      <c r="B295" t="s">
        <v>167</v>
      </c>
      <c r="C295" t="s">
        <v>168</v>
      </c>
      <c r="D295" t="s">
        <v>169</v>
      </c>
      <c r="E295">
        <v>153022742</v>
      </c>
      <c r="F295" t="s">
        <v>392</v>
      </c>
      <c r="G295" t="s">
        <v>393</v>
      </c>
      <c r="H295" t="s">
        <v>171</v>
      </c>
      <c r="I295" t="s">
        <v>337</v>
      </c>
      <c r="J295">
        <v>4</v>
      </c>
      <c r="K295" s="5">
        <v>3821.88</v>
      </c>
      <c r="L295" s="5">
        <v>620</v>
      </c>
      <c r="M295">
        <v>0.83777617199999999</v>
      </c>
      <c r="N295" s="5">
        <v>3201.88</v>
      </c>
      <c r="O295" s="5">
        <v>800.47</v>
      </c>
      <c r="P295">
        <v>0</v>
      </c>
      <c r="Q295" s="5">
        <v>0</v>
      </c>
      <c r="R295" s="5">
        <v>0</v>
      </c>
      <c r="S295" s="5">
        <v>155</v>
      </c>
    </row>
    <row r="296" spans="1:19">
      <c r="A296">
        <v>29</v>
      </c>
      <c r="B296" t="s">
        <v>167</v>
      </c>
      <c r="C296" t="s">
        <v>168</v>
      </c>
      <c r="D296" t="s">
        <v>169</v>
      </c>
      <c r="E296">
        <v>153022742</v>
      </c>
      <c r="F296" t="s">
        <v>392</v>
      </c>
      <c r="G296" t="s">
        <v>393</v>
      </c>
      <c r="H296" t="s">
        <v>171</v>
      </c>
      <c r="I296" t="s">
        <v>337</v>
      </c>
      <c r="J296">
        <v>4</v>
      </c>
      <c r="K296" s="5">
        <v>2193.7600000000002</v>
      </c>
      <c r="L296" s="5">
        <v>620</v>
      </c>
      <c r="M296">
        <v>0.71738020499999999</v>
      </c>
      <c r="N296" s="5">
        <v>1573.76</v>
      </c>
      <c r="O296" s="5">
        <v>393.44</v>
      </c>
      <c r="P296">
        <v>0</v>
      </c>
      <c r="Q296" s="5">
        <v>0</v>
      </c>
      <c r="R296" s="5">
        <v>0</v>
      </c>
      <c r="S296" s="5">
        <v>155</v>
      </c>
    </row>
    <row r="297" spans="1:19">
      <c r="A297">
        <v>29</v>
      </c>
      <c r="B297" t="s">
        <v>167</v>
      </c>
      <c r="C297" t="s">
        <v>168</v>
      </c>
      <c r="D297" t="s">
        <v>169</v>
      </c>
      <c r="E297">
        <v>153022742</v>
      </c>
      <c r="F297" t="s">
        <v>392</v>
      </c>
      <c r="G297" t="s">
        <v>393</v>
      </c>
      <c r="H297" t="s">
        <v>171</v>
      </c>
      <c r="I297" t="s">
        <v>333</v>
      </c>
      <c r="J297">
        <v>4</v>
      </c>
      <c r="K297" s="5">
        <v>5394.59</v>
      </c>
      <c r="L297" s="5">
        <v>1440</v>
      </c>
      <c r="M297">
        <v>0.73306590400000005</v>
      </c>
      <c r="N297" s="5">
        <v>3954.59</v>
      </c>
      <c r="O297" s="5">
        <v>988.65</v>
      </c>
      <c r="P297">
        <v>0</v>
      </c>
      <c r="Q297" s="5">
        <v>0</v>
      </c>
      <c r="R297" s="5">
        <v>0</v>
      </c>
      <c r="S297" s="5">
        <v>360</v>
      </c>
    </row>
    <row r="298" spans="1:19">
      <c r="A298">
        <v>29</v>
      </c>
      <c r="B298" t="s">
        <v>167</v>
      </c>
      <c r="C298" t="s">
        <v>168</v>
      </c>
      <c r="D298" t="s">
        <v>169</v>
      </c>
      <c r="E298">
        <v>153022742</v>
      </c>
      <c r="F298" t="s">
        <v>392</v>
      </c>
      <c r="G298" t="s">
        <v>393</v>
      </c>
      <c r="H298" t="s">
        <v>171</v>
      </c>
      <c r="I298" t="s">
        <v>334</v>
      </c>
      <c r="J298">
        <v>4</v>
      </c>
      <c r="K298" s="5">
        <v>5231.8999999999996</v>
      </c>
      <c r="L298" s="5">
        <v>1780</v>
      </c>
      <c r="M298">
        <v>0.65977942999999994</v>
      </c>
      <c r="N298" s="5">
        <v>3451.9</v>
      </c>
      <c r="O298" s="5">
        <v>862.98</v>
      </c>
      <c r="P298">
        <v>0</v>
      </c>
      <c r="Q298" s="5">
        <v>0</v>
      </c>
      <c r="R298" s="5">
        <v>0</v>
      </c>
      <c r="S298" s="5">
        <v>445</v>
      </c>
    </row>
    <row r="299" spans="1:19">
      <c r="A299">
        <v>29</v>
      </c>
      <c r="B299" t="s">
        <v>167</v>
      </c>
      <c r="C299" t="s">
        <v>168</v>
      </c>
      <c r="D299" t="s">
        <v>169</v>
      </c>
      <c r="E299">
        <v>153022742</v>
      </c>
      <c r="F299" t="s">
        <v>392</v>
      </c>
      <c r="G299" t="s">
        <v>393</v>
      </c>
      <c r="H299" t="s">
        <v>171</v>
      </c>
      <c r="I299" t="s">
        <v>334</v>
      </c>
      <c r="J299">
        <v>0</v>
      </c>
      <c r="L299" s="5">
        <v>0</v>
      </c>
      <c r="M299">
        <v>0</v>
      </c>
      <c r="N299" s="5">
        <v>0</v>
      </c>
      <c r="O299" s="5">
        <v>0</v>
      </c>
      <c r="P299">
        <v>4</v>
      </c>
      <c r="Q299" s="5">
        <v>1780</v>
      </c>
      <c r="R299" s="5">
        <v>1782.51</v>
      </c>
      <c r="S299" s="5">
        <v>445</v>
      </c>
    </row>
    <row r="300" spans="1:19">
      <c r="A300">
        <v>29</v>
      </c>
      <c r="B300" t="s">
        <v>167</v>
      </c>
      <c r="C300" t="s">
        <v>168</v>
      </c>
      <c r="D300" t="s">
        <v>169</v>
      </c>
      <c r="E300">
        <v>153022742</v>
      </c>
      <c r="F300" t="s">
        <v>392</v>
      </c>
      <c r="G300" t="s">
        <v>393</v>
      </c>
      <c r="H300" t="s">
        <v>171</v>
      </c>
      <c r="I300" t="s">
        <v>334</v>
      </c>
      <c r="J300">
        <v>4</v>
      </c>
      <c r="K300" s="5">
        <v>4460.0600000000004</v>
      </c>
      <c r="L300" s="5">
        <v>1780</v>
      </c>
      <c r="M300">
        <v>0.60090222999999998</v>
      </c>
      <c r="N300" s="5">
        <v>2680.06</v>
      </c>
      <c r="O300" s="5">
        <v>670.02</v>
      </c>
      <c r="P300">
        <v>0</v>
      </c>
      <c r="Q300" s="5">
        <v>0</v>
      </c>
      <c r="R300" s="5">
        <v>0</v>
      </c>
      <c r="S300" s="5">
        <v>445</v>
      </c>
    </row>
    <row r="301" spans="1:19">
      <c r="A301">
        <v>31</v>
      </c>
      <c r="B301" t="s">
        <v>124</v>
      </c>
      <c r="C301" t="s">
        <v>177</v>
      </c>
      <c r="D301" t="s">
        <v>178</v>
      </c>
      <c r="E301">
        <v>153022742</v>
      </c>
      <c r="F301" t="s">
        <v>394</v>
      </c>
      <c r="G301" t="s">
        <v>393</v>
      </c>
      <c r="H301" t="s">
        <v>140</v>
      </c>
      <c r="I301" t="s">
        <v>333</v>
      </c>
      <c r="J301">
        <v>4</v>
      </c>
      <c r="K301" s="5">
        <v>1723.68</v>
      </c>
      <c r="L301" s="5">
        <v>1860</v>
      </c>
      <c r="M301">
        <v>-7.9086605000000004E-2</v>
      </c>
      <c r="N301" s="5">
        <v>-136.32</v>
      </c>
      <c r="O301" s="5">
        <v>-34.08</v>
      </c>
      <c r="P301">
        <v>0</v>
      </c>
      <c r="Q301" s="5">
        <v>0</v>
      </c>
      <c r="R301" s="5">
        <v>0</v>
      </c>
      <c r="S301" s="5">
        <v>465</v>
      </c>
    </row>
    <row r="302" spans="1:19">
      <c r="A302">
        <v>31</v>
      </c>
      <c r="B302" t="s">
        <v>124</v>
      </c>
      <c r="C302" t="s">
        <v>177</v>
      </c>
      <c r="D302" t="s">
        <v>178</v>
      </c>
      <c r="E302">
        <v>153020644</v>
      </c>
      <c r="F302" t="s">
        <v>394</v>
      </c>
      <c r="G302" t="s">
        <v>393</v>
      </c>
      <c r="H302" t="s">
        <v>140</v>
      </c>
      <c r="I302" t="s">
        <v>334</v>
      </c>
      <c r="J302">
        <v>0</v>
      </c>
      <c r="L302" s="5">
        <v>0</v>
      </c>
      <c r="M302">
        <v>0</v>
      </c>
      <c r="N302" s="5">
        <v>0</v>
      </c>
      <c r="O302" s="5">
        <v>0</v>
      </c>
      <c r="P302">
        <v>4</v>
      </c>
      <c r="Q302" s="5">
        <v>1800</v>
      </c>
      <c r="R302" s="5">
        <v>727.03</v>
      </c>
      <c r="S302" s="5">
        <v>450</v>
      </c>
    </row>
    <row r="303" spans="1:19">
      <c r="A303">
        <v>31</v>
      </c>
      <c r="B303" t="s">
        <v>124</v>
      </c>
      <c r="C303" t="s">
        <v>177</v>
      </c>
      <c r="D303" t="s">
        <v>178</v>
      </c>
      <c r="E303">
        <v>153020644</v>
      </c>
      <c r="F303" t="s">
        <v>394</v>
      </c>
      <c r="G303" t="s">
        <v>393</v>
      </c>
      <c r="H303" t="s">
        <v>140</v>
      </c>
      <c r="I303" t="s">
        <v>334</v>
      </c>
      <c r="J303">
        <v>4</v>
      </c>
      <c r="K303" s="5">
        <v>2418.6</v>
      </c>
      <c r="L303" s="5">
        <v>2480</v>
      </c>
      <c r="M303">
        <v>-2.5386586999999999E-2</v>
      </c>
      <c r="N303" s="5">
        <v>-61.4</v>
      </c>
      <c r="O303" s="5">
        <v>-15.35</v>
      </c>
      <c r="P303">
        <v>0</v>
      </c>
      <c r="Q303" s="5">
        <v>0</v>
      </c>
      <c r="R303" s="5">
        <v>0</v>
      </c>
      <c r="S303" s="5">
        <v>620</v>
      </c>
    </row>
    <row r="304" spans="1:19">
      <c r="A304">
        <v>31</v>
      </c>
      <c r="B304" t="s">
        <v>124</v>
      </c>
      <c r="C304" t="s">
        <v>177</v>
      </c>
      <c r="D304" t="s">
        <v>178</v>
      </c>
      <c r="E304">
        <v>153020644</v>
      </c>
      <c r="F304" t="s">
        <v>394</v>
      </c>
      <c r="G304" t="s">
        <v>393</v>
      </c>
      <c r="H304" t="s">
        <v>140</v>
      </c>
      <c r="I304" t="s">
        <v>333</v>
      </c>
      <c r="J304">
        <v>0</v>
      </c>
      <c r="L304" s="5">
        <v>0</v>
      </c>
      <c r="M304">
        <v>0</v>
      </c>
      <c r="N304" s="5">
        <v>0</v>
      </c>
      <c r="O304" s="5">
        <v>0</v>
      </c>
      <c r="P304">
        <v>4</v>
      </c>
      <c r="Q304" s="5">
        <v>1860</v>
      </c>
      <c r="R304" s="5">
        <v>699.26</v>
      </c>
      <c r="S304" s="5">
        <v>465</v>
      </c>
    </row>
    <row r="305" spans="1:19">
      <c r="A305">
        <v>31</v>
      </c>
      <c r="B305" t="s">
        <v>124</v>
      </c>
      <c r="C305" t="s">
        <v>177</v>
      </c>
      <c r="D305" t="s">
        <v>178</v>
      </c>
      <c r="E305">
        <v>153020644</v>
      </c>
      <c r="F305" t="s">
        <v>394</v>
      </c>
      <c r="G305" t="s">
        <v>393</v>
      </c>
      <c r="H305" t="s">
        <v>140</v>
      </c>
      <c r="I305" t="s">
        <v>333</v>
      </c>
      <c r="J305">
        <v>4</v>
      </c>
      <c r="K305" s="5">
        <v>1936.44</v>
      </c>
      <c r="L305" s="5">
        <v>1860</v>
      </c>
      <c r="M305">
        <v>3.9474499000000003E-2</v>
      </c>
      <c r="N305" s="5">
        <v>76.44</v>
      </c>
      <c r="O305" s="5">
        <v>19.11</v>
      </c>
      <c r="P305">
        <v>0</v>
      </c>
      <c r="Q305" s="5">
        <v>0</v>
      </c>
      <c r="R305" s="5">
        <v>0</v>
      </c>
      <c r="S305" s="5">
        <v>465</v>
      </c>
    </row>
    <row r="306" spans="1:19">
      <c r="A306">
        <v>31</v>
      </c>
      <c r="B306" t="s">
        <v>124</v>
      </c>
      <c r="C306" t="s">
        <v>177</v>
      </c>
      <c r="D306" t="s">
        <v>178</v>
      </c>
      <c r="E306">
        <v>153020644</v>
      </c>
      <c r="F306" t="s">
        <v>394</v>
      </c>
      <c r="G306" t="s">
        <v>393</v>
      </c>
      <c r="H306" t="s">
        <v>140</v>
      </c>
      <c r="I306" t="s">
        <v>334</v>
      </c>
      <c r="J306">
        <v>4</v>
      </c>
      <c r="K306" s="5">
        <v>3049.36</v>
      </c>
      <c r="L306" s="5">
        <v>2480</v>
      </c>
      <c r="M306">
        <v>0.18671458899999999</v>
      </c>
      <c r="N306" s="5">
        <v>569.36</v>
      </c>
      <c r="O306" s="5">
        <v>142.34</v>
      </c>
      <c r="P306">
        <v>0</v>
      </c>
      <c r="Q306" s="5">
        <v>0</v>
      </c>
      <c r="R306" s="5">
        <v>0</v>
      </c>
      <c r="S306" s="5">
        <v>620</v>
      </c>
    </row>
    <row r="307" spans="1:19">
      <c r="A307">
        <v>31</v>
      </c>
      <c r="B307" t="s">
        <v>124</v>
      </c>
      <c r="C307" t="s">
        <v>177</v>
      </c>
      <c r="D307" t="s">
        <v>178</v>
      </c>
      <c r="E307">
        <v>153020644</v>
      </c>
      <c r="F307" t="s">
        <v>394</v>
      </c>
      <c r="G307" t="s">
        <v>393</v>
      </c>
      <c r="H307" t="s">
        <v>140</v>
      </c>
      <c r="I307" t="s">
        <v>337</v>
      </c>
      <c r="J307">
        <v>4</v>
      </c>
      <c r="K307" s="5">
        <v>1337.28</v>
      </c>
      <c r="L307" s="5">
        <v>860</v>
      </c>
      <c r="M307">
        <v>0.35690356499999998</v>
      </c>
      <c r="N307" s="5">
        <v>477.28</v>
      </c>
      <c r="O307" s="5">
        <v>119.32</v>
      </c>
      <c r="P307">
        <v>0</v>
      </c>
      <c r="Q307" s="5">
        <v>0</v>
      </c>
      <c r="R307" s="5">
        <v>0</v>
      </c>
      <c r="S307" s="5">
        <v>215</v>
      </c>
    </row>
    <row r="308" spans="1:19">
      <c r="A308">
        <v>31</v>
      </c>
      <c r="B308" t="s">
        <v>124</v>
      </c>
      <c r="C308" t="s">
        <v>177</v>
      </c>
      <c r="D308" t="s">
        <v>178</v>
      </c>
      <c r="E308">
        <v>153020644</v>
      </c>
      <c r="F308" t="s">
        <v>394</v>
      </c>
      <c r="G308" t="s">
        <v>393</v>
      </c>
      <c r="H308" t="s">
        <v>140</v>
      </c>
      <c r="I308" t="s">
        <v>334</v>
      </c>
      <c r="J308">
        <v>0</v>
      </c>
      <c r="L308" s="5">
        <v>0</v>
      </c>
      <c r="M308">
        <v>0</v>
      </c>
      <c r="N308" s="5">
        <v>0</v>
      </c>
      <c r="O308" s="5">
        <v>0</v>
      </c>
      <c r="P308">
        <v>4</v>
      </c>
      <c r="Q308" s="5">
        <v>2480</v>
      </c>
      <c r="R308" s="5">
        <v>914.65</v>
      </c>
      <c r="S308" s="5">
        <v>620</v>
      </c>
    </row>
    <row r="309" spans="1:19">
      <c r="A309">
        <v>31</v>
      </c>
      <c r="B309" t="s">
        <v>124</v>
      </c>
      <c r="C309" t="s">
        <v>177</v>
      </c>
      <c r="D309" t="s">
        <v>178</v>
      </c>
      <c r="E309">
        <v>153020644</v>
      </c>
      <c r="F309" t="s">
        <v>394</v>
      </c>
      <c r="G309" t="s">
        <v>393</v>
      </c>
      <c r="H309" t="s">
        <v>140</v>
      </c>
      <c r="I309" t="s">
        <v>333</v>
      </c>
      <c r="J309">
        <v>0</v>
      </c>
      <c r="L309" s="5">
        <v>0</v>
      </c>
      <c r="M309">
        <v>0</v>
      </c>
      <c r="N309" s="5">
        <v>0</v>
      </c>
      <c r="O309" s="5">
        <v>0</v>
      </c>
      <c r="P309">
        <v>4</v>
      </c>
      <c r="Q309" s="5">
        <v>1860</v>
      </c>
      <c r="R309" s="5">
        <v>337.69</v>
      </c>
      <c r="S309" s="5">
        <v>465</v>
      </c>
    </row>
    <row r="310" spans="1:19">
      <c r="A310">
        <v>31</v>
      </c>
      <c r="B310" t="s">
        <v>124</v>
      </c>
      <c r="C310" t="s">
        <v>177</v>
      </c>
      <c r="D310" t="s">
        <v>178</v>
      </c>
      <c r="E310">
        <v>153020644</v>
      </c>
      <c r="F310" t="s">
        <v>394</v>
      </c>
      <c r="G310" t="s">
        <v>393</v>
      </c>
      <c r="H310" t="s">
        <v>140</v>
      </c>
      <c r="I310" t="s">
        <v>337</v>
      </c>
      <c r="J310">
        <v>4</v>
      </c>
      <c r="K310" s="5">
        <v>1241.8</v>
      </c>
      <c r="L310" s="5">
        <v>860</v>
      </c>
      <c r="M310">
        <v>0.307456917</v>
      </c>
      <c r="N310" s="5">
        <v>381.8</v>
      </c>
      <c r="O310" s="5">
        <v>95.45</v>
      </c>
      <c r="P310">
        <v>0</v>
      </c>
      <c r="Q310" s="5">
        <v>0</v>
      </c>
      <c r="R310" s="5">
        <v>0</v>
      </c>
      <c r="S310" s="5">
        <v>215</v>
      </c>
    </row>
    <row r="311" spans="1:19">
      <c r="A311">
        <v>31</v>
      </c>
      <c r="B311" t="s">
        <v>124</v>
      </c>
      <c r="C311" t="s">
        <v>177</v>
      </c>
      <c r="D311" t="s">
        <v>178</v>
      </c>
      <c r="E311">
        <v>153020644</v>
      </c>
      <c r="F311" t="s">
        <v>394</v>
      </c>
      <c r="G311" t="s">
        <v>393</v>
      </c>
      <c r="H311" t="s">
        <v>140</v>
      </c>
      <c r="I311" t="s">
        <v>334</v>
      </c>
      <c r="J311">
        <v>0</v>
      </c>
      <c r="L311" s="5">
        <v>0</v>
      </c>
      <c r="M311">
        <v>0</v>
      </c>
      <c r="N311" s="5">
        <v>0</v>
      </c>
      <c r="O311" s="5">
        <v>0</v>
      </c>
      <c r="P311">
        <v>4</v>
      </c>
      <c r="Q311" s="5">
        <v>2480</v>
      </c>
      <c r="R311" s="5">
        <v>1029</v>
      </c>
      <c r="S311" s="5">
        <v>620</v>
      </c>
    </row>
    <row r="312" spans="1:19">
      <c r="A312">
        <v>31</v>
      </c>
      <c r="B312" t="s">
        <v>124</v>
      </c>
      <c r="C312" t="s">
        <v>177</v>
      </c>
      <c r="D312" t="s">
        <v>178</v>
      </c>
      <c r="E312">
        <v>153020644</v>
      </c>
      <c r="F312" t="s">
        <v>394</v>
      </c>
      <c r="G312" t="s">
        <v>393</v>
      </c>
      <c r="H312" t="s">
        <v>140</v>
      </c>
      <c r="I312" t="s">
        <v>334</v>
      </c>
      <c r="J312">
        <v>4</v>
      </c>
      <c r="K312" s="5">
        <v>1808.72</v>
      </c>
      <c r="L312" s="5">
        <v>1800</v>
      </c>
      <c r="M312">
        <v>4.8210880000000003E-3</v>
      </c>
      <c r="N312" s="5">
        <v>8.7200000000000006</v>
      </c>
      <c r="O312" s="5">
        <v>2.1800000000000002</v>
      </c>
      <c r="P312">
        <v>0</v>
      </c>
      <c r="Q312" s="5">
        <v>0</v>
      </c>
      <c r="R312" s="5">
        <v>0</v>
      </c>
      <c r="S312" s="5">
        <v>450</v>
      </c>
    </row>
    <row r="313" spans="1:19">
      <c r="A313">
        <v>31</v>
      </c>
      <c r="B313" t="s">
        <v>124</v>
      </c>
      <c r="C313" t="s">
        <v>177</v>
      </c>
      <c r="D313" t="s">
        <v>178</v>
      </c>
      <c r="E313">
        <v>153020644</v>
      </c>
      <c r="F313" t="s">
        <v>394</v>
      </c>
      <c r="G313" t="s">
        <v>393</v>
      </c>
      <c r="H313" t="s">
        <v>140</v>
      </c>
      <c r="I313" t="s">
        <v>334</v>
      </c>
      <c r="J313">
        <v>4</v>
      </c>
      <c r="K313" s="5">
        <v>2686.8</v>
      </c>
      <c r="L313" s="5">
        <v>2480</v>
      </c>
      <c r="M313">
        <v>7.6968884000000001E-2</v>
      </c>
      <c r="N313" s="5">
        <v>206.8</v>
      </c>
      <c r="O313" s="5">
        <v>51.7</v>
      </c>
      <c r="P313">
        <v>0</v>
      </c>
      <c r="Q313" s="5">
        <v>0</v>
      </c>
      <c r="R313" s="5">
        <v>0</v>
      </c>
      <c r="S313" s="5">
        <v>620</v>
      </c>
    </row>
    <row r="314" spans="1:19">
      <c r="A314">
        <v>31</v>
      </c>
      <c r="B314" t="s">
        <v>124</v>
      </c>
      <c r="C314" t="s">
        <v>177</v>
      </c>
      <c r="D314" t="s">
        <v>178</v>
      </c>
      <c r="E314">
        <v>153020644</v>
      </c>
      <c r="F314" t="s">
        <v>394</v>
      </c>
      <c r="G314" t="s">
        <v>393</v>
      </c>
      <c r="H314" t="s">
        <v>140</v>
      </c>
      <c r="I314" t="s">
        <v>334</v>
      </c>
      <c r="J314">
        <v>4</v>
      </c>
      <c r="K314" s="5">
        <v>1818.8</v>
      </c>
      <c r="L314" s="5">
        <v>1800</v>
      </c>
      <c r="M314">
        <v>1.0336484999999999E-2</v>
      </c>
      <c r="N314" s="5">
        <v>18.8</v>
      </c>
      <c r="O314" s="5">
        <v>4.7</v>
      </c>
      <c r="P314">
        <v>0</v>
      </c>
      <c r="Q314" s="5">
        <v>0</v>
      </c>
      <c r="R314" s="5">
        <v>0</v>
      </c>
      <c r="S314" s="5">
        <v>450</v>
      </c>
    </row>
    <row r="315" spans="1:19">
      <c r="A315">
        <v>31</v>
      </c>
      <c r="B315" t="s">
        <v>124</v>
      </c>
      <c r="C315" t="s">
        <v>177</v>
      </c>
      <c r="D315" t="s">
        <v>178</v>
      </c>
      <c r="E315">
        <v>153020644</v>
      </c>
      <c r="F315" t="s">
        <v>394</v>
      </c>
      <c r="G315" t="s">
        <v>393</v>
      </c>
      <c r="H315" t="s">
        <v>140</v>
      </c>
      <c r="I315" t="s">
        <v>333</v>
      </c>
      <c r="J315">
        <v>2</v>
      </c>
      <c r="K315" s="5">
        <v>799.2</v>
      </c>
      <c r="L315" s="5">
        <v>930</v>
      </c>
      <c r="M315">
        <v>-0.16366366299999999</v>
      </c>
      <c r="N315" s="5">
        <v>-130.80000000000001</v>
      </c>
      <c r="O315" s="5">
        <v>-65.400000000000006</v>
      </c>
      <c r="P315">
        <v>2</v>
      </c>
      <c r="Q315" s="5">
        <v>930</v>
      </c>
      <c r="R315" s="5">
        <v>1262.08</v>
      </c>
      <c r="S315" s="5">
        <v>465</v>
      </c>
    </row>
    <row r="316" spans="1:19">
      <c r="A316">
        <v>31</v>
      </c>
      <c r="B316" t="s">
        <v>124</v>
      </c>
      <c r="C316" t="s">
        <v>177</v>
      </c>
      <c r="D316" t="s">
        <v>178</v>
      </c>
      <c r="E316">
        <v>153020644</v>
      </c>
      <c r="F316" t="s">
        <v>394</v>
      </c>
      <c r="G316" t="s">
        <v>393</v>
      </c>
      <c r="H316" t="s">
        <v>140</v>
      </c>
      <c r="I316" t="s">
        <v>333</v>
      </c>
      <c r="J316">
        <v>4</v>
      </c>
      <c r="K316" s="5">
        <v>1827.28</v>
      </c>
      <c r="L316" s="5">
        <v>1860</v>
      </c>
      <c r="M316">
        <v>-1.7906396000000002E-2</v>
      </c>
      <c r="N316" s="5">
        <v>-32.72</v>
      </c>
      <c r="O316" s="5">
        <v>-8.18</v>
      </c>
      <c r="P316">
        <v>0</v>
      </c>
      <c r="Q316" s="5">
        <v>0</v>
      </c>
      <c r="R316" s="5">
        <v>0</v>
      </c>
      <c r="S316" s="5">
        <v>465</v>
      </c>
    </row>
    <row r="317" spans="1:19">
      <c r="A317">
        <v>31</v>
      </c>
      <c r="B317" t="s">
        <v>124</v>
      </c>
      <c r="C317" t="s">
        <v>177</v>
      </c>
      <c r="D317" t="s">
        <v>178</v>
      </c>
      <c r="E317">
        <v>153020644</v>
      </c>
      <c r="F317" t="s">
        <v>394</v>
      </c>
      <c r="G317" t="s">
        <v>393</v>
      </c>
      <c r="H317" t="s">
        <v>140</v>
      </c>
      <c r="I317" t="s">
        <v>334</v>
      </c>
      <c r="J317">
        <v>0</v>
      </c>
      <c r="L317" s="5">
        <v>0</v>
      </c>
      <c r="M317">
        <v>0</v>
      </c>
      <c r="N317" s="5">
        <v>0</v>
      </c>
      <c r="O317" s="5">
        <v>0</v>
      </c>
      <c r="P317">
        <v>4</v>
      </c>
      <c r="Q317" s="5">
        <v>1800</v>
      </c>
      <c r="R317" s="5">
        <v>773.93</v>
      </c>
      <c r="S317" s="5">
        <v>450</v>
      </c>
    </row>
    <row r="318" spans="1:19">
      <c r="A318">
        <v>31</v>
      </c>
      <c r="B318" t="s">
        <v>124</v>
      </c>
      <c r="C318" t="s">
        <v>177</v>
      </c>
      <c r="D318" t="s">
        <v>178</v>
      </c>
      <c r="E318">
        <v>153020644</v>
      </c>
      <c r="F318" t="s">
        <v>394</v>
      </c>
      <c r="G318" t="s">
        <v>393</v>
      </c>
      <c r="H318" t="s">
        <v>140</v>
      </c>
      <c r="I318" t="s">
        <v>333</v>
      </c>
      <c r="J318">
        <v>0</v>
      </c>
      <c r="L318" s="5">
        <v>0</v>
      </c>
      <c r="M318">
        <v>0</v>
      </c>
      <c r="N318" s="5">
        <v>0</v>
      </c>
      <c r="O318" s="5">
        <v>0</v>
      </c>
      <c r="P318">
        <v>4</v>
      </c>
      <c r="Q318" s="5">
        <v>1520</v>
      </c>
      <c r="R318" s="5">
        <v>371.8</v>
      </c>
      <c r="S318" s="5">
        <v>380</v>
      </c>
    </row>
    <row r="319" spans="1:19">
      <c r="A319">
        <v>31</v>
      </c>
      <c r="B319" t="s">
        <v>124</v>
      </c>
      <c r="C319" t="s">
        <v>177</v>
      </c>
      <c r="D319" t="s">
        <v>178</v>
      </c>
      <c r="E319">
        <v>153020644</v>
      </c>
      <c r="F319" t="s">
        <v>394</v>
      </c>
      <c r="G319" t="s">
        <v>393</v>
      </c>
      <c r="H319" t="s">
        <v>140</v>
      </c>
      <c r="I319" t="s">
        <v>334</v>
      </c>
      <c r="J319">
        <v>4</v>
      </c>
      <c r="K319" s="5">
        <v>2638.35</v>
      </c>
      <c r="L319" s="5">
        <v>2480</v>
      </c>
      <c r="M319">
        <v>6.0018571999999999E-2</v>
      </c>
      <c r="N319" s="5">
        <v>158.35</v>
      </c>
      <c r="O319" s="5">
        <v>39.590000000000003</v>
      </c>
      <c r="P319">
        <v>0</v>
      </c>
      <c r="Q319" s="5">
        <v>0</v>
      </c>
      <c r="R319" s="5">
        <v>0</v>
      </c>
      <c r="S319" s="5">
        <v>620</v>
      </c>
    </row>
    <row r="320" spans="1:19">
      <c r="A320">
        <v>31</v>
      </c>
      <c r="B320" t="s">
        <v>124</v>
      </c>
      <c r="C320" t="s">
        <v>177</v>
      </c>
      <c r="D320" t="s">
        <v>178</v>
      </c>
      <c r="E320">
        <v>153020644</v>
      </c>
      <c r="F320" t="s">
        <v>394</v>
      </c>
      <c r="G320" t="s">
        <v>393</v>
      </c>
      <c r="H320" t="s">
        <v>140</v>
      </c>
      <c r="I320" t="s">
        <v>333</v>
      </c>
      <c r="J320">
        <v>4</v>
      </c>
      <c r="K320" s="5">
        <v>1416.13</v>
      </c>
      <c r="L320" s="5">
        <v>1860</v>
      </c>
      <c r="M320">
        <v>-0.31343873700000002</v>
      </c>
      <c r="N320" s="5">
        <v>-443.87</v>
      </c>
      <c r="O320" s="5">
        <v>-110.97</v>
      </c>
      <c r="P320">
        <v>0</v>
      </c>
      <c r="Q320" s="5">
        <v>0</v>
      </c>
      <c r="R320" s="5">
        <v>0</v>
      </c>
      <c r="S320" s="5">
        <v>465</v>
      </c>
    </row>
    <row r="321" spans="1:19">
      <c r="A321">
        <v>31</v>
      </c>
      <c r="B321" t="s">
        <v>124</v>
      </c>
      <c r="C321" t="s">
        <v>177</v>
      </c>
      <c r="D321" t="s">
        <v>178</v>
      </c>
      <c r="E321">
        <v>153020644</v>
      </c>
      <c r="F321" t="s">
        <v>394</v>
      </c>
      <c r="G321" t="s">
        <v>393</v>
      </c>
      <c r="H321" t="s">
        <v>140</v>
      </c>
      <c r="I321" t="s">
        <v>333</v>
      </c>
      <c r="J321">
        <v>0</v>
      </c>
      <c r="L321" s="5">
        <v>0</v>
      </c>
      <c r="M321">
        <v>0</v>
      </c>
      <c r="N321" s="5">
        <v>0</v>
      </c>
      <c r="O321" s="5">
        <v>0</v>
      </c>
      <c r="P321">
        <v>4</v>
      </c>
      <c r="Q321" s="5">
        <v>1860</v>
      </c>
      <c r="R321" s="5">
        <v>665.14</v>
      </c>
      <c r="S321" s="5">
        <v>465</v>
      </c>
    </row>
    <row r="322" spans="1:19">
      <c r="A322">
        <v>31</v>
      </c>
      <c r="B322" t="s">
        <v>124</v>
      </c>
      <c r="C322" t="s">
        <v>177</v>
      </c>
      <c r="D322" t="s">
        <v>178</v>
      </c>
      <c r="E322">
        <v>153020644</v>
      </c>
      <c r="F322" t="s">
        <v>394</v>
      </c>
      <c r="G322" t="s">
        <v>393</v>
      </c>
      <c r="H322" t="s">
        <v>140</v>
      </c>
      <c r="I322" t="s">
        <v>333</v>
      </c>
      <c r="J322">
        <v>4</v>
      </c>
      <c r="K322" s="5">
        <v>1859.76</v>
      </c>
      <c r="L322" s="5">
        <v>1860</v>
      </c>
      <c r="M322">
        <v>-1.2904799999999999E-4</v>
      </c>
      <c r="N322" s="5">
        <v>-0.24</v>
      </c>
      <c r="O322" s="5">
        <v>-0.06</v>
      </c>
      <c r="P322">
        <v>0</v>
      </c>
      <c r="Q322" s="5">
        <v>0</v>
      </c>
      <c r="R322" s="5">
        <v>0</v>
      </c>
      <c r="S322" s="5">
        <v>465</v>
      </c>
    </row>
    <row r="323" spans="1:19">
      <c r="A323">
        <v>31</v>
      </c>
      <c r="B323" t="s">
        <v>124</v>
      </c>
      <c r="C323" t="s">
        <v>177</v>
      </c>
      <c r="D323" t="s">
        <v>178</v>
      </c>
      <c r="E323">
        <v>153020644</v>
      </c>
      <c r="F323" t="s">
        <v>394</v>
      </c>
      <c r="G323" t="s">
        <v>393</v>
      </c>
      <c r="H323" t="s">
        <v>140</v>
      </c>
      <c r="I323" t="s">
        <v>334</v>
      </c>
      <c r="J323">
        <v>0</v>
      </c>
      <c r="L323" s="5">
        <v>0</v>
      </c>
      <c r="M323">
        <v>0</v>
      </c>
      <c r="N323" s="5">
        <v>0</v>
      </c>
      <c r="O323" s="5">
        <v>0</v>
      </c>
      <c r="P323">
        <v>4</v>
      </c>
      <c r="Q323" s="5">
        <v>1800</v>
      </c>
      <c r="R323" s="5">
        <v>820.84</v>
      </c>
      <c r="S323" s="5">
        <v>450</v>
      </c>
    </row>
    <row r="324" spans="1:19">
      <c r="A324">
        <v>31</v>
      </c>
      <c r="B324" t="s">
        <v>124</v>
      </c>
      <c r="C324" t="s">
        <v>177</v>
      </c>
      <c r="D324" t="s">
        <v>178</v>
      </c>
      <c r="E324">
        <v>153020644</v>
      </c>
      <c r="F324" t="s">
        <v>394</v>
      </c>
      <c r="G324" t="s">
        <v>393</v>
      </c>
      <c r="H324" t="s">
        <v>140</v>
      </c>
      <c r="I324" t="s">
        <v>337</v>
      </c>
      <c r="J324">
        <v>4</v>
      </c>
      <c r="K324" s="5">
        <v>1175.8499999999999</v>
      </c>
      <c r="L324" s="5">
        <v>860</v>
      </c>
      <c r="M324">
        <v>0.268614193</v>
      </c>
      <c r="N324" s="5">
        <v>315.85000000000002</v>
      </c>
      <c r="O324" s="5">
        <v>78.959999999999994</v>
      </c>
      <c r="P324">
        <v>0</v>
      </c>
      <c r="Q324" s="5">
        <v>0</v>
      </c>
      <c r="R324" s="5">
        <v>0</v>
      </c>
      <c r="S324" s="5">
        <v>215</v>
      </c>
    </row>
    <row r="325" spans="1:19">
      <c r="A325">
        <v>31</v>
      </c>
      <c r="B325" t="s">
        <v>124</v>
      </c>
      <c r="C325" t="s">
        <v>177</v>
      </c>
      <c r="D325" t="s">
        <v>178</v>
      </c>
      <c r="E325">
        <v>153020644</v>
      </c>
      <c r="F325" t="s">
        <v>394</v>
      </c>
      <c r="G325" t="s">
        <v>393</v>
      </c>
      <c r="H325" t="s">
        <v>140</v>
      </c>
      <c r="I325" t="s">
        <v>334</v>
      </c>
      <c r="J325">
        <v>4</v>
      </c>
      <c r="K325" s="5">
        <v>2716.56</v>
      </c>
      <c r="L325" s="5">
        <v>2480</v>
      </c>
      <c r="M325">
        <v>8.7080719000000001E-2</v>
      </c>
      <c r="N325" s="5">
        <v>236.56</v>
      </c>
      <c r="O325" s="5">
        <v>59.14</v>
      </c>
      <c r="P325">
        <v>0</v>
      </c>
      <c r="Q325" s="5">
        <v>0</v>
      </c>
      <c r="R325" s="5">
        <v>0</v>
      </c>
      <c r="S325" s="5">
        <v>620</v>
      </c>
    </row>
    <row r="326" spans="1:19">
      <c r="A326">
        <v>31</v>
      </c>
      <c r="B326" t="s">
        <v>124</v>
      </c>
      <c r="C326" t="s">
        <v>177</v>
      </c>
      <c r="D326" t="s">
        <v>178</v>
      </c>
      <c r="E326">
        <v>153020644</v>
      </c>
      <c r="F326" t="s">
        <v>394</v>
      </c>
      <c r="G326" t="s">
        <v>393</v>
      </c>
      <c r="H326" t="s">
        <v>140</v>
      </c>
      <c r="I326" t="s">
        <v>333</v>
      </c>
      <c r="J326">
        <v>0</v>
      </c>
      <c r="L326" s="5">
        <v>0</v>
      </c>
      <c r="M326">
        <v>0</v>
      </c>
      <c r="N326" s="5">
        <v>0</v>
      </c>
      <c r="O326" s="5">
        <v>0</v>
      </c>
      <c r="P326">
        <v>4</v>
      </c>
      <c r="Q326" s="5">
        <v>1860</v>
      </c>
      <c r="R326" s="5">
        <v>596.91999999999996</v>
      </c>
      <c r="S326" s="5">
        <v>465</v>
      </c>
    </row>
    <row r="327" spans="1:19">
      <c r="A327">
        <v>31</v>
      </c>
      <c r="B327" t="s">
        <v>124</v>
      </c>
      <c r="C327" t="s">
        <v>177</v>
      </c>
      <c r="D327" t="s">
        <v>178</v>
      </c>
      <c r="E327">
        <v>153020644</v>
      </c>
      <c r="F327" t="s">
        <v>394</v>
      </c>
      <c r="G327" t="s">
        <v>393</v>
      </c>
      <c r="H327" t="s">
        <v>140</v>
      </c>
      <c r="I327" t="s">
        <v>333</v>
      </c>
      <c r="J327">
        <v>0</v>
      </c>
      <c r="L327" s="5">
        <v>0</v>
      </c>
      <c r="M327">
        <v>0</v>
      </c>
      <c r="N327" s="5">
        <v>0</v>
      </c>
      <c r="O327" s="5">
        <v>0</v>
      </c>
      <c r="P327">
        <v>4</v>
      </c>
      <c r="Q327" s="5">
        <v>1860</v>
      </c>
      <c r="R327" s="5">
        <v>733.36</v>
      </c>
      <c r="S327" s="5">
        <v>465</v>
      </c>
    </row>
    <row r="328" spans="1:19">
      <c r="A328">
        <v>31</v>
      </c>
      <c r="B328" t="s">
        <v>124</v>
      </c>
      <c r="C328" t="s">
        <v>177</v>
      </c>
      <c r="D328" t="s">
        <v>178</v>
      </c>
      <c r="E328">
        <v>153020644</v>
      </c>
      <c r="F328" t="s">
        <v>394</v>
      </c>
      <c r="G328" t="s">
        <v>393</v>
      </c>
      <c r="H328" t="s">
        <v>140</v>
      </c>
      <c r="I328" t="s">
        <v>334</v>
      </c>
      <c r="J328">
        <v>0</v>
      </c>
      <c r="L328" s="5">
        <v>0</v>
      </c>
      <c r="M328">
        <v>0</v>
      </c>
      <c r="N328" s="5">
        <v>0</v>
      </c>
      <c r="O328" s="5">
        <v>0</v>
      </c>
      <c r="P328">
        <v>4</v>
      </c>
      <c r="Q328" s="5">
        <v>1800</v>
      </c>
      <c r="R328" s="5">
        <v>867.74</v>
      </c>
      <c r="S328" s="5">
        <v>450</v>
      </c>
    </row>
    <row r="329" spans="1:19">
      <c r="A329">
        <v>35</v>
      </c>
      <c r="B329" t="s">
        <v>93</v>
      </c>
      <c r="C329" t="s">
        <v>97</v>
      </c>
      <c r="D329" t="s">
        <v>95</v>
      </c>
      <c r="E329">
        <v>153020644</v>
      </c>
      <c r="F329" t="s">
        <v>395</v>
      </c>
      <c r="G329" t="s">
        <v>396</v>
      </c>
      <c r="H329" t="s">
        <v>355</v>
      </c>
      <c r="I329" t="s">
        <v>334</v>
      </c>
      <c r="J329">
        <v>4</v>
      </c>
      <c r="K329" s="5">
        <v>2783.8</v>
      </c>
      <c r="L329" s="5">
        <v>1640</v>
      </c>
      <c r="M329">
        <v>0.41087721799999999</v>
      </c>
      <c r="N329" s="5">
        <v>1143.8</v>
      </c>
      <c r="O329" s="5">
        <v>285.95</v>
      </c>
      <c r="P329">
        <v>0</v>
      </c>
      <c r="Q329" s="5">
        <v>0</v>
      </c>
      <c r="R329" s="5">
        <v>0</v>
      </c>
      <c r="S329" s="5">
        <v>410</v>
      </c>
    </row>
    <row r="330" spans="1:19">
      <c r="A330">
        <v>35</v>
      </c>
      <c r="B330" t="s">
        <v>93</v>
      </c>
      <c r="C330" t="s">
        <v>97</v>
      </c>
      <c r="D330" t="s">
        <v>95</v>
      </c>
      <c r="E330">
        <v>153020842</v>
      </c>
      <c r="F330" t="s">
        <v>395</v>
      </c>
      <c r="G330" t="s">
        <v>396</v>
      </c>
      <c r="H330" t="s">
        <v>355</v>
      </c>
      <c r="I330" t="s">
        <v>333</v>
      </c>
      <c r="J330">
        <v>4</v>
      </c>
      <c r="K330" s="5">
        <v>2451.7199999999998</v>
      </c>
      <c r="L330" s="5">
        <v>1240</v>
      </c>
      <c r="M330">
        <v>0.49423262000000001</v>
      </c>
      <c r="N330" s="5">
        <v>1211.72</v>
      </c>
      <c r="O330" s="5">
        <v>302.93</v>
      </c>
      <c r="P330">
        <v>0</v>
      </c>
      <c r="Q330" s="5">
        <v>0</v>
      </c>
      <c r="R330" s="5">
        <v>0</v>
      </c>
      <c r="S330" s="5">
        <v>310</v>
      </c>
    </row>
    <row r="331" spans="1:19">
      <c r="A331">
        <v>35</v>
      </c>
      <c r="B331" t="s">
        <v>93</v>
      </c>
      <c r="C331" t="s">
        <v>97</v>
      </c>
      <c r="D331" t="s">
        <v>95</v>
      </c>
      <c r="E331">
        <v>153020842</v>
      </c>
      <c r="F331" t="s">
        <v>395</v>
      </c>
      <c r="G331" t="s">
        <v>396</v>
      </c>
      <c r="H331" t="s">
        <v>355</v>
      </c>
      <c r="I331" t="s">
        <v>333</v>
      </c>
      <c r="J331">
        <v>0</v>
      </c>
      <c r="L331" s="5">
        <v>0</v>
      </c>
      <c r="M331">
        <v>0</v>
      </c>
      <c r="N331" s="5">
        <v>0</v>
      </c>
      <c r="O331" s="5">
        <v>0</v>
      </c>
      <c r="P331">
        <v>4</v>
      </c>
      <c r="Q331" s="5">
        <v>1240</v>
      </c>
      <c r="R331" s="5">
        <v>724.99</v>
      </c>
      <c r="S331" s="5">
        <v>310</v>
      </c>
    </row>
    <row r="332" spans="1:19">
      <c r="A332">
        <v>35</v>
      </c>
      <c r="B332" t="s">
        <v>93</v>
      </c>
      <c r="C332" t="s">
        <v>97</v>
      </c>
      <c r="D332" t="s">
        <v>95</v>
      </c>
      <c r="E332">
        <v>153020842</v>
      </c>
      <c r="F332" t="s">
        <v>395</v>
      </c>
      <c r="G332" t="s">
        <v>396</v>
      </c>
      <c r="H332" t="s">
        <v>355</v>
      </c>
      <c r="I332" t="s">
        <v>338</v>
      </c>
      <c r="J332">
        <v>0</v>
      </c>
      <c r="L332" s="5">
        <v>0</v>
      </c>
      <c r="M332">
        <v>0</v>
      </c>
      <c r="N332" s="5">
        <v>0</v>
      </c>
      <c r="O332" s="5">
        <v>0</v>
      </c>
      <c r="P332">
        <v>2</v>
      </c>
      <c r="Q332" s="5">
        <v>1200</v>
      </c>
      <c r="R332" s="5">
        <v>1080.6600000000001</v>
      </c>
      <c r="S332" s="5">
        <v>600</v>
      </c>
    </row>
    <row r="333" spans="1:19">
      <c r="A333">
        <v>35</v>
      </c>
      <c r="B333" t="s">
        <v>93</v>
      </c>
      <c r="C333" t="s">
        <v>97</v>
      </c>
      <c r="D333" t="s">
        <v>95</v>
      </c>
      <c r="E333">
        <v>153020842</v>
      </c>
      <c r="F333" t="s">
        <v>395</v>
      </c>
      <c r="G333" t="s">
        <v>396</v>
      </c>
      <c r="H333" t="s">
        <v>355</v>
      </c>
      <c r="I333" t="s">
        <v>334</v>
      </c>
      <c r="J333">
        <v>0</v>
      </c>
      <c r="L333" s="5">
        <v>0</v>
      </c>
      <c r="M333">
        <v>0</v>
      </c>
      <c r="N333" s="5">
        <v>0</v>
      </c>
      <c r="O333" s="5">
        <v>0</v>
      </c>
      <c r="P333">
        <v>4</v>
      </c>
      <c r="Q333" s="5">
        <v>1640</v>
      </c>
      <c r="R333" s="5">
        <v>1301.07</v>
      </c>
      <c r="S333" s="5">
        <v>410</v>
      </c>
    </row>
    <row r="334" spans="1:19">
      <c r="A334">
        <v>35</v>
      </c>
      <c r="B334" t="s">
        <v>93</v>
      </c>
      <c r="C334" t="s">
        <v>97</v>
      </c>
      <c r="D334" t="s">
        <v>95</v>
      </c>
      <c r="E334">
        <v>153020842</v>
      </c>
      <c r="F334" t="s">
        <v>395</v>
      </c>
      <c r="G334" t="s">
        <v>396</v>
      </c>
      <c r="H334" t="s">
        <v>355</v>
      </c>
      <c r="I334" t="s">
        <v>334</v>
      </c>
      <c r="J334">
        <v>0</v>
      </c>
      <c r="L334" s="5">
        <v>0</v>
      </c>
      <c r="M334">
        <v>0</v>
      </c>
      <c r="N334" s="5">
        <v>0</v>
      </c>
      <c r="O334" s="5">
        <v>0</v>
      </c>
      <c r="P334">
        <v>4</v>
      </c>
      <c r="Q334" s="5">
        <v>1640</v>
      </c>
      <c r="R334" s="5">
        <v>1364.54</v>
      </c>
      <c r="S334" s="5">
        <v>410</v>
      </c>
    </row>
    <row r="335" spans="1:19">
      <c r="A335">
        <v>35</v>
      </c>
      <c r="B335" t="s">
        <v>93</v>
      </c>
      <c r="C335" t="s">
        <v>97</v>
      </c>
      <c r="D335" t="s">
        <v>95</v>
      </c>
      <c r="E335">
        <v>153020842</v>
      </c>
      <c r="F335" t="s">
        <v>395</v>
      </c>
      <c r="G335" t="s">
        <v>396</v>
      </c>
      <c r="H335" t="s">
        <v>355</v>
      </c>
      <c r="I335" t="s">
        <v>334</v>
      </c>
      <c r="J335">
        <v>4</v>
      </c>
      <c r="K335" s="5">
        <v>2699.92</v>
      </c>
      <c r="L335" s="5">
        <v>1640</v>
      </c>
      <c r="M335">
        <v>0.392574594</v>
      </c>
      <c r="N335" s="5">
        <v>1059.92</v>
      </c>
      <c r="O335" s="5">
        <v>264.98</v>
      </c>
      <c r="P335">
        <v>0</v>
      </c>
      <c r="Q335" s="5">
        <v>0</v>
      </c>
      <c r="R335" s="5">
        <v>0</v>
      </c>
      <c r="S335" s="5">
        <v>410</v>
      </c>
    </row>
    <row r="336" spans="1:19">
      <c r="A336">
        <v>35</v>
      </c>
      <c r="B336" t="s">
        <v>93</v>
      </c>
      <c r="C336" t="s">
        <v>97</v>
      </c>
      <c r="D336" t="s">
        <v>95</v>
      </c>
      <c r="E336">
        <v>153020842</v>
      </c>
      <c r="F336" t="s">
        <v>395</v>
      </c>
      <c r="G336" t="s">
        <v>396</v>
      </c>
      <c r="H336" t="s">
        <v>355</v>
      </c>
      <c r="I336" t="s">
        <v>338</v>
      </c>
      <c r="J336">
        <v>0</v>
      </c>
      <c r="L336" s="5">
        <v>0</v>
      </c>
      <c r="M336">
        <v>0</v>
      </c>
      <c r="N336" s="5">
        <v>0</v>
      </c>
      <c r="O336" s="5">
        <v>0</v>
      </c>
      <c r="P336">
        <v>3</v>
      </c>
      <c r="Q336" s="5">
        <v>1800</v>
      </c>
      <c r="R336" s="5">
        <v>1293.4100000000001</v>
      </c>
      <c r="S336" s="5">
        <v>600</v>
      </c>
    </row>
    <row r="337" spans="1:19">
      <c r="A337">
        <v>35</v>
      </c>
      <c r="B337" t="s">
        <v>93</v>
      </c>
      <c r="C337" t="s">
        <v>97</v>
      </c>
      <c r="D337" t="s">
        <v>95</v>
      </c>
      <c r="E337">
        <v>153020842</v>
      </c>
      <c r="F337" t="s">
        <v>395</v>
      </c>
      <c r="G337" t="s">
        <v>396</v>
      </c>
      <c r="H337" t="s">
        <v>355</v>
      </c>
      <c r="I337" t="s">
        <v>334</v>
      </c>
      <c r="J337">
        <v>4</v>
      </c>
      <c r="K337" s="5">
        <v>3275.4</v>
      </c>
      <c r="L337" s="5">
        <v>1640</v>
      </c>
      <c r="M337">
        <v>0.49929779499999999</v>
      </c>
      <c r="N337" s="5">
        <v>1635.4</v>
      </c>
      <c r="O337" s="5">
        <v>408.85</v>
      </c>
      <c r="P337">
        <v>0</v>
      </c>
      <c r="Q337" s="5">
        <v>0</v>
      </c>
      <c r="R337" s="5">
        <v>0</v>
      </c>
      <c r="S337" s="5">
        <v>410</v>
      </c>
    </row>
    <row r="338" spans="1:19">
      <c r="A338">
        <v>35</v>
      </c>
      <c r="B338" t="s">
        <v>93</v>
      </c>
      <c r="C338" t="s">
        <v>97</v>
      </c>
      <c r="D338" t="s">
        <v>95</v>
      </c>
      <c r="E338">
        <v>153020842</v>
      </c>
      <c r="F338" t="s">
        <v>395</v>
      </c>
      <c r="G338" t="s">
        <v>396</v>
      </c>
      <c r="H338" t="s">
        <v>355</v>
      </c>
      <c r="I338" t="s">
        <v>334</v>
      </c>
      <c r="J338">
        <v>4</v>
      </c>
      <c r="K338" s="5">
        <v>3167.68</v>
      </c>
      <c r="L338" s="5">
        <v>1640</v>
      </c>
      <c r="M338">
        <v>0.48227093599999998</v>
      </c>
      <c r="N338" s="5">
        <v>1527.68</v>
      </c>
      <c r="O338" s="5">
        <v>381.92</v>
      </c>
      <c r="P338">
        <v>0</v>
      </c>
      <c r="Q338" s="5">
        <v>0</v>
      </c>
      <c r="R338" s="5">
        <v>0</v>
      </c>
      <c r="S338" s="5">
        <v>410</v>
      </c>
    </row>
    <row r="339" spans="1:19">
      <c r="A339">
        <v>35</v>
      </c>
      <c r="B339" t="s">
        <v>93</v>
      </c>
      <c r="C339" t="s">
        <v>97</v>
      </c>
      <c r="D339" t="s">
        <v>95</v>
      </c>
      <c r="E339">
        <v>153020842</v>
      </c>
      <c r="F339" t="s">
        <v>395</v>
      </c>
      <c r="G339" t="s">
        <v>396</v>
      </c>
      <c r="H339" t="s">
        <v>355</v>
      </c>
      <c r="I339" t="s">
        <v>338</v>
      </c>
      <c r="J339">
        <v>0</v>
      </c>
      <c r="L339" s="5">
        <v>0</v>
      </c>
      <c r="M339">
        <v>0</v>
      </c>
      <c r="N339" s="5">
        <v>0</v>
      </c>
      <c r="O339" s="5">
        <v>0</v>
      </c>
      <c r="P339">
        <v>2</v>
      </c>
      <c r="Q339" s="5">
        <v>1200</v>
      </c>
      <c r="R339" s="5">
        <v>729.3</v>
      </c>
      <c r="S339" s="5">
        <v>600</v>
      </c>
    </row>
    <row r="340" spans="1:19">
      <c r="A340">
        <v>35</v>
      </c>
      <c r="B340" t="s">
        <v>93</v>
      </c>
      <c r="C340" t="s">
        <v>97</v>
      </c>
      <c r="D340" t="s">
        <v>95</v>
      </c>
      <c r="E340">
        <v>153020842</v>
      </c>
      <c r="F340" t="s">
        <v>395</v>
      </c>
      <c r="G340" t="s">
        <v>396</v>
      </c>
      <c r="H340" t="s">
        <v>355</v>
      </c>
      <c r="I340" t="s">
        <v>338</v>
      </c>
      <c r="J340">
        <v>0</v>
      </c>
      <c r="L340" s="5">
        <v>0</v>
      </c>
      <c r="M340">
        <v>0</v>
      </c>
      <c r="N340" s="5">
        <v>0</v>
      </c>
      <c r="O340" s="5">
        <v>0</v>
      </c>
      <c r="P340">
        <v>3</v>
      </c>
      <c r="Q340" s="5">
        <v>1800</v>
      </c>
      <c r="R340" s="5">
        <v>1363.32</v>
      </c>
      <c r="S340" s="5">
        <v>600</v>
      </c>
    </row>
    <row r="341" spans="1:19">
      <c r="A341">
        <v>35</v>
      </c>
      <c r="B341" t="s">
        <v>93</v>
      </c>
      <c r="C341" t="s">
        <v>97</v>
      </c>
      <c r="D341" t="s">
        <v>95</v>
      </c>
      <c r="E341">
        <v>153020842</v>
      </c>
      <c r="F341" t="s">
        <v>395</v>
      </c>
      <c r="G341" t="s">
        <v>396</v>
      </c>
      <c r="H341" t="s">
        <v>355</v>
      </c>
      <c r="I341" t="s">
        <v>334</v>
      </c>
      <c r="J341">
        <v>4</v>
      </c>
      <c r="K341" s="5">
        <v>2873.6</v>
      </c>
      <c r="L341" s="5">
        <v>1640</v>
      </c>
      <c r="M341">
        <v>0.42928730500000001</v>
      </c>
      <c r="N341" s="5">
        <v>1233.5999999999999</v>
      </c>
      <c r="O341" s="5">
        <v>308.39999999999998</v>
      </c>
      <c r="P341">
        <v>0</v>
      </c>
      <c r="Q341" s="5">
        <v>0</v>
      </c>
      <c r="R341" s="5">
        <v>0</v>
      </c>
      <c r="S341" s="5">
        <v>410</v>
      </c>
    </row>
    <row r="342" spans="1:19">
      <c r="A342">
        <v>35</v>
      </c>
      <c r="B342" t="s">
        <v>93</v>
      </c>
      <c r="C342" t="s">
        <v>97</v>
      </c>
      <c r="D342" t="s">
        <v>95</v>
      </c>
      <c r="E342">
        <v>153020842</v>
      </c>
      <c r="F342" t="s">
        <v>395</v>
      </c>
      <c r="G342" t="s">
        <v>396</v>
      </c>
      <c r="H342" t="s">
        <v>355</v>
      </c>
      <c r="I342" t="s">
        <v>334</v>
      </c>
      <c r="J342">
        <v>4</v>
      </c>
      <c r="K342" s="5">
        <v>1916.43</v>
      </c>
      <c r="L342" s="5">
        <v>1640</v>
      </c>
      <c r="M342">
        <v>0.14424215800000001</v>
      </c>
      <c r="N342" s="5">
        <v>276.43</v>
      </c>
      <c r="O342" s="5">
        <v>69.11</v>
      </c>
      <c r="P342">
        <v>0</v>
      </c>
      <c r="Q342" s="5">
        <v>0</v>
      </c>
      <c r="R342" s="5">
        <v>0</v>
      </c>
      <c r="S342" s="5">
        <v>410</v>
      </c>
    </row>
    <row r="343" spans="1:19">
      <c r="A343">
        <v>35</v>
      </c>
      <c r="B343" t="s">
        <v>93</v>
      </c>
      <c r="C343" t="s">
        <v>97</v>
      </c>
      <c r="D343" t="s">
        <v>95</v>
      </c>
      <c r="E343">
        <v>153020842</v>
      </c>
      <c r="F343" t="s">
        <v>395</v>
      </c>
      <c r="G343" t="s">
        <v>396</v>
      </c>
      <c r="H343" t="s">
        <v>355</v>
      </c>
      <c r="I343" t="s">
        <v>334</v>
      </c>
      <c r="J343">
        <v>4</v>
      </c>
      <c r="K343" s="5">
        <v>1800.5</v>
      </c>
      <c r="L343" s="5">
        <v>1640</v>
      </c>
      <c r="M343">
        <v>8.9141904999999994E-2</v>
      </c>
      <c r="N343" s="5">
        <v>160.5</v>
      </c>
      <c r="O343" s="5">
        <v>40.119999999999997</v>
      </c>
      <c r="P343">
        <v>0</v>
      </c>
      <c r="Q343" s="5">
        <v>0</v>
      </c>
      <c r="R343" s="5">
        <v>0</v>
      </c>
      <c r="S343" s="5">
        <v>410</v>
      </c>
    </row>
    <row r="344" spans="1:19">
      <c r="A344">
        <v>35</v>
      </c>
      <c r="B344" t="s">
        <v>93</v>
      </c>
      <c r="C344" t="s">
        <v>97</v>
      </c>
      <c r="D344" t="s">
        <v>95</v>
      </c>
      <c r="E344">
        <v>153020842</v>
      </c>
      <c r="F344" t="s">
        <v>395</v>
      </c>
      <c r="G344" t="s">
        <v>396</v>
      </c>
      <c r="H344" t="s">
        <v>355</v>
      </c>
      <c r="I344" t="s">
        <v>334</v>
      </c>
      <c r="J344">
        <v>4</v>
      </c>
      <c r="K344" s="5">
        <v>1809.72</v>
      </c>
      <c r="L344" s="5">
        <v>1640</v>
      </c>
      <c r="M344">
        <v>9.3782462999999996E-2</v>
      </c>
      <c r="N344" s="5">
        <v>169.72</v>
      </c>
      <c r="O344" s="5">
        <v>42.43</v>
      </c>
      <c r="P344">
        <v>0</v>
      </c>
      <c r="Q344" s="5">
        <v>0</v>
      </c>
      <c r="R344" s="5">
        <v>0</v>
      </c>
      <c r="S344" s="5">
        <v>410</v>
      </c>
    </row>
    <row r="345" spans="1:19">
      <c r="A345">
        <v>35</v>
      </c>
      <c r="B345" t="s">
        <v>93</v>
      </c>
      <c r="C345" t="s">
        <v>97</v>
      </c>
      <c r="D345" t="s">
        <v>95</v>
      </c>
      <c r="E345">
        <v>153020842</v>
      </c>
      <c r="F345" t="s">
        <v>395</v>
      </c>
      <c r="G345" t="s">
        <v>396</v>
      </c>
      <c r="H345" t="s">
        <v>355</v>
      </c>
      <c r="I345" t="s">
        <v>334</v>
      </c>
      <c r="J345">
        <v>0</v>
      </c>
      <c r="L345" s="5">
        <v>0</v>
      </c>
      <c r="M345">
        <v>0</v>
      </c>
      <c r="N345" s="5">
        <v>0</v>
      </c>
      <c r="O345" s="5">
        <v>0</v>
      </c>
      <c r="P345">
        <v>4</v>
      </c>
      <c r="Q345" s="5">
        <v>1640</v>
      </c>
      <c r="R345" s="5">
        <v>1516.68</v>
      </c>
      <c r="S345" s="5">
        <v>410</v>
      </c>
    </row>
    <row r="346" spans="1:19">
      <c r="A346">
        <v>35</v>
      </c>
      <c r="B346" t="s">
        <v>93</v>
      </c>
      <c r="C346" t="s">
        <v>97</v>
      </c>
      <c r="D346" t="s">
        <v>95</v>
      </c>
      <c r="E346">
        <v>153020842</v>
      </c>
      <c r="F346" t="s">
        <v>395</v>
      </c>
      <c r="G346" t="s">
        <v>396</v>
      </c>
      <c r="H346" t="s">
        <v>355</v>
      </c>
      <c r="I346" t="s">
        <v>333</v>
      </c>
      <c r="J346">
        <v>4</v>
      </c>
      <c r="K346" s="5">
        <v>1730.76</v>
      </c>
      <c r="L346" s="5">
        <v>1320</v>
      </c>
      <c r="M346">
        <v>0.23732926500000001</v>
      </c>
      <c r="N346" s="5">
        <v>410.76</v>
      </c>
      <c r="O346" s="5">
        <v>102.69</v>
      </c>
      <c r="P346">
        <v>0</v>
      </c>
      <c r="Q346" s="5">
        <v>0</v>
      </c>
      <c r="R346" s="5">
        <v>0</v>
      </c>
      <c r="S346" s="5">
        <v>330</v>
      </c>
    </row>
    <row r="347" spans="1:19">
      <c r="A347">
        <v>35</v>
      </c>
      <c r="B347" t="s">
        <v>93</v>
      </c>
      <c r="C347" t="s">
        <v>97</v>
      </c>
      <c r="D347" t="s">
        <v>95</v>
      </c>
      <c r="E347">
        <v>153020842</v>
      </c>
      <c r="F347" t="s">
        <v>395</v>
      </c>
      <c r="G347" t="s">
        <v>396</v>
      </c>
      <c r="H347" t="s">
        <v>355</v>
      </c>
      <c r="I347" t="s">
        <v>338</v>
      </c>
      <c r="J347">
        <v>0</v>
      </c>
      <c r="L347" s="5">
        <v>0</v>
      </c>
      <c r="M347">
        <v>0</v>
      </c>
      <c r="N347" s="5">
        <v>0</v>
      </c>
      <c r="O347" s="5">
        <v>0</v>
      </c>
      <c r="P347">
        <v>2</v>
      </c>
      <c r="Q347" s="5">
        <v>1200</v>
      </c>
      <c r="R347" s="5">
        <v>666.93</v>
      </c>
      <c r="S347" s="5">
        <v>600</v>
      </c>
    </row>
    <row r="348" spans="1:19">
      <c r="A348">
        <v>35</v>
      </c>
      <c r="B348" t="s">
        <v>93</v>
      </c>
      <c r="C348" t="s">
        <v>97</v>
      </c>
      <c r="D348" t="s">
        <v>95</v>
      </c>
      <c r="E348">
        <v>153020842</v>
      </c>
      <c r="F348" t="s">
        <v>395</v>
      </c>
      <c r="G348" t="s">
        <v>396</v>
      </c>
      <c r="H348" t="s">
        <v>355</v>
      </c>
      <c r="I348" t="s">
        <v>334</v>
      </c>
      <c r="J348">
        <v>0</v>
      </c>
      <c r="L348" s="5">
        <v>0</v>
      </c>
      <c r="M348">
        <v>0</v>
      </c>
      <c r="N348" s="5">
        <v>0</v>
      </c>
      <c r="O348" s="5">
        <v>0</v>
      </c>
      <c r="P348">
        <v>4</v>
      </c>
      <c r="Q348" s="5">
        <v>1640</v>
      </c>
      <c r="R348" s="5">
        <v>1432.42</v>
      </c>
      <c r="S348" s="5">
        <v>410</v>
      </c>
    </row>
    <row r="349" spans="1:19">
      <c r="A349">
        <v>35</v>
      </c>
      <c r="B349" t="s">
        <v>93</v>
      </c>
      <c r="C349" t="s">
        <v>97</v>
      </c>
      <c r="D349" t="s">
        <v>95</v>
      </c>
      <c r="E349">
        <v>153020842</v>
      </c>
      <c r="F349" t="s">
        <v>395</v>
      </c>
      <c r="G349" t="s">
        <v>396</v>
      </c>
      <c r="H349" t="s">
        <v>355</v>
      </c>
      <c r="I349" t="s">
        <v>343</v>
      </c>
      <c r="J349">
        <v>0</v>
      </c>
      <c r="L349" s="5">
        <v>0</v>
      </c>
      <c r="M349">
        <v>0</v>
      </c>
      <c r="N349" s="5">
        <v>0</v>
      </c>
      <c r="O349" s="5">
        <v>0</v>
      </c>
      <c r="P349">
        <v>2</v>
      </c>
      <c r="Q349" s="5">
        <v>860</v>
      </c>
      <c r="R349" s="5">
        <v>549.36</v>
      </c>
      <c r="S349" s="5">
        <v>430</v>
      </c>
    </row>
    <row r="350" spans="1:19">
      <c r="A350">
        <v>35</v>
      </c>
      <c r="B350" t="s">
        <v>93</v>
      </c>
      <c r="C350" t="s">
        <v>97</v>
      </c>
      <c r="D350" t="s">
        <v>95</v>
      </c>
      <c r="E350">
        <v>153020842</v>
      </c>
      <c r="F350" t="s">
        <v>395</v>
      </c>
      <c r="G350" t="s">
        <v>396</v>
      </c>
      <c r="H350" t="s">
        <v>355</v>
      </c>
      <c r="I350" t="s">
        <v>333</v>
      </c>
      <c r="J350">
        <v>4</v>
      </c>
      <c r="K350" s="5">
        <v>2227.08</v>
      </c>
      <c r="L350" s="5">
        <v>1240</v>
      </c>
      <c r="M350">
        <v>0.44321712699999999</v>
      </c>
      <c r="N350" s="5">
        <v>987.08</v>
      </c>
      <c r="O350" s="5">
        <v>246.77</v>
      </c>
      <c r="P350">
        <v>0</v>
      </c>
      <c r="Q350" s="5">
        <v>0</v>
      </c>
      <c r="R350" s="5">
        <v>0</v>
      </c>
      <c r="S350" s="5">
        <v>310</v>
      </c>
    </row>
    <row r="351" spans="1:19">
      <c r="A351">
        <v>35</v>
      </c>
      <c r="B351" t="s">
        <v>93</v>
      </c>
      <c r="C351" t="s">
        <v>97</v>
      </c>
      <c r="D351" t="s">
        <v>95</v>
      </c>
      <c r="E351">
        <v>153020842</v>
      </c>
      <c r="F351" t="s">
        <v>395</v>
      </c>
      <c r="G351" t="s">
        <v>396</v>
      </c>
      <c r="H351" t="s">
        <v>355</v>
      </c>
      <c r="I351" t="s">
        <v>333</v>
      </c>
      <c r="J351">
        <v>0</v>
      </c>
      <c r="L351" s="5">
        <v>0</v>
      </c>
      <c r="M351">
        <v>0</v>
      </c>
      <c r="N351" s="5">
        <v>0</v>
      </c>
      <c r="O351" s="5">
        <v>0</v>
      </c>
      <c r="P351">
        <v>4</v>
      </c>
      <c r="Q351" s="5">
        <v>1240</v>
      </c>
      <c r="R351" s="5">
        <v>958.48</v>
      </c>
      <c r="S351" s="5">
        <v>310</v>
      </c>
    </row>
    <row r="352" spans="1:19">
      <c r="A352">
        <v>35</v>
      </c>
      <c r="B352" t="s">
        <v>93</v>
      </c>
      <c r="C352" t="s">
        <v>97</v>
      </c>
      <c r="D352" t="s">
        <v>95</v>
      </c>
      <c r="E352">
        <v>153020842</v>
      </c>
      <c r="F352" t="s">
        <v>395</v>
      </c>
      <c r="G352" t="s">
        <v>396</v>
      </c>
      <c r="H352" t="s">
        <v>355</v>
      </c>
      <c r="I352" t="s">
        <v>334</v>
      </c>
      <c r="J352">
        <v>2</v>
      </c>
      <c r="K352" s="5">
        <v>1400.2</v>
      </c>
      <c r="L352" s="5">
        <v>1200</v>
      </c>
      <c r="M352">
        <v>0.142979574</v>
      </c>
      <c r="N352" s="5">
        <v>200.2</v>
      </c>
      <c r="O352" s="5">
        <v>100.1</v>
      </c>
      <c r="P352">
        <v>0</v>
      </c>
      <c r="Q352" s="5">
        <v>0</v>
      </c>
      <c r="R352" s="5">
        <v>0</v>
      </c>
      <c r="S352" s="5">
        <v>600</v>
      </c>
    </row>
    <row r="353" spans="1:19">
      <c r="A353">
        <v>35</v>
      </c>
      <c r="B353" t="s">
        <v>93</v>
      </c>
      <c r="C353" t="s">
        <v>97</v>
      </c>
      <c r="D353" t="s">
        <v>95</v>
      </c>
      <c r="E353">
        <v>153020842</v>
      </c>
      <c r="F353" t="s">
        <v>395</v>
      </c>
      <c r="G353" t="s">
        <v>396</v>
      </c>
      <c r="H353" t="s">
        <v>355</v>
      </c>
      <c r="I353" t="s">
        <v>333</v>
      </c>
      <c r="J353">
        <v>4</v>
      </c>
      <c r="K353" s="5">
        <v>1613.07</v>
      </c>
      <c r="L353" s="5">
        <v>1240</v>
      </c>
      <c r="M353">
        <v>0.23127948500000001</v>
      </c>
      <c r="N353" s="5">
        <v>373.07</v>
      </c>
      <c r="O353" s="5">
        <v>93.27</v>
      </c>
      <c r="P353">
        <v>0</v>
      </c>
      <c r="Q353" s="5">
        <v>0</v>
      </c>
      <c r="R353" s="5">
        <v>0</v>
      </c>
      <c r="S353" s="5">
        <v>310</v>
      </c>
    </row>
    <row r="354" spans="1:19">
      <c r="A354">
        <v>35</v>
      </c>
      <c r="B354" t="s">
        <v>93</v>
      </c>
      <c r="C354" t="s">
        <v>97</v>
      </c>
      <c r="D354" t="s">
        <v>95</v>
      </c>
      <c r="E354">
        <v>153020842</v>
      </c>
      <c r="F354" t="s">
        <v>395</v>
      </c>
      <c r="G354" t="s">
        <v>396</v>
      </c>
      <c r="H354" t="s">
        <v>355</v>
      </c>
      <c r="I354" t="s">
        <v>333</v>
      </c>
      <c r="J354">
        <v>4</v>
      </c>
      <c r="K354" s="5">
        <v>3064.01</v>
      </c>
      <c r="L354" s="5">
        <v>1240</v>
      </c>
      <c r="M354">
        <v>0.59530158099999997</v>
      </c>
      <c r="N354" s="5">
        <v>1824.01</v>
      </c>
      <c r="O354" s="5">
        <v>456</v>
      </c>
      <c r="P354">
        <v>0</v>
      </c>
      <c r="Q354" s="5">
        <v>0</v>
      </c>
      <c r="R354" s="5">
        <v>0</v>
      </c>
      <c r="S354" s="5">
        <v>310</v>
      </c>
    </row>
    <row r="355" spans="1:19">
      <c r="A355">
        <v>35</v>
      </c>
      <c r="B355" t="s">
        <v>93</v>
      </c>
      <c r="C355" t="s">
        <v>97</v>
      </c>
      <c r="D355" t="s">
        <v>95</v>
      </c>
      <c r="E355">
        <v>153020842</v>
      </c>
      <c r="F355" t="s">
        <v>395</v>
      </c>
      <c r="G355" t="s">
        <v>396</v>
      </c>
      <c r="H355" t="s">
        <v>355</v>
      </c>
      <c r="I355" t="s">
        <v>334</v>
      </c>
      <c r="J355">
        <v>4</v>
      </c>
      <c r="K355" s="5">
        <v>1768.28</v>
      </c>
      <c r="L355" s="5">
        <v>1640</v>
      </c>
      <c r="M355">
        <v>7.2545072000000002E-2</v>
      </c>
      <c r="N355" s="5">
        <v>128.28</v>
      </c>
      <c r="O355" s="5">
        <v>32.07</v>
      </c>
      <c r="P355">
        <v>0</v>
      </c>
      <c r="Q355" s="5">
        <v>0</v>
      </c>
      <c r="R355" s="5">
        <v>0</v>
      </c>
      <c r="S355" s="5">
        <v>410</v>
      </c>
    </row>
    <row r="356" spans="1:19">
      <c r="A356">
        <v>35</v>
      </c>
      <c r="B356" t="s">
        <v>93</v>
      </c>
      <c r="C356" t="s">
        <v>97</v>
      </c>
      <c r="D356" t="s">
        <v>95</v>
      </c>
      <c r="E356">
        <v>153020842</v>
      </c>
      <c r="F356" t="s">
        <v>395</v>
      </c>
      <c r="G356" t="s">
        <v>396</v>
      </c>
      <c r="H356" t="s">
        <v>355</v>
      </c>
      <c r="I356" t="s">
        <v>333</v>
      </c>
      <c r="J356">
        <v>4</v>
      </c>
      <c r="K356" s="5">
        <v>2476.7399999999998</v>
      </c>
      <c r="L356" s="5">
        <v>1240</v>
      </c>
      <c r="M356">
        <v>0.49934187600000002</v>
      </c>
      <c r="N356" s="5">
        <v>1236.74</v>
      </c>
      <c r="O356" s="5">
        <v>309.18</v>
      </c>
      <c r="P356">
        <v>0</v>
      </c>
      <c r="Q356" s="5">
        <v>0</v>
      </c>
      <c r="R356" s="5">
        <v>0</v>
      </c>
      <c r="S356" s="5">
        <v>310</v>
      </c>
    </row>
    <row r="357" spans="1:19">
      <c r="A357">
        <v>35</v>
      </c>
      <c r="B357" t="s">
        <v>93</v>
      </c>
      <c r="C357" t="s">
        <v>97</v>
      </c>
      <c r="D357" t="s">
        <v>95</v>
      </c>
      <c r="E357">
        <v>153020842</v>
      </c>
      <c r="F357" t="s">
        <v>395</v>
      </c>
      <c r="G357" t="s">
        <v>396</v>
      </c>
      <c r="H357" t="s">
        <v>355</v>
      </c>
      <c r="I357" t="s">
        <v>333</v>
      </c>
      <c r="J357">
        <v>0</v>
      </c>
      <c r="L357" s="5">
        <v>0</v>
      </c>
      <c r="M357">
        <v>0</v>
      </c>
      <c r="N357" s="5">
        <v>0</v>
      </c>
      <c r="O357" s="5">
        <v>0</v>
      </c>
      <c r="P357">
        <v>4</v>
      </c>
      <c r="Q357" s="5">
        <v>1240</v>
      </c>
      <c r="R357" s="5">
        <v>906.68</v>
      </c>
      <c r="S357" s="5">
        <v>310</v>
      </c>
    </row>
    <row r="358" spans="1:19">
      <c r="A358">
        <v>34</v>
      </c>
      <c r="B358" t="s">
        <v>185</v>
      </c>
      <c r="C358" t="s">
        <v>352</v>
      </c>
      <c r="D358" t="s">
        <v>60</v>
      </c>
      <c r="E358">
        <v>153020842</v>
      </c>
      <c r="F358" t="s">
        <v>397</v>
      </c>
      <c r="G358" t="s">
        <v>398</v>
      </c>
      <c r="H358" t="s">
        <v>68</v>
      </c>
      <c r="I358" t="s">
        <v>334</v>
      </c>
      <c r="J358">
        <v>4</v>
      </c>
      <c r="K358" s="5">
        <v>2623.4</v>
      </c>
      <c r="L358" s="5">
        <v>1640</v>
      </c>
      <c r="M358">
        <v>0.37485705499999999</v>
      </c>
      <c r="N358" s="5">
        <v>983.4</v>
      </c>
      <c r="O358" s="5">
        <v>245.85</v>
      </c>
      <c r="P358">
        <v>0</v>
      </c>
      <c r="Q358" s="5">
        <v>0</v>
      </c>
      <c r="R358" s="5">
        <v>0</v>
      </c>
      <c r="S358" s="5">
        <v>410</v>
      </c>
    </row>
    <row r="359" spans="1:19">
      <c r="A359">
        <v>34</v>
      </c>
      <c r="B359" t="s">
        <v>185</v>
      </c>
      <c r="C359" t="s">
        <v>352</v>
      </c>
      <c r="D359" t="s">
        <v>60</v>
      </c>
      <c r="E359">
        <v>153021562</v>
      </c>
      <c r="F359" t="s">
        <v>397</v>
      </c>
      <c r="G359" t="s">
        <v>398</v>
      </c>
      <c r="H359" t="s">
        <v>68</v>
      </c>
      <c r="I359" t="s">
        <v>334</v>
      </c>
      <c r="J359">
        <v>4</v>
      </c>
      <c r="K359" s="5">
        <v>2205.84</v>
      </c>
      <c r="L359" s="5">
        <v>1640</v>
      </c>
      <c r="M359">
        <v>0.25651905800000002</v>
      </c>
      <c r="N359" s="5">
        <v>565.84</v>
      </c>
      <c r="O359" s="5">
        <v>141.46</v>
      </c>
      <c r="P359">
        <v>0</v>
      </c>
      <c r="Q359" s="5">
        <v>0</v>
      </c>
      <c r="R359" s="5">
        <v>0</v>
      </c>
      <c r="S359" s="5">
        <v>410</v>
      </c>
    </row>
    <row r="360" spans="1:19">
      <c r="A360">
        <v>34</v>
      </c>
      <c r="B360" t="s">
        <v>185</v>
      </c>
      <c r="C360" t="s">
        <v>352</v>
      </c>
      <c r="D360" t="s">
        <v>60</v>
      </c>
      <c r="E360">
        <v>153021562</v>
      </c>
      <c r="F360" t="s">
        <v>397</v>
      </c>
      <c r="G360" t="s">
        <v>398</v>
      </c>
      <c r="H360" t="s">
        <v>68</v>
      </c>
      <c r="I360" t="s">
        <v>333</v>
      </c>
      <c r="J360">
        <v>4</v>
      </c>
      <c r="K360" s="5">
        <v>1367.12</v>
      </c>
      <c r="L360" s="5">
        <v>1240</v>
      </c>
      <c r="M360">
        <v>9.2983789999999997E-2</v>
      </c>
      <c r="N360" s="5">
        <v>127.12</v>
      </c>
      <c r="O360" s="5">
        <v>31.78</v>
      </c>
      <c r="P360">
        <v>0</v>
      </c>
      <c r="Q360" s="5">
        <v>0</v>
      </c>
      <c r="R360" s="5">
        <v>0</v>
      </c>
      <c r="S360" s="5">
        <v>310</v>
      </c>
    </row>
    <row r="361" spans="1:19">
      <c r="A361">
        <v>34</v>
      </c>
      <c r="B361" t="s">
        <v>185</v>
      </c>
      <c r="C361" t="s">
        <v>352</v>
      </c>
      <c r="D361" t="s">
        <v>60</v>
      </c>
      <c r="E361">
        <v>153021562</v>
      </c>
      <c r="F361" t="s">
        <v>397</v>
      </c>
      <c r="G361" t="s">
        <v>398</v>
      </c>
      <c r="H361" t="s">
        <v>68</v>
      </c>
      <c r="I361" t="s">
        <v>334</v>
      </c>
      <c r="J361">
        <v>0</v>
      </c>
      <c r="L361" s="5">
        <v>0</v>
      </c>
      <c r="M361">
        <v>0</v>
      </c>
      <c r="N361" s="5">
        <v>0</v>
      </c>
      <c r="O361" s="5">
        <v>0</v>
      </c>
      <c r="P361">
        <v>4</v>
      </c>
      <c r="Q361" s="5">
        <v>1640</v>
      </c>
      <c r="R361" s="5">
        <v>1003.76</v>
      </c>
      <c r="S361" s="5">
        <v>410</v>
      </c>
    </row>
    <row r="362" spans="1:19">
      <c r="A362">
        <v>34</v>
      </c>
      <c r="B362" t="s">
        <v>185</v>
      </c>
      <c r="C362" t="s">
        <v>352</v>
      </c>
      <c r="D362" t="s">
        <v>60</v>
      </c>
      <c r="E362">
        <v>153021562</v>
      </c>
      <c r="F362" t="s">
        <v>397</v>
      </c>
      <c r="G362" t="s">
        <v>398</v>
      </c>
      <c r="H362" t="s">
        <v>68</v>
      </c>
      <c r="I362" t="s">
        <v>333</v>
      </c>
      <c r="J362">
        <v>4</v>
      </c>
      <c r="K362" s="5">
        <v>1709.86</v>
      </c>
      <c r="L362" s="5">
        <v>1600</v>
      </c>
      <c r="M362">
        <v>6.4250873999999999E-2</v>
      </c>
      <c r="N362" s="5">
        <v>109.86</v>
      </c>
      <c r="O362" s="5">
        <v>27.46</v>
      </c>
      <c r="P362">
        <v>0</v>
      </c>
      <c r="Q362" s="5">
        <v>0</v>
      </c>
      <c r="R362" s="5">
        <v>0</v>
      </c>
      <c r="S362" s="5">
        <v>400</v>
      </c>
    </row>
    <row r="363" spans="1:19">
      <c r="A363">
        <v>34</v>
      </c>
      <c r="B363" t="s">
        <v>185</v>
      </c>
      <c r="C363" t="s">
        <v>352</v>
      </c>
      <c r="D363" t="s">
        <v>60</v>
      </c>
      <c r="E363">
        <v>153021562</v>
      </c>
      <c r="F363" t="s">
        <v>397</v>
      </c>
      <c r="G363" t="s">
        <v>398</v>
      </c>
      <c r="H363" t="s">
        <v>68</v>
      </c>
      <c r="I363" t="s">
        <v>337</v>
      </c>
      <c r="J363">
        <v>4</v>
      </c>
      <c r="K363" s="5">
        <v>1032.42</v>
      </c>
      <c r="L363" s="5">
        <v>560</v>
      </c>
      <c r="M363">
        <v>0.457585091</v>
      </c>
      <c r="N363" s="5">
        <v>472.42</v>
      </c>
      <c r="O363" s="5">
        <v>118.1</v>
      </c>
      <c r="P363">
        <v>0</v>
      </c>
      <c r="Q363" s="5">
        <v>0</v>
      </c>
      <c r="R363" s="5">
        <v>0</v>
      </c>
      <c r="S363" s="5">
        <v>140</v>
      </c>
    </row>
    <row r="364" spans="1:19">
      <c r="A364">
        <v>34</v>
      </c>
      <c r="B364" t="s">
        <v>185</v>
      </c>
      <c r="C364" t="s">
        <v>352</v>
      </c>
      <c r="D364" t="s">
        <v>60</v>
      </c>
      <c r="E364">
        <v>153021562</v>
      </c>
      <c r="F364" t="s">
        <v>397</v>
      </c>
      <c r="G364" t="s">
        <v>398</v>
      </c>
      <c r="H364" t="s">
        <v>68</v>
      </c>
      <c r="I364" t="s">
        <v>334</v>
      </c>
      <c r="J364">
        <v>4</v>
      </c>
      <c r="K364" s="5">
        <v>3038.25</v>
      </c>
      <c r="L364" s="5">
        <v>1640</v>
      </c>
      <c r="M364">
        <v>0.46021558400000001</v>
      </c>
      <c r="N364" s="5">
        <v>1398.25</v>
      </c>
      <c r="O364" s="5">
        <v>349.56</v>
      </c>
      <c r="P364">
        <v>0</v>
      </c>
      <c r="Q364" s="5">
        <v>0</v>
      </c>
      <c r="R364" s="5">
        <v>0</v>
      </c>
      <c r="S364" s="5">
        <v>410</v>
      </c>
    </row>
    <row r="365" spans="1:19">
      <c r="A365">
        <v>34</v>
      </c>
      <c r="B365" t="s">
        <v>185</v>
      </c>
      <c r="C365" t="s">
        <v>352</v>
      </c>
      <c r="D365" t="s">
        <v>60</v>
      </c>
      <c r="E365">
        <v>153021562</v>
      </c>
      <c r="F365" t="s">
        <v>397</v>
      </c>
      <c r="G365" t="s">
        <v>398</v>
      </c>
      <c r="H365" t="s">
        <v>68</v>
      </c>
      <c r="I365" t="s">
        <v>333</v>
      </c>
      <c r="J365">
        <v>4</v>
      </c>
      <c r="K365" s="5">
        <v>1583.12</v>
      </c>
      <c r="L365" s="5">
        <v>1240</v>
      </c>
      <c r="M365">
        <v>0.21673656999999999</v>
      </c>
      <c r="N365" s="5">
        <v>343.12</v>
      </c>
      <c r="O365" s="5">
        <v>85.78</v>
      </c>
      <c r="P365">
        <v>0</v>
      </c>
      <c r="Q365" s="5">
        <v>0</v>
      </c>
      <c r="R365" s="5">
        <v>0</v>
      </c>
      <c r="S365" s="5">
        <v>310</v>
      </c>
    </row>
    <row r="366" spans="1:19">
      <c r="A366">
        <v>34</v>
      </c>
      <c r="B366" t="s">
        <v>185</v>
      </c>
      <c r="C366" t="s">
        <v>352</v>
      </c>
      <c r="D366" t="s">
        <v>60</v>
      </c>
      <c r="E366">
        <v>153021562</v>
      </c>
      <c r="F366" t="s">
        <v>397</v>
      </c>
      <c r="G366" t="s">
        <v>398</v>
      </c>
      <c r="H366" t="s">
        <v>68</v>
      </c>
      <c r="I366" t="s">
        <v>334</v>
      </c>
      <c r="J366">
        <v>0</v>
      </c>
      <c r="L366" s="5">
        <v>0</v>
      </c>
      <c r="M366">
        <v>0</v>
      </c>
      <c r="N366" s="5">
        <v>0</v>
      </c>
      <c r="O366" s="5">
        <v>0</v>
      </c>
      <c r="P366">
        <v>4</v>
      </c>
      <c r="Q366" s="5">
        <v>2000</v>
      </c>
      <c r="R366" s="5">
        <v>500</v>
      </c>
      <c r="S366" s="5">
        <v>500</v>
      </c>
    </row>
    <row r="367" spans="1:19">
      <c r="A367">
        <v>34</v>
      </c>
      <c r="B367" t="s">
        <v>185</v>
      </c>
      <c r="C367" t="s">
        <v>352</v>
      </c>
      <c r="D367" t="s">
        <v>60</v>
      </c>
      <c r="E367">
        <v>153021562</v>
      </c>
      <c r="F367" t="s">
        <v>397</v>
      </c>
      <c r="G367" t="s">
        <v>398</v>
      </c>
      <c r="H367" t="s">
        <v>68</v>
      </c>
      <c r="I367" t="s">
        <v>333</v>
      </c>
      <c r="J367">
        <v>0</v>
      </c>
      <c r="L367" s="5">
        <v>0</v>
      </c>
      <c r="M367">
        <v>0</v>
      </c>
      <c r="N367" s="5">
        <v>0</v>
      </c>
      <c r="O367" s="5">
        <v>0</v>
      </c>
      <c r="P367">
        <v>4</v>
      </c>
      <c r="Q367" s="5">
        <v>1240</v>
      </c>
      <c r="R367" s="5">
        <v>676.96</v>
      </c>
      <c r="S367" s="5">
        <v>310</v>
      </c>
    </row>
    <row r="368" spans="1:19">
      <c r="A368">
        <v>34</v>
      </c>
      <c r="B368" t="s">
        <v>185</v>
      </c>
      <c r="C368" t="s">
        <v>352</v>
      </c>
      <c r="D368" t="s">
        <v>60</v>
      </c>
      <c r="E368">
        <v>153021562</v>
      </c>
      <c r="F368" t="s">
        <v>397</v>
      </c>
      <c r="G368" t="s">
        <v>398</v>
      </c>
      <c r="H368" t="s">
        <v>68</v>
      </c>
      <c r="I368" t="s">
        <v>333</v>
      </c>
      <c r="J368">
        <v>4</v>
      </c>
      <c r="K368" s="5">
        <v>1617.14</v>
      </c>
      <c r="L368" s="5">
        <v>1240</v>
      </c>
      <c r="M368">
        <v>0.23321419199999999</v>
      </c>
      <c r="N368" s="5">
        <v>377.14</v>
      </c>
      <c r="O368" s="5">
        <v>94.28</v>
      </c>
      <c r="P368">
        <v>0</v>
      </c>
      <c r="Q368" s="5">
        <v>0</v>
      </c>
      <c r="R368" s="5">
        <v>0</v>
      </c>
      <c r="S368" s="5">
        <v>620</v>
      </c>
    </row>
    <row r="369" spans="1:19">
      <c r="A369">
        <v>34</v>
      </c>
      <c r="B369" t="s">
        <v>185</v>
      </c>
      <c r="C369" t="s">
        <v>352</v>
      </c>
      <c r="D369" t="s">
        <v>60</v>
      </c>
      <c r="E369">
        <v>153021562</v>
      </c>
      <c r="F369" t="s">
        <v>397</v>
      </c>
      <c r="G369" t="s">
        <v>398</v>
      </c>
      <c r="H369" t="s">
        <v>68</v>
      </c>
      <c r="I369" t="s">
        <v>334</v>
      </c>
      <c r="J369">
        <v>4</v>
      </c>
      <c r="K369" s="5">
        <v>2138.86</v>
      </c>
      <c r="L369" s="5">
        <v>1640</v>
      </c>
      <c r="M369">
        <v>0.23323639600000001</v>
      </c>
      <c r="N369" s="5">
        <v>498.86</v>
      </c>
      <c r="O369" s="5">
        <v>124.72</v>
      </c>
      <c r="P369">
        <v>0</v>
      </c>
      <c r="Q369" s="5">
        <v>0</v>
      </c>
      <c r="R369" s="5">
        <v>0</v>
      </c>
      <c r="S369" s="5">
        <v>410</v>
      </c>
    </row>
    <row r="370" spans="1:19">
      <c r="A370">
        <v>34</v>
      </c>
      <c r="B370" t="s">
        <v>185</v>
      </c>
      <c r="C370" t="s">
        <v>352</v>
      </c>
      <c r="D370" t="s">
        <v>60</v>
      </c>
      <c r="E370">
        <v>153021562</v>
      </c>
      <c r="F370" t="s">
        <v>397</v>
      </c>
      <c r="G370" t="s">
        <v>398</v>
      </c>
      <c r="H370" t="s">
        <v>68</v>
      </c>
      <c r="I370" t="s">
        <v>334</v>
      </c>
      <c r="J370">
        <v>4</v>
      </c>
      <c r="K370" s="5">
        <v>1828.72</v>
      </c>
      <c r="L370" s="5">
        <v>1640</v>
      </c>
      <c r="M370">
        <v>0.103197865</v>
      </c>
      <c r="N370" s="5">
        <v>188.72</v>
      </c>
      <c r="O370" s="5">
        <v>47.18</v>
      </c>
      <c r="P370">
        <v>0</v>
      </c>
      <c r="Q370" s="5">
        <v>0</v>
      </c>
      <c r="R370" s="5">
        <v>0</v>
      </c>
      <c r="S370" s="5">
        <v>410</v>
      </c>
    </row>
    <row r="371" spans="1:19">
      <c r="A371">
        <v>34</v>
      </c>
      <c r="B371" t="s">
        <v>185</v>
      </c>
      <c r="C371" t="s">
        <v>352</v>
      </c>
      <c r="D371" t="s">
        <v>60</v>
      </c>
      <c r="E371">
        <v>153021562</v>
      </c>
      <c r="F371" t="s">
        <v>397</v>
      </c>
      <c r="G371" t="s">
        <v>398</v>
      </c>
      <c r="H371" t="s">
        <v>68</v>
      </c>
      <c r="I371" t="s">
        <v>334</v>
      </c>
      <c r="J371">
        <v>4</v>
      </c>
      <c r="K371" s="5">
        <v>1979.12</v>
      </c>
      <c r="L371" s="5">
        <v>1640</v>
      </c>
      <c r="M371">
        <v>0.17134888200000001</v>
      </c>
      <c r="N371" s="5">
        <v>339.12</v>
      </c>
      <c r="O371" s="5">
        <v>84.78</v>
      </c>
      <c r="P371">
        <v>0</v>
      </c>
      <c r="Q371" s="5">
        <v>0</v>
      </c>
      <c r="R371" s="5">
        <v>0</v>
      </c>
      <c r="S371" s="5">
        <v>410</v>
      </c>
    </row>
    <row r="372" spans="1:19">
      <c r="A372">
        <v>34</v>
      </c>
      <c r="B372" t="s">
        <v>185</v>
      </c>
      <c r="C372" t="s">
        <v>352</v>
      </c>
      <c r="D372" t="s">
        <v>60</v>
      </c>
      <c r="E372">
        <v>153021562</v>
      </c>
      <c r="F372" t="s">
        <v>397</v>
      </c>
      <c r="G372" t="s">
        <v>398</v>
      </c>
      <c r="H372" t="s">
        <v>68</v>
      </c>
      <c r="I372" t="s">
        <v>337</v>
      </c>
      <c r="J372">
        <v>4</v>
      </c>
      <c r="K372" s="5">
        <v>1277.68</v>
      </c>
      <c r="L372" s="5">
        <v>560</v>
      </c>
      <c r="M372">
        <v>0.56170559099999995</v>
      </c>
      <c r="N372" s="5">
        <v>717.68</v>
      </c>
      <c r="O372" s="5">
        <v>179.42</v>
      </c>
      <c r="P372">
        <v>0</v>
      </c>
      <c r="Q372" s="5">
        <v>0</v>
      </c>
      <c r="R372" s="5">
        <v>0</v>
      </c>
      <c r="S372" s="5">
        <v>140</v>
      </c>
    </row>
    <row r="373" spans="1:19">
      <c r="A373">
        <v>34</v>
      </c>
      <c r="B373" t="s">
        <v>185</v>
      </c>
      <c r="C373" t="s">
        <v>352</v>
      </c>
      <c r="D373" t="s">
        <v>60</v>
      </c>
      <c r="E373">
        <v>153021562</v>
      </c>
      <c r="F373" t="s">
        <v>397</v>
      </c>
      <c r="G373" t="s">
        <v>398</v>
      </c>
      <c r="H373" t="s">
        <v>68</v>
      </c>
      <c r="I373" t="s">
        <v>337</v>
      </c>
      <c r="J373">
        <v>4</v>
      </c>
      <c r="K373" s="5">
        <v>1055.19</v>
      </c>
      <c r="L373" s="5">
        <v>560</v>
      </c>
      <c r="M373">
        <v>0.46928988999999999</v>
      </c>
      <c r="N373" s="5">
        <v>495.19</v>
      </c>
      <c r="O373" s="5">
        <v>123.8</v>
      </c>
      <c r="P373">
        <v>0</v>
      </c>
      <c r="Q373" s="5">
        <v>0</v>
      </c>
      <c r="R373" s="5">
        <v>0</v>
      </c>
      <c r="S373" s="5">
        <v>140</v>
      </c>
    </row>
    <row r="374" spans="1:19">
      <c r="A374">
        <v>34</v>
      </c>
      <c r="B374" t="s">
        <v>185</v>
      </c>
      <c r="C374" t="s">
        <v>352</v>
      </c>
      <c r="D374" t="s">
        <v>60</v>
      </c>
      <c r="E374">
        <v>153021562</v>
      </c>
      <c r="F374" t="s">
        <v>397</v>
      </c>
      <c r="G374" t="s">
        <v>398</v>
      </c>
      <c r="H374" t="s">
        <v>68</v>
      </c>
      <c r="I374" t="s">
        <v>334</v>
      </c>
      <c r="J374">
        <v>0</v>
      </c>
      <c r="L374" s="5">
        <v>0</v>
      </c>
      <c r="M374">
        <v>0</v>
      </c>
      <c r="N374" s="5">
        <v>0</v>
      </c>
      <c r="O374" s="5">
        <v>0</v>
      </c>
      <c r="P374">
        <v>4</v>
      </c>
      <c r="Q374" s="5">
        <v>2000</v>
      </c>
      <c r="R374" s="5">
        <v>780.84</v>
      </c>
      <c r="S374" s="5">
        <v>500</v>
      </c>
    </row>
    <row r="375" spans="1:19">
      <c r="A375">
        <v>34</v>
      </c>
      <c r="B375" t="s">
        <v>185</v>
      </c>
      <c r="C375" t="s">
        <v>352</v>
      </c>
      <c r="D375" t="s">
        <v>60</v>
      </c>
      <c r="E375">
        <v>153021562</v>
      </c>
      <c r="F375" t="s">
        <v>397</v>
      </c>
      <c r="G375" t="s">
        <v>398</v>
      </c>
      <c r="H375" t="s">
        <v>68</v>
      </c>
      <c r="I375" t="s">
        <v>333</v>
      </c>
      <c r="J375">
        <v>4</v>
      </c>
      <c r="K375" s="5">
        <v>1903.7</v>
      </c>
      <c r="L375" s="5">
        <v>1240</v>
      </c>
      <c r="M375">
        <v>0.34863686500000002</v>
      </c>
      <c r="N375" s="5">
        <v>663.7</v>
      </c>
      <c r="O375" s="5">
        <v>165.92</v>
      </c>
      <c r="P375">
        <v>0</v>
      </c>
      <c r="Q375" s="5">
        <v>0</v>
      </c>
      <c r="R375" s="5">
        <v>0</v>
      </c>
      <c r="S375" s="5">
        <v>310</v>
      </c>
    </row>
    <row r="376" spans="1:19">
      <c r="A376">
        <v>34</v>
      </c>
      <c r="B376" t="s">
        <v>185</v>
      </c>
      <c r="C376" t="s">
        <v>352</v>
      </c>
      <c r="D376" t="s">
        <v>60</v>
      </c>
      <c r="E376">
        <v>153021562</v>
      </c>
      <c r="F376" t="s">
        <v>397</v>
      </c>
      <c r="G376" t="s">
        <v>398</v>
      </c>
      <c r="H376" t="s">
        <v>68</v>
      </c>
      <c r="I376" t="s">
        <v>337</v>
      </c>
      <c r="J376">
        <v>4</v>
      </c>
      <c r="K376" s="5">
        <v>808.95</v>
      </c>
      <c r="L376" s="5">
        <v>560</v>
      </c>
      <c r="M376">
        <v>0.307744607</v>
      </c>
      <c r="N376" s="5">
        <v>248.95</v>
      </c>
      <c r="O376" s="5">
        <v>62.24</v>
      </c>
      <c r="P376">
        <v>0</v>
      </c>
      <c r="Q376" s="5">
        <v>0</v>
      </c>
      <c r="R376" s="5">
        <v>0</v>
      </c>
      <c r="S376" s="5">
        <v>140</v>
      </c>
    </row>
    <row r="377" spans="1:19">
      <c r="A377">
        <v>34</v>
      </c>
      <c r="B377" t="s">
        <v>185</v>
      </c>
      <c r="C377" t="s">
        <v>352</v>
      </c>
      <c r="D377" t="s">
        <v>60</v>
      </c>
      <c r="E377">
        <v>153021562</v>
      </c>
      <c r="F377" t="s">
        <v>397</v>
      </c>
      <c r="G377" t="s">
        <v>398</v>
      </c>
      <c r="H377" t="s">
        <v>68</v>
      </c>
      <c r="I377" t="s">
        <v>333</v>
      </c>
      <c r="J377">
        <v>4</v>
      </c>
      <c r="K377" s="5">
        <v>1723.92</v>
      </c>
      <c r="L377" s="5">
        <v>1240</v>
      </c>
      <c r="M377">
        <v>0.28070908100000003</v>
      </c>
      <c r="N377" s="5">
        <v>483.92</v>
      </c>
      <c r="O377" s="5">
        <v>120.98</v>
      </c>
      <c r="P377">
        <v>0</v>
      </c>
      <c r="Q377" s="5">
        <v>0</v>
      </c>
      <c r="R377" s="5">
        <v>0</v>
      </c>
      <c r="S377" s="5">
        <v>310</v>
      </c>
    </row>
    <row r="378" spans="1:19">
      <c r="A378">
        <v>34</v>
      </c>
      <c r="B378" t="s">
        <v>185</v>
      </c>
      <c r="C378" t="s">
        <v>352</v>
      </c>
      <c r="D378" t="s">
        <v>60</v>
      </c>
      <c r="E378">
        <v>153021562</v>
      </c>
      <c r="F378" t="s">
        <v>397</v>
      </c>
      <c r="G378" t="s">
        <v>398</v>
      </c>
      <c r="H378" t="s">
        <v>68</v>
      </c>
      <c r="I378" t="s">
        <v>333</v>
      </c>
      <c r="J378">
        <v>0</v>
      </c>
      <c r="L378" s="5">
        <v>0</v>
      </c>
      <c r="M378">
        <v>0</v>
      </c>
      <c r="N378" s="5">
        <v>0</v>
      </c>
      <c r="O378" s="5">
        <v>0</v>
      </c>
      <c r="P378">
        <v>4</v>
      </c>
      <c r="Q378" s="5">
        <v>1240</v>
      </c>
      <c r="R378" s="5">
        <v>635.92999999999995</v>
      </c>
      <c r="S378" s="5">
        <v>310</v>
      </c>
    </row>
    <row r="379" spans="1:19">
      <c r="A379">
        <v>34</v>
      </c>
      <c r="B379" t="s">
        <v>185</v>
      </c>
      <c r="C379" t="s">
        <v>352</v>
      </c>
      <c r="D379" t="s">
        <v>60</v>
      </c>
      <c r="E379">
        <v>153021562</v>
      </c>
      <c r="F379" t="s">
        <v>397</v>
      </c>
      <c r="G379" t="s">
        <v>398</v>
      </c>
      <c r="H379" t="s">
        <v>68</v>
      </c>
      <c r="I379" t="s">
        <v>333</v>
      </c>
      <c r="J379">
        <v>4</v>
      </c>
      <c r="K379" s="5">
        <v>1979.6</v>
      </c>
      <c r="L379" s="5">
        <v>1240</v>
      </c>
      <c r="M379">
        <v>0.37361083</v>
      </c>
      <c r="N379" s="5">
        <v>739.6</v>
      </c>
      <c r="O379" s="5">
        <v>184.9</v>
      </c>
      <c r="P379">
        <v>0</v>
      </c>
      <c r="Q379" s="5">
        <v>0</v>
      </c>
      <c r="R379" s="5">
        <v>0</v>
      </c>
      <c r="S379" s="5">
        <v>310</v>
      </c>
    </row>
    <row r="380" spans="1:19">
      <c r="A380">
        <v>34</v>
      </c>
      <c r="B380" t="s">
        <v>185</v>
      </c>
      <c r="C380" t="s">
        <v>352</v>
      </c>
      <c r="D380" t="s">
        <v>60</v>
      </c>
      <c r="E380">
        <v>153021562</v>
      </c>
      <c r="F380" t="s">
        <v>397</v>
      </c>
      <c r="G380" t="s">
        <v>398</v>
      </c>
      <c r="H380" t="s">
        <v>68</v>
      </c>
      <c r="I380" t="s">
        <v>334</v>
      </c>
      <c r="J380">
        <v>4</v>
      </c>
      <c r="K380" s="5">
        <v>2128.5</v>
      </c>
      <c r="L380" s="5">
        <v>1640</v>
      </c>
      <c r="M380">
        <v>0.229504345</v>
      </c>
      <c r="N380" s="5">
        <v>488.5</v>
      </c>
      <c r="O380" s="5">
        <v>122.12</v>
      </c>
      <c r="P380">
        <v>0</v>
      </c>
      <c r="Q380" s="5">
        <v>0</v>
      </c>
      <c r="R380" s="5">
        <v>0</v>
      </c>
      <c r="S380" s="5">
        <v>410</v>
      </c>
    </row>
    <row r="381" spans="1:19">
      <c r="A381">
        <v>34</v>
      </c>
      <c r="B381" t="s">
        <v>185</v>
      </c>
      <c r="C381" t="s">
        <v>352</v>
      </c>
      <c r="D381" t="s">
        <v>60</v>
      </c>
      <c r="E381">
        <v>153021562</v>
      </c>
      <c r="F381" t="s">
        <v>397</v>
      </c>
      <c r="G381" t="s">
        <v>398</v>
      </c>
      <c r="H381" t="s">
        <v>68</v>
      </c>
      <c r="I381" t="s">
        <v>333</v>
      </c>
      <c r="J381">
        <v>4</v>
      </c>
      <c r="K381" s="5">
        <v>1690.49</v>
      </c>
      <c r="L381" s="5">
        <v>1240</v>
      </c>
      <c r="M381">
        <v>0.26648486500000002</v>
      </c>
      <c r="N381" s="5">
        <v>450.49</v>
      </c>
      <c r="O381" s="5">
        <v>112.62</v>
      </c>
      <c r="P381">
        <v>0</v>
      </c>
      <c r="Q381" s="5">
        <v>0</v>
      </c>
      <c r="R381" s="5">
        <v>0</v>
      </c>
      <c r="S381" s="5">
        <v>310</v>
      </c>
    </row>
    <row r="382" spans="1:19">
      <c r="A382">
        <v>34</v>
      </c>
      <c r="B382" t="s">
        <v>185</v>
      </c>
      <c r="C382" t="s">
        <v>352</v>
      </c>
      <c r="D382" t="s">
        <v>60</v>
      </c>
      <c r="E382">
        <v>153021562</v>
      </c>
      <c r="F382" t="s">
        <v>397</v>
      </c>
      <c r="G382" t="s">
        <v>398</v>
      </c>
      <c r="H382" t="s">
        <v>68</v>
      </c>
      <c r="I382" t="s">
        <v>333</v>
      </c>
      <c r="J382">
        <v>4</v>
      </c>
      <c r="K382" s="5">
        <v>1718.92</v>
      </c>
      <c r="L382" s="5">
        <v>1600</v>
      </c>
      <c r="M382">
        <v>6.9182974999999994E-2</v>
      </c>
      <c r="N382" s="5">
        <v>118.92</v>
      </c>
      <c r="O382" s="5">
        <v>29.73</v>
      </c>
      <c r="P382">
        <v>0</v>
      </c>
      <c r="Q382" s="5">
        <v>0</v>
      </c>
      <c r="R382" s="5">
        <v>0</v>
      </c>
      <c r="S382" s="5">
        <v>400</v>
      </c>
    </row>
    <row r="383" spans="1:19">
      <c r="A383">
        <v>34</v>
      </c>
      <c r="B383" t="s">
        <v>185</v>
      </c>
      <c r="C383" t="s">
        <v>352</v>
      </c>
      <c r="D383" t="s">
        <v>60</v>
      </c>
      <c r="E383">
        <v>153021562</v>
      </c>
      <c r="F383" t="s">
        <v>397</v>
      </c>
      <c r="G383" t="s">
        <v>398</v>
      </c>
      <c r="H383" t="s">
        <v>68</v>
      </c>
      <c r="I383" t="s">
        <v>334</v>
      </c>
      <c r="J383">
        <v>4</v>
      </c>
      <c r="K383" s="5">
        <v>2414.59</v>
      </c>
      <c r="L383" s="5">
        <v>1640</v>
      </c>
      <c r="M383">
        <v>0.32079566300000001</v>
      </c>
      <c r="N383" s="5">
        <v>774.59</v>
      </c>
      <c r="O383" s="5">
        <v>193.65</v>
      </c>
      <c r="P383">
        <v>0</v>
      </c>
      <c r="Q383" s="5">
        <v>0</v>
      </c>
      <c r="R383" s="5">
        <v>0</v>
      </c>
      <c r="S383" s="5">
        <v>410</v>
      </c>
    </row>
    <row r="384" spans="1:19">
      <c r="A384">
        <v>34</v>
      </c>
      <c r="B384" t="s">
        <v>185</v>
      </c>
      <c r="C384" t="s">
        <v>352</v>
      </c>
      <c r="D384" t="s">
        <v>60</v>
      </c>
      <c r="E384">
        <v>153021562</v>
      </c>
      <c r="F384" t="s">
        <v>397</v>
      </c>
      <c r="G384" t="s">
        <v>398</v>
      </c>
      <c r="H384" t="s">
        <v>68</v>
      </c>
      <c r="I384" t="s">
        <v>333</v>
      </c>
      <c r="J384">
        <v>4</v>
      </c>
      <c r="K384" s="5">
        <v>2020.05</v>
      </c>
      <c r="L384" s="5">
        <v>1240</v>
      </c>
      <c r="M384">
        <v>0.38615380799999999</v>
      </c>
      <c r="N384" s="5">
        <v>780.05</v>
      </c>
      <c r="O384" s="5">
        <v>195.01</v>
      </c>
      <c r="P384">
        <v>0</v>
      </c>
      <c r="Q384" s="5">
        <v>0</v>
      </c>
      <c r="R384" s="5">
        <v>0</v>
      </c>
      <c r="S384" s="5">
        <v>310</v>
      </c>
    </row>
    <row r="385" spans="1:19">
      <c r="A385">
        <v>34</v>
      </c>
      <c r="B385" t="s">
        <v>185</v>
      </c>
      <c r="C385" t="s">
        <v>352</v>
      </c>
      <c r="D385" t="s">
        <v>60</v>
      </c>
      <c r="E385">
        <v>153021562</v>
      </c>
      <c r="F385" t="s">
        <v>397</v>
      </c>
      <c r="G385" t="s">
        <v>398</v>
      </c>
      <c r="H385" t="s">
        <v>68</v>
      </c>
      <c r="I385" t="s">
        <v>334</v>
      </c>
      <c r="J385">
        <v>0</v>
      </c>
      <c r="L385" s="5">
        <v>0</v>
      </c>
      <c r="M385">
        <v>0</v>
      </c>
      <c r="N385" s="5">
        <v>0</v>
      </c>
      <c r="O385" s="5">
        <v>0</v>
      </c>
      <c r="P385">
        <v>4</v>
      </c>
      <c r="Q385" s="5">
        <v>1640</v>
      </c>
      <c r="R385" s="5">
        <v>927.24</v>
      </c>
      <c r="S385" s="5">
        <v>410</v>
      </c>
    </row>
    <row r="386" spans="1:19">
      <c r="A386">
        <v>34</v>
      </c>
      <c r="B386" t="s">
        <v>185</v>
      </c>
      <c r="C386" t="s">
        <v>352</v>
      </c>
      <c r="D386" t="s">
        <v>60</v>
      </c>
      <c r="E386">
        <v>153021562</v>
      </c>
      <c r="F386" t="s">
        <v>397</v>
      </c>
      <c r="G386" t="s">
        <v>398</v>
      </c>
      <c r="H386" t="s">
        <v>68</v>
      </c>
      <c r="I386" t="s">
        <v>334</v>
      </c>
      <c r="J386">
        <v>0</v>
      </c>
      <c r="L386" s="5">
        <v>0</v>
      </c>
      <c r="M386">
        <v>0</v>
      </c>
      <c r="N386" s="5">
        <v>0</v>
      </c>
      <c r="O386" s="5">
        <v>0</v>
      </c>
      <c r="P386">
        <v>4</v>
      </c>
      <c r="Q386" s="5">
        <v>1640</v>
      </c>
      <c r="R386" s="5">
        <v>763.13</v>
      </c>
      <c r="S386" s="5">
        <v>410</v>
      </c>
    </row>
    <row r="387" spans="1:19">
      <c r="A387">
        <v>34</v>
      </c>
      <c r="B387" t="s">
        <v>185</v>
      </c>
      <c r="C387" t="s">
        <v>352</v>
      </c>
      <c r="D387" t="s">
        <v>60</v>
      </c>
      <c r="E387">
        <v>153021562</v>
      </c>
      <c r="F387" t="s">
        <v>397</v>
      </c>
      <c r="G387" t="s">
        <v>398</v>
      </c>
      <c r="H387" t="s">
        <v>68</v>
      </c>
      <c r="I387" t="s">
        <v>337</v>
      </c>
      <c r="J387">
        <v>4</v>
      </c>
      <c r="K387" s="5">
        <v>1390.69</v>
      </c>
      <c r="L387" s="5">
        <v>560</v>
      </c>
      <c r="M387">
        <v>0.59732219200000003</v>
      </c>
      <c r="N387" s="5">
        <v>830.69</v>
      </c>
      <c r="O387" s="5">
        <v>207.67</v>
      </c>
      <c r="P387">
        <v>0</v>
      </c>
      <c r="Q387" s="5">
        <v>0</v>
      </c>
      <c r="R387" s="5">
        <v>0</v>
      </c>
      <c r="S387" s="5">
        <v>140</v>
      </c>
    </row>
    <row r="388" spans="1:19">
      <c r="A388">
        <v>34</v>
      </c>
      <c r="B388" t="s">
        <v>185</v>
      </c>
      <c r="C388" t="s">
        <v>352</v>
      </c>
      <c r="D388" t="s">
        <v>60</v>
      </c>
      <c r="E388">
        <v>153021562</v>
      </c>
      <c r="F388" t="s">
        <v>397</v>
      </c>
      <c r="G388" t="s">
        <v>398</v>
      </c>
      <c r="H388" t="s">
        <v>68</v>
      </c>
      <c r="I388" t="s">
        <v>337</v>
      </c>
      <c r="J388">
        <v>4</v>
      </c>
      <c r="K388" s="5">
        <v>980.9</v>
      </c>
      <c r="L388" s="5">
        <v>560</v>
      </c>
      <c r="M388">
        <v>0.42909572800000001</v>
      </c>
      <c r="N388" s="5">
        <v>420.9</v>
      </c>
      <c r="O388" s="5">
        <v>105.22</v>
      </c>
      <c r="P388">
        <v>0</v>
      </c>
      <c r="Q388" s="5">
        <v>0</v>
      </c>
      <c r="R388" s="5">
        <v>0</v>
      </c>
      <c r="S388" s="5">
        <v>140</v>
      </c>
    </row>
    <row r="389" spans="1:19">
      <c r="A389">
        <v>34</v>
      </c>
      <c r="B389" t="s">
        <v>185</v>
      </c>
      <c r="C389" t="s">
        <v>352</v>
      </c>
      <c r="D389" t="s">
        <v>60</v>
      </c>
      <c r="E389">
        <v>153021562</v>
      </c>
      <c r="F389" t="s">
        <v>397</v>
      </c>
      <c r="G389" t="s">
        <v>398</v>
      </c>
      <c r="H389" t="s">
        <v>68</v>
      </c>
      <c r="I389" t="s">
        <v>333</v>
      </c>
      <c r="J389">
        <v>4</v>
      </c>
      <c r="K389" s="5">
        <v>1638.56</v>
      </c>
      <c r="L389" s="5">
        <v>1240</v>
      </c>
      <c r="M389">
        <v>0.243237965</v>
      </c>
      <c r="N389" s="5">
        <v>398.56</v>
      </c>
      <c r="O389" s="5">
        <v>99.64</v>
      </c>
      <c r="P389">
        <v>0</v>
      </c>
      <c r="Q389" s="5">
        <v>0</v>
      </c>
      <c r="R389" s="5">
        <v>0</v>
      </c>
      <c r="S389" s="5">
        <v>310</v>
      </c>
    </row>
    <row r="390" spans="1:19">
      <c r="A390">
        <v>34</v>
      </c>
      <c r="B390" t="s">
        <v>185</v>
      </c>
      <c r="C390" t="s">
        <v>352</v>
      </c>
      <c r="D390" t="s">
        <v>60</v>
      </c>
      <c r="E390">
        <v>153021562</v>
      </c>
      <c r="F390" t="s">
        <v>397</v>
      </c>
      <c r="G390" t="s">
        <v>398</v>
      </c>
      <c r="H390" t="s">
        <v>68</v>
      </c>
      <c r="I390" t="s">
        <v>333</v>
      </c>
      <c r="J390">
        <v>4</v>
      </c>
      <c r="K390" s="5">
        <v>1497.83</v>
      </c>
      <c r="L390" s="5">
        <v>1240</v>
      </c>
      <c r="M390">
        <v>0.17213568900000001</v>
      </c>
      <c r="N390" s="5">
        <v>257.83</v>
      </c>
      <c r="O390" s="5">
        <v>64.459999999999994</v>
      </c>
      <c r="P390">
        <v>0</v>
      </c>
      <c r="Q390" s="5">
        <v>0</v>
      </c>
      <c r="R390" s="5">
        <v>0</v>
      </c>
      <c r="S390" s="5">
        <v>310</v>
      </c>
    </row>
    <row r="391" spans="1:19">
      <c r="A391">
        <v>34</v>
      </c>
      <c r="B391" t="s">
        <v>185</v>
      </c>
      <c r="C391" t="s">
        <v>352</v>
      </c>
      <c r="D391" t="s">
        <v>60</v>
      </c>
      <c r="E391">
        <v>153021562</v>
      </c>
      <c r="F391" t="s">
        <v>397</v>
      </c>
      <c r="G391" t="s">
        <v>398</v>
      </c>
      <c r="H391" t="s">
        <v>68</v>
      </c>
      <c r="I391" t="s">
        <v>334</v>
      </c>
      <c r="J391">
        <v>0</v>
      </c>
      <c r="L391" s="5">
        <v>0</v>
      </c>
      <c r="M391">
        <v>0</v>
      </c>
      <c r="N391" s="5">
        <v>0</v>
      </c>
      <c r="O391" s="5">
        <v>0</v>
      </c>
      <c r="P391">
        <v>4</v>
      </c>
      <c r="Q391" s="5">
        <v>2000</v>
      </c>
      <c r="R391" s="5">
        <v>513.12</v>
      </c>
      <c r="S391" s="5">
        <v>500</v>
      </c>
    </row>
    <row r="392" spans="1:19">
      <c r="A392">
        <v>34</v>
      </c>
      <c r="B392" t="s">
        <v>185</v>
      </c>
      <c r="C392" t="s">
        <v>352</v>
      </c>
      <c r="D392" t="s">
        <v>60</v>
      </c>
      <c r="E392">
        <v>153021562</v>
      </c>
      <c r="F392" t="s">
        <v>397</v>
      </c>
      <c r="G392" t="s">
        <v>398</v>
      </c>
      <c r="H392" t="s">
        <v>68</v>
      </c>
      <c r="I392" t="s">
        <v>334</v>
      </c>
      <c r="J392">
        <v>4</v>
      </c>
      <c r="K392" s="5">
        <v>2184</v>
      </c>
      <c r="L392" s="5">
        <v>1640</v>
      </c>
      <c r="M392">
        <v>0.24908424900000001</v>
      </c>
      <c r="N392" s="5">
        <v>544</v>
      </c>
      <c r="O392" s="5">
        <v>136</v>
      </c>
      <c r="P392">
        <v>0</v>
      </c>
      <c r="Q392" s="5">
        <v>0</v>
      </c>
      <c r="R392" s="5">
        <v>0</v>
      </c>
      <c r="S392" s="5">
        <v>410</v>
      </c>
    </row>
    <row r="393" spans="1:19">
      <c r="A393">
        <v>34</v>
      </c>
      <c r="B393" t="s">
        <v>185</v>
      </c>
      <c r="C393" t="s">
        <v>352</v>
      </c>
      <c r="D393" t="s">
        <v>60</v>
      </c>
      <c r="E393">
        <v>153021562</v>
      </c>
      <c r="F393" t="s">
        <v>397</v>
      </c>
      <c r="G393" t="s">
        <v>398</v>
      </c>
      <c r="H393" t="s">
        <v>68</v>
      </c>
      <c r="I393" t="s">
        <v>333</v>
      </c>
      <c r="J393">
        <v>4</v>
      </c>
      <c r="K393" s="5">
        <v>1559.56</v>
      </c>
      <c r="L393" s="5">
        <v>1240</v>
      </c>
      <c r="M393">
        <v>0.204903947</v>
      </c>
      <c r="N393" s="5">
        <v>319.56</v>
      </c>
      <c r="O393" s="5">
        <v>79.89</v>
      </c>
      <c r="P393">
        <v>0</v>
      </c>
      <c r="Q393" s="5">
        <v>0</v>
      </c>
      <c r="R393" s="5">
        <v>0</v>
      </c>
      <c r="S393" s="5">
        <v>310</v>
      </c>
    </row>
    <row r="394" spans="1:19">
      <c r="A394">
        <v>34</v>
      </c>
      <c r="B394" t="s">
        <v>185</v>
      </c>
      <c r="C394" t="s">
        <v>352</v>
      </c>
      <c r="D394" t="s">
        <v>60</v>
      </c>
      <c r="E394">
        <v>153021562</v>
      </c>
      <c r="F394" t="s">
        <v>397</v>
      </c>
      <c r="G394" t="s">
        <v>398</v>
      </c>
      <c r="H394" t="s">
        <v>68</v>
      </c>
      <c r="I394" t="s">
        <v>333</v>
      </c>
      <c r="J394">
        <v>4</v>
      </c>
      <c r="K394" s="5">
        <v>1715.53</v>
      </c>
      <c r="L394" s="5">
        <v>1240</v>
      </c>
      <c r="M394">
        <v>0.277191305</v>
      </c>
      <c r="N394" s="5">
        <v>475.53</v>
      </c>
      <c r="O394" s="5">
        <v>118.88</v>
      </c>
      <c r="P394">
        <v>0</v>
      </c>
      <c r="Q394" s="5">
        <v>0</v>
      </c>
      <c r="R394" s="5">
        <v>0</v>
      </c>
      <c r="S394" s="5">
        <v>310</v>
      </c>
    </row>
    <row r="395" spans="1:19">
      <c r="A395">
        <v>34</v>
      </c>
      <c r="B395" t="s">
        <v>185</v>
      </c>
      <c r="C395" t="s">
        <v>352</v>
      </c>
      <c r="D395" t="s">
        <v>60</v>
      </c>
      <c r="E395">
        <v>153021562</v>
      </c>
      <c r="F395" t="s">
        <v>397</v>
      </c>
      <c r="G395" t="s">
        <v>398</v>
      </c>
      <c r="H395" t="s">
        <v>68</v>
      </c>
      <c r="I395" t="s">
        <v>337</v>
      </c>
      <c r="J395">
        <v>4</v>
      </c>
      <c r="K395" s="5">
        <v>1569.1</v>
      </c>
      <c r="L395" s="5">
        <v>560</v>
      </c>
      <c r="M395">
        <v>0.64310751300000002</v>
      </c>
      <c r="N395" s="5">
        <v>1009.1</v>
      </c>
      <c r="O395" s="5">
        <v>252.28</v>
      </c>
      <c r="P395">
        <v>0</v>
      </c>
      <c r="Q395" s="5">
        <v>0</v>
      </c>
      <c r="R395" s="5">
        <v>0</v>
      </c>
      <c r="S395" s="5">
        <v>140</v>
      </c>
    </row>
    <row r="396" spans="1:19">
      <c r="A396">
        <v>34</v>
      </c>
      <c r="B396" t="s">
        <v>185</v>
      </c>
      <c r="C396" t="s">
        <v>352</v>
      </c>
      <c r="D396" t="s">
        <v>60</v>
      </c>
      <c r="E396">
        <v>153021562</v>
      </c>
      <c r="F396" t="s">
        <v>397</v>
      </c>
      <c r="G396" t="s">
        <v>398</v>
      </c>
      <c r="H396" t="s">
        <v>68</v>
      </c>
      <c r="I396" t="s">
        <v>333</v>
      </c>
      <c r="J396">
        <v>4</v>
      </c>
      <c r="K396" s="5">
        <v>1563.13</v>
      </c>
      <c r="L396" s="5">
        <v>1240</v>
      </c>
      <c r="M396">
        <v>0.20671985000000001</v>
      </c>
      <c r="N396" s="5">
        <v>323.13</v>
      </c>
      <c r="O396" s="5">
        <v>80.78</v>
      </c>
      <c r="P396">
        <v>0</v>
      </c>
      <c r="Q396" s="5">
        <v>0</v>
      </c>
      <c r="R396" s="5">
        <v>0</v>
      </c>
      <c r="S396" s="5">
        <v>310</v>
      </c>
    </row>
    <row r="397" spans="1:19">
      <c r="A397">
        <v>36</v>
      </c>
      <c r="B397" t="s">
        <v>98</v>
      </c>
      <c r="C397" t="s">
        <v>94</v>
      </c>
      <c r="D397" t="s">
        <v>95</v>
      </c>
      <c r="E397">
        <v>153021562</v>
      </c>
      <c r="F397" t="s">
        <v>399</v>
      </c>
      <c r="G397" t="s">
        <v>400</v>
      </c>
      <c r="H397" t="s">
        <v>100</v>
      </c>
      <c r="I397" t="s">
        <v>337</v>
      </c>
      <c r="J397">
        <v>0</v>
      </c>
      <c r="L397" s="5">
        <v>0</v>
      </c>
      <c r="M397">
        <v>0</v>
      </c>
      <c r="N397" s="5">
        <v>0</v>
      </c>
      <c r="O397" s="5">
        <v>0</v>
      </c>
      <c r="P397">
        <v>2</v>
      </c>
      <c r="Q397" s="5">
        <v>350.7</v>
      </c>
      <c r="R397" s="5">
        <v>342.94</v>
      </c>
      <c r="S397" s="5">
        <v>175.35</v>
      </c>
    </row>
    <row r="398" spans="1:19">
      <c r="A398">
        <v>36</v>
      </c>
      <c r="B398" t="s">
        <v>98</v>
      </c>
      <c r="C398" t="s">
        <v>94</v>
      </c>
      <c r="D398" t="s">
        <v>95</v>
      </c>
      <c r="E398">
        <v>153033460</v>
      </c>
      <c r="F398" t="s">
        <v>399</v>
      </c>
      <c r="G398" t="s">
        <v>400</v>
      </c>
      <c r="H398" t="s">
        <v>100</v>
      </c>
      <c r="I398" t="s">
        <v>334</v>
      </c>
      <c r="J398">
        <v>0</v>
      </c>
      <c r="L398" s="5">
        <v>0</v>
      </c>
      <c r="M398">
        <v>0</v>
      </c>
      <c r="N398" s="5">
        <v>0</v>
      </c>
      <c r="O398" s="5">
        <v>0</v>
      </c>
      <c r="P398">
        <v>4</v>
      </c>
      <c r="Q398" s="5">
        <v>1800</v>
      </c>
      <c r="R398" s="5">
        <v>506.73</v>
      </c>
      <c r="S398" s="5">
        <v>450</v>
      </c>
    </row>
    <row r="399" spans="1:19">
      <c r="A399">
        <v>39</v>
      </c>
      <c r="B399" t="s">
        <v>115</v>
      </c>
      <c r="C399" t="s">
        <v>109</v>
      </c>
      <c r="D399" t="s">
        <v>111</v>
      </c>
      <c r="E399">
        <v>153033460</v>
      </c>
      <c r="F399" t="s">
        <v>401</v>
      </c>
      <c r="G399" t="s">
        <v>402</v>
      </c>
      <c r="H399" t="s">
        <v>113</v>
      </c>
      <c r="I399" t="s">
        <v>333</v>
      </c>
      <c r="J399">
        <v>4</v>
      </c>
      <c r="K399" s="5">
        <v>2752.04</v>
      </c>
      <c r="L399" s="5">
        <v>1860</v>
      </c>
      <c r="M399">
        <v>0.32413773000000001</v>
      </c>
      <c r="N399" s="5">
        <v>892.04</v>
      </c>
      <c r="O399" s="5">
        <v>223.01</v>
      </c>
      <c r="P399">
        <v>0</v>
      </c>
      <c r="Q399" s="5">
        <v>0</v>
      </c>
      <c r="R399" s="5">
        <v>0</v>
      </c>
      <c r="S399" s="5">
        <v>465</v>
      </c>
    </row>
    <row r="400" spans="1:19">
      <c r="A400">
        <v>39</v>
      </c>
      <c r="B400" t="s">
        <v>115</v>
      </c>
      <c r="C400" t="s">
        <v>109</v>
      </c>
      <c r="D400" t="s">
        <v>111</v>
      </c>
      <c r="E400">
        <v>153020717</v>
      </c>
      <c r="F400" t="s">
        <v>401</v>
      </c>
      <c r="G400" t="s">
        <v>402</v>
      </c>
      <c r="H400" t="s">
        <v>113</v>
      </c>
      <c r="I400" t="s">
        <v>333</v>
      </c>
      <c r="J400">
        <v>2</v>
      </c>
      <c r="K400" s="5">
        <v>786.24</v>
      </c>
      <c r="L400" s="5">
        <v>930</v>
      </c>
      <c r="M400">
        <v>-0.18284493199999999</v>
      </c>
      <c r="N400" s="5">
        <v>-143.76</v>
      </c>
      <c r="O400" s="5">
        <v>-71.88</v>
      </c>
      <c r="P400">
        <v>2</v>
      </c>
      <c r="Q400" s="5">
        <v>930</v>
      </c>
      <c r="R400" s="5">
        <v>813.84</v>
      </c>
      <c r="S400" s="5">
        <v>465</v>
      </c>
    </row>
    <row r="401" spans="1:19">
      <c r="A401">
        <v>39</v>
      </c>
      <c r="B401" t="s">
        <v>115</v>
      </c>
      <c r="C401" t="s">
        <v>109</v>
      </c>
      <c r="D401" t="s">
        <v>111</v>
      </c>
      <c r="E401">
        <v>153020717</v>
      </c>
      <c r="F401" t="s">
        <v>401</v>
      </c>
      <c r="G401" t="s">
        <v>402</v>
      </c>
      <c r="H401" t="s">
        <v>113</v>
      </c>
      <c r="I401" t="s">
        <v>333</v>
      </c>
      <c r="J401">
        <v>4</v>
      </c>
      <c r="K401" s="5">
        <v>2858.72</v>
      </c>
      <c r="L401" s="5">
        <v>1860</v>
      </c>
      <c r="M401">
        <v>0.34935915299999998</v>
      </c>
      <c r="N401" s="5">
        <v>998.72</v>
      </c>
      <c r="O401" s="5">
        <v>249.68</v>
      </c>
      <c r="P401">
        <v>0</v>
      </c>
      <c r="Q401" s="5">
        <v>0</v>
      </c>
      <c r="R401" s="5">
        <v>0</v>
      </c>
      <c r="S401" s="5">
        <v>465</v>
      </c>
    </row>
    <row r="402" spans="1:19">
      <c r="A402">
        <v>39</v>
      </c>
      <c r="B402" t="s">
        <v>115</v>
      </c>
      <c r="C402" t="s">
        <v>109</v>
      </c>
      <c r="D402" t="s">
        <v>111</v>
      </c>
      <c r="E402">
        <v>153020717</v>
      </c>
      <c r="F402" t="s">
        <v>401</v>
      </c>
      <c r="G402" t="s">
        <v>402</v>
      </c>
      <c r="H402" t="s">
        <v>113</v>
      </c>
      <c r="I402" t="s">
        <v>333</v>
      </c>
      <c r="J402">
        <v>4</v>
      </c>
      <c r="K402" s="5">
        <v>2646.32</v>
      </c>
      <c r="L402" s="5">
        <v>1860</v>
      </c>
      <c r="M402">
        <v>0.29713715600000001</v>
      </c>
      <c r="N402" s="5">
        <v>786.32</v>
      </c>
      <c r="O402" s="5">
        <v>196.58</v>
      </c>
      <c r="P402">
        <v>0</v>
      </c>
      <c r="Q402" s="5">
        <v>0</v>
      </c>
      <c r="R402" s="5">
        <v>0</v>
      </c>
      <c r="S402" s="5">
        <v>465</v>
      </c>
    </row>
    <row r="403" spans="1:19">
      <c r="A403">
        <v>39</v>
      </c>
      <c r="B403" t="s">
        <v>115</v>
      </c>
      <c r="C403" t="s">
        <v>109</v>
      </c>
      <c r="D403" t="s">
        <v>111</v>
      </c>
      <c r="E403">
        <v>153020717</v>
      </c>
      <c r="F403" t="s">
        <v>401</v>
      </c>
      <c r="G403" t="s">
        <v>402</v>
      </c>
      <c r="H403" t="s">
        <v>113</v>
      </c>
      <c r="I403" t="s">
        <v>333</v>
      </c>
      <c r="J403">
        <v>4</v>
      </c>
      <c r="K403" s="5">
        <v>2974.36</v>
      </c>
      <c r="L403" s="5">
        <v>1860</v>
      </c>
      <c r="M403">
        <v>0.37465538799999998</v>
      </c>
      <c r="N403" s="5">
        <v>1114.3599999999999</v>
      </c>
      <c r="O403" s="5">
        <v>278.58999999999997</v>
      </c>
      <c r="P403">
        <v>0</v>
      </c>
      <c r="Q403" s="5">
        <v>0</v>
      </c>
      <c r="R403" s="5">
        <v>0</v>
      </c>
      <c r="S403" s="5">
        <v>465</v>
      </c>
    </row>
    <row r="404" spans="1:19">
      <c r="A404">
        <v>39</v>
      </c>
      <c r="B404" t="s">
        <v>115</v>
      </c>
      <c r="C404" t="s">
        <v>109</v>
      </c>
      <c r="D404" t="s">
        <v>111</v>
      </c>
      <c r="E404">
        <v>153020717</v>
      </c>
      <c r="F404" t="s">
        <v>401</v>
      </c>
      <c r="G404" t="s">
        <v>402</v>
      </c>
      <c r="H404" t="s">
        <v>113</v>
      </c>
      <c r="I404" t="s">
        <v>333</v>
      </c>
      <c r="J404">
        <v>4</v>
      </c>
      <c r="K404" s="5">
        <v>2588.3000000000002</v>
      </c>
      <c r="L404" s="5">
        <v>1860</v>
      </c>
      <c r="M404">
        <v>0.28138160099999998</v>
      </c>
      <c r="N404" s="5">
        <v>728.3</v>
      </c>
      <c r="O404" s="5">
        <v>182.08</v>
      </c>
      <c r="P404">
        <v>0</v>
      </c>
      <c r="Q404" s="5">
        <v>0</v>
      </c>
      <c r="R404" s="5">
        <v>0</v>
      </c>
      <c r="S404" s="5">
        <v>465</v>
      </c>
    </row>
    <row r="405" spans="1:19">
      <c r="A405">
        <v>39</v>
      </c>
      <c r="B405" t="s">
        <v>115</v>
      </c>
      <c r="C405" t="s">
        <v>109</v>
      </c>
      <c r="D405" t="s">
        <v>111</v>
      </c>
      <c r="E405">
        <v>153020717</v>
      </c>
      <c r="F405" t="s">
        <v>401</v>
      </c>
      <c r="G405" t="s">
        <v>402</v>
      </c>
      <c r="H405" t="s">
        <v>113</v>
      </c>
      <c r="I405" t="s">
        <v>333</v>
      </c>
      <c r="J405">
        <v>4</v>
      </c>
      <c r="K405" s="5">
        <v>3175.12</v>
      </c>
      <c r="L405" s="5">
        <v>1860</v>
      </c>
      <c r="M405">
        <v>0.41419536800000001</v>
      </c>
      <c r="N405" s="5">
        <v>1315.12</v>
      </c>
      <c r="O405" s="5">
        <v>328.78</v>
      </c>
      <c r="P405">
        <v>0</v>
      </c>
      <c r="Q405" s="5">
        <v>0</v>
      </c>
      <c r="R405" s="5">
        <v>0</v>
      </c>
      <c r="S405" s="5">
        <v>465</v>
      </c>
    </row>
    <row r="406" spans="1:19">
      <c r="A406">
        <v>39</v>
      </c>
      <c r="B406" t="s">
        <v>115</v>
      </c>
      <c r="C406" t="s">
        <v>109</v>
      </c>
      <c r="D406" t="s">
        <v>111</v>
      </c>
      <c r="E406">
        <v>153020717</v>
      </c>
      <c r="F406" t="s">
        <v>401</v>
      </c>
      <c r="G406" t="s">
        <v>402</v>
      </c>
      <c r="H406" t="s">
        <v>113</v>
      </c>
      <c r="I406" t="s">
        <v>334</v>
      </c>
      <c r="J406">
        <v>4</v>
      </c>
      <c r="K406" s="5">
        <v>3193.23</v>
      </c>
      <c r="L406" s="5">
        <v>2480</v>
      </c>
      <c r="M406">
        <v>0.22335691399999999</v>
      </c>
      <c r="N406" s="5">
        <v>713.23</v>
      </c>
      <c r="O406" s="5">
        <v>178.31</v>
      </c>
      <c r="P406">
        <v>0</v>
      </c>
      <c r="Q406" s="5">
        <v>0</v>
      </c>
      <c r="R406" s="5">
        <v>0</v>
      </c>
      <c r="S406" s="5">
        <v>620</v>
      </c>
    </row>
    <row r="407" spans="1:19">
      <c r="A407">
        <v>39</v>
      </c>
      <c r="B407" t="s">
        <v>115</v>
      </c>
      <c r="C407" t="s">
        <v>109</v>
      </c>
      <c r="D407" t="s">
        <v>111</v>
      </c>
      <c r="E407">
        <v>153020717</v>
      </c>
      <c r="F407" t="s">
        <v>401</v>
      </c>
      <c r="G407" t="s">
        <v>402</v>
      </c>
      <c r="H407" t="s">
        <v>113</v>
      </c>
      <c r="I407" t="s">
        <v>333</v>
      </c>
      <c r="J407">
        <v>0</v>
      </c>
      <c r="L407" s="5">
        <v>0</v>
      </c>
      <c r="M407">
        <v>0</v>
      </c>
      <c r="N407" s="5">
        <v>0</v>
      </c>
      <c r="O407" s="5">
        <v>0</v>
      </c>
      <c r="P407">
        <v>4</v>
      </c>
      <c r="Q407" s="5">
        <v>1860</v>
      </c>
      <c r="R407" s="5">
        <v>484.42</v>
      </c>
      <c r="S407" s="5">
        <v>465</v>
      </c>
    </row>
    <row r="408" spans="1:19">
      <c r="A408">
        <v>39</v>
      </c>
      <c r="B408" t="s">
        <v>115</v>
      </c>
      <c r="C408" t="s">
        <v>109</v>
      </c>
      <c r="D408" t="s">
        <v>111</v>
      </c>
      <c r="E408">
        <v>153020717</v>
      </c>
      <c r="F408" t="s">
        <v>401</v>
      </c>
      <c r="G408" t="s">
        <v>402</v>
      </c>
      <c r="H408" t="s">
        <v>113</v>
      </c>
      <c r="I408" t="s">
        <v>337</v>
      </c>
      <c r="J408">
        <v>4</v>
      </c>
      <c r="K408" s="5">
        <v>1840.9</v>
      </c>
      <c r="L408" s="5">
        <v>860</v>
      </c>
      <c r="M408">
        <v>0.53283719900000004</v>
      </c>
      <c r="N408" s="5">
        <v>980.9</v>
      </c>
      <c r="O408" s="5">
        <v>245.22</v>
      </c>
      <c r="P408">
        <v>0</v>
      </c>
      <c r="Q408" s="5">
        <v>0</v>
      </c>
      <c r="R408" s="5">
        <v>0</v>
      </c>
      <c r="S408" s="5">
        <v>215</v>
      </c>
    </row>
    <row r="409" spans="1:19">
      <c r="A409">
        <v>39</v>
      </c>
      <c r="B409" t="s">
        <v>115</v>
      </c>
      <c r="C409" t="s">
        <v>109</v>
      </c>
      <c r="D409" t="s">
        <v>111</v>
      </c>
      <c r="E409">
        <v>153020717</v>
      </c>
      <c r="F409" t="s">
        <v>401</v>
      </c>
      <c r="G409" t="s">
        <v>402</v>
      </c>
      <c r="H409" t="s">
        <v>113</v>
      </c>
      <c r="I409" t="s">
        <v>333</v>
      </c>
      <c r="J409">
        <v>2</v>
      </c>
      <c r="K409" s="5">
        <v>796.97</v>
      </c>
      <c r="L409" s="5">
        <v>930</v>
      </c>
      <c r="M409">
        <v>-0.166919708</v>
      </c>
      <c r="N409" s="5">
        <v>-133.03</v>
      </c>
      <c r="O409" s="5">
        <v>-66.52</v>
      </c>
      <c r="P409">
        <v>2</v>
      </c>
      <c r="Q409" s="5">
        <v>930</v>
      </c>
      <c r="R409" s="5">
        <v>813.84</v>
      </c>
      <c r="S409" s="5">
        <v>465</v>
      </c>
    </row>
    <row r="410" spans="1:19">
      <c r="A410">
        <v>39</v>
      </c>
      <c r="B410" t="s">
        <v>115</v>
      </c>
      <c r="C410" t="s">
        <v>109</v>
      </c>
      <c r="D410" t="s">
        <v>111</v>
      </c>
      <c r="E410">
        <v>153020717</v>
      </c>
      <c r="F410" t="s">
        <v>401</v>
      </c>
      <c r="G410" t="s">
        <v>402</v>
      </c>
      <c r="H410" t="s">
        <v>113</v>
      </c>
      <c r="I410" t="s">
        <v>333</v>
      </c>
      <c r="J410">
        <v>4</v>
      </c>
      <c r="K410" s="5">
        <v>3818.57</v>
      </c>
      <c r="L410" s="5">
        <v>1860</v>
      </c>
      <c r="M410">
        <v>0.51290666399999996</v>
      </c>
      <c r="N410" s="5">
        <v>1958.57</v>
      </c>
      <c r="O410" s="5">
        <v>489.64</v>
      </c>
      <c r="P410">
        <v>0</v>
      </c>
      <c r="Q410" s="5">
        <v>0</v>
      </c>
      <c r="R410" s="5">
        <v>0</v>
      </c>
      <c r="S410" s="5">
        <v>465</v>
      </c>
    </row>
    <row r="411" spans="1:19">
      <c r="A411">
        <v>39</v>
      </c>
      <c r="B411" t="s">
        <v>115</v>
      </c>
      <c r="C411" t="s">
        <v>109</v>
      </c>
      <c r="D411" t="s">
        <v>111</v>
      </c>
      <c r="E411">
        <v>153020717</v>
      </c>
      <c r="F411" t="s">
        <v>401</v>
      </c>
      <c r="G411" t="s">
        <v>402</v>
      </c>
      <c r="H411" t="s">
        <v>113</v>
      </c>
      <c r="I411" t="s">
        <v>334</v>
      </c>
      <c r="J411">
        <v>4</v>
      </c>
      <c r="K411" s="5">
        <v>5019.76</v>
      </c>
      <c r="L411" s="5">
        <v>2480</v>
      </c>
      <c r="M411">
        <v>0.50595247499999996</v>
      </c>
      <c r="N411" s="5">
        <v>2539.7600000000002</v>
      </c>
      <c r="O411" s="5">
        <v>634.94000000000005</v>
      </c>
      <c r="P411">
        <v>0</v>
      </c>
      <c r="Q411" s="5">
        <v>0</v>
      </c>
      <c r="R411" s="5">
        <v>0</v>
      </c>
      <c r="S411" s="5">
        <v>620</v>
      </c>
    </row>
    <row r="412" spans="1:19">
      <c r="A412">
        <v>38</v>
      </c>
      <c r="B412" t="s">
        <v>106</v>
      </c>
      <c r="C412" t="s">
        <v>102</v>
      </c>
      <c r="D412" t="s">
        <v>104</v>
      </c>
      <c r="E412">
        <v>153020717</v>
      </c>
      <c r="F412" t="s">
        <v>403</v>
      </c>
      <c r="G412" t="s">
        <v>402</v>
      </c>
      <c r="H412" t="s">
        <v>79</v>
      </c>
      <c r="I412" t="s">
        <v>338</v>
      </c>
      <c r="J412">
        <v>0</v>
      </c>
      <c r="L412" s="5">
        <v>0</v>
      </c>
      <c r="M412">
        <v>0</v>
      </c>
      <c r="N412" s="5">
        <v>0</v>
      </c>
      <c r="O412" s="5">
        <v>0</v>
      </c>
      <c r="P412">
        <v>2</v>
      </c>
      <c r="Q412" s="5">
        <v>1200</v>
      </c>
      <c r="R412" s="5">
        <v>930.57</v>
      </c>
      <c r="S412" s="5">
        <v>600</v>
      </c>
    </row>
    <row r="413" spans="1:19">
      <c r="A413">
        <v>38</v>
      </c>
      <c r="B413" t="s">
        <v>106</v>
      </c>
      <c r="C413" t="s">
        <v>102</v>
      </c>
      <c r="D413" t="s">
        <v>104</v>
      </c>
      <c r="E413">
        <v>153022910</v>
      </c>
      <c r="F413" t="s">
        <v>403</v>
      </c>
      <c r="G413" t="s">
        <v>402</v>
      </c>
      <c r="H413" t="s">
        <v>79</v>
      </c>
      <c r="I413" t="s">
        <v>404</v>
      </c>
      <c r="J413">
        <v>2</v>
      </c>
      <c r="K413" s="5">
        <v>813.6</v>
      </c>
      <c r="L413" s="5">
        <v>721</v>
      </c>
      <c r="M413">
        <v>0.11381514199999999</v>
      </c>
      <c r="N413" s="5">
        <v>92.6</v>
      </c>
      <c r="O413" s="5">
        <v>46.3</v>
      </c>
      <c r="P413">
        <v>0</v>
      </c>
      <c r="Q413" s="5">
        <v>0</v>
      </c>
      <c r="R413" s="5">
        <v>0</v>
      </c>
      <c r="S413" s="5">
        <v>360.5</v>
      </c>
    </row>
    <row r="414" spans="1:19">
      <c r="A414">
        <v>38</v>
      </c>
      <c r="B414" t="s">
        <v>106</v>
      </c>
      <c r="C414" t="s">
        <v>102</v>
      </c>
      <c r="D414" t="s">
        <v>104</v>
      </c>
      <c r="E414">
        <v>153022910</v>
      </c>
      <c r="F414" t="s">
        <v>403</v>
      </c>
      <c r="G414" t="s">
        <v>402</v>
      </c>
      <c r="H414" t="s">
        <v>79</v>
      </c>
      <c r="I414" t="s">
        <v>338</v>
      </c>
      <c r="J414">
        <v>0</v>
      </c>
      <c r="L414" s="5">
        <v>0</v>
      </c>
      <c r="M414">
        <v>0</v>
      </c>
      <c r="N414" s="5">
        <v>0</v>
      </c>
      <c r="O414" s="5">
        <v>0</v>
      </c>
      <c r="P414">
        <v>2</v>
      </c>
      <c r="Q414" s="5">
        <v>1200</v>
      </c>
      <c r="R414" s="5">
        <v>930.57</v>
      </c>
      <c r="S414" s="5">
        <v>600</v>
      </c>
    </row>
    <row r="415" spans="1:19">
      <c r="A415">
        <v>38</v>
      </c>
      <c r="B415" t="s">
        <v>106</v>
      </c>
      <c r="C415" t="s">
        <v>102</v>
      </c>
      <c r="D415" t="s">
        <v>104</v>
      </c>
      <c r="E415">
        <v>153022910</v>
      </c>
      <c r="F415" t="s">
        <v>403</v>
      </c>
      <c r="G415" t="s">
        <v>402</v>
      </c>
      <c r="H415" t="s">
        <v>79</v>
      </c>
      <c r="I415" t="s">
        <v>337</v>
      </c>
      <c r="J415">
        <v>4</v>
      </c>
      <c r="K415" s="5">
        <v>2081.36</v>
      </c>
      <c r="L415" s="5">
        <v>560</v>
      </c>
      <c r="M415">
        <v>0.73094515100000002</v>
      </c>
      <c r="N415" s="5">
        <v>1521.36</v>
      </c>
      <c r="O415" s="5">
        <v>380.34</v>
      </c>
      <c r="P415">
        <v>0</v>
      </c>
      <c r="Q415" s="5">
        <v>0</v>
      </c>
      <c r="R415" s="5">
        <v>0</v>
      </c>
      <c r="S415" s="5">
        <v>140</v>
      </c>
    </row>
    <row r="416" spans="1:19">
      <c r="A416">
        <v>38</v>
      </c>
      <c r="B416" t="s">
        <v>106</v>
      </c>
      <c r="C416" t="s">
        <v>102</v>
      </c>
      <c r="D416" t="s">
        <v>104</v>
      </c>
      <c r="E416">
        <v>153022910</v>
      </c>
      <c r="F416" t="s">
        <v>403</v>
      </c>
      <c r="G416" t="s">
        <v>402</v>
      </c>
      <c r="H416" t="s">
        <v>79</v>
      </c>
      <c r="I416" t="s">
        <v>337</v>
      </c>
      <c r="J416">
        <v>4</v>
      </c>
      <c r="K416" s="5">
        <v>2130.77</v>
      </c>
      <c r="L416" s="5">
        <v>560</v>
      </c>
      <c r="M416">
        <v>0.73718421000000001</v>
      </c>
      <c r="N416" s="5">
        <v>1570.77</v>
      </c>
      <c r="O416" s="5">
        <v>392.69</v>
      </c>
      <c r="P416">
        <v>0</v>
      </c>
      <c r="Q416" s="5">
        <v>0</v>
      </c>
      <c r="R416" s="5">
        <v>0</v>
      </c>
      <c r="S416" s="5">
        <v>140</v>
      </c>
    </row>
    <row r="417" spans="1:19">
      <c r="A417">
        <v>38</v>
      </c>
      <c r="B417" t="s">
        <v>106</v>
      </c>
      <c r="C417" t="s">
        <v>102</v>
      </c>
      <c r="D417" t="s">
        <v>104</v>
      </c>
      <c r="E417">
        <v>153022910</v>
      </c>
      <c r="F417" t="s">
        <v>403</v>
      </c>
      <c r="G417" t="s">
        <v>402</v>
      </c>
      <c r="H417" t="s">
        <v>79</v>
      </c>
      <c r="I417" t="s">
        <v>337</v>
      </c>
      <c r="J417">
        <v>4</v>
      </c>
      <c r="K417" s="5">
        <v>1788.06</v>
      </c>
      <c r="L417" s="5">
        <v>560</v>
      </c>
      <c r="M417">
        <v>0.68681140399999996</v>
      </c>
      <c r="N417" s="5">
        <v>1228.06</v>
      </c>
      <c r="O417" s="5">
        <v>307.02</v>
      </c>
      <c r="P417">
        <v>0</v>
      </c>
      <c r="Q417" s="5">
        <v>0</v>
      </c>
      <c r="R417" s="5">
        <v>0</v>
      </c>
      <c r="S417" s="5">
        <v>140</v>
      </c>
    </row>
    <row r="418" spans="1:19">
      <c r="A418">
        <v>38</v>
      </c>
      <c r="B418" t="s">
        <v>106</v>
      </c>
      <c r="C418" t="s">
        <v>102</v>
      </c>
      <c r="D418" t="s">
        <v>104</v>
      </c>
      <c r="E418">
        <v>153022910</v>
      </c>
      <c r="F418" t="s">
        <v>403</v>
      </c>
      <c r="G418" t="s">
        <v>402</v>
      </c>
      <c r="H418" t="s">
        <v>79</v>
      </c>
      <c r="I418" t="s">
        <v>333</v>
      </c>
      <c r="J418">
        <v>0</v>
      </c>
      <c r="L418" s="5">
        <v>0</v>
      </c>
      <c r="M418">
        <v>0</v>
      </c>
      <c r="N418" s="5">
        <v>0</v>
      </c>
      <c r="O418" s="5">
        <v>0</v>
      </c>
      <c r="P418">
        <v>4</v>
      </c>
      <c r="Q418" s="5">
        <v>1240</v>
      </c>
      <c r="R418" s="5">
        <v>787.68</v>
      </c>
      <c r="S418" s="5">
        <v>310</v>
      </c>
    </row>
    <row r="419" spans="1:19">
      <c r="A419">
        <v>38</v>
      </c>
      <c r="B419" t="s">
        <v>106</v>
      </c>
      <c r="C419" t="s">
        <v>102</v>
      </c>
      <c r="D419" t="s">
        <v>104</v>
      </c>
      <c r="E419">
        <v>153022910</v>
      </c>
      <c r="F419" t="s">
        <v>403</v>
      </c>
      <c r="G419" t="s">
        <v>402</v>
      </c>
      <c r="H419" t="s">
        <v>79</v>
      </c>
      <c r="I419" t="s">
        <v>333</v>
      </c>
      <c r="J419">
        <v>0</v>
      </c>
      <c r="L419" s="5">
        <v>0</v>
      </c>
      <c r="M419">
        <v>0</v>
      </c>
      <c r="N419" s="5">
        <v>0</v>
      </c>
      <c r="O419" s="5">
        <v>0</v>
      </c>
      <c r="P419">
        <v>4</v>
      </c>
      <c r="Q419" s="5">
        <v>1720</v>
      </c>
      <c r="R419" s="5">
        <v>792.68</v>
      </c>
      <c r="S419" s="5">
        <v>430</v>
      </c>
    </row>
    <row r="420" spans="1:19">
      <c r="A420">
        <v>38</v>
      </c>
      <c r="B420" t="s">
        <v>106</v>
      </c>
      <c r="C420" t="s">
        <v>102</v>
      </c>
      <c r="D420" t="s">
        <v>104</v>
      </c>
      <c r="E420">
        <v>153022910</v>
      </c>
      <c r="F420" t="s">
        <v>403</v>
      </c>
      <c r="G420" t="s">
        <v>402</v>
      </c>
      <c r="H420" t="s">
        <v>79</v>
      </c>
      <c r="I420" t="s">
        <v>337</v>
      </c>
      <c r="J420">
        <v>2</v>
      </c>
      <c r="K420" s="5">
        <v>809</v>
      </c>
      <c r="L420" s="5">
        <v>758.88</v>
      </c>
      <c r="M420">
        <v>6.1953028E-2</v>
      </c>
      <c r="N420" s="5">
        <v>50.12</v>
      </c>
      <c r="O420" s="5">
        <v>25.06</v>
      </c>
      <c r="P420">
        <v>0</v>
      </c>
      <c r="Q420" s="5">
        <v>0</v>
      </c>
      <c r="R420" s="5">
        <v>0</v>
      </c>
      <c r="S420" s="5">
        <v>379.44</v>
      </c>
    </row>
    <row r="421" spans="1:19">
      <c r="A421">
        <v>38</v>
      </c>
      <c r="B421" t="s">
        <v>106</v>
      </c>
      <c r="C421" t="s">
        <v>102</v>
      </c>
      <c r="D421" t="s">
        <v>104</v>
      </c>
      <c r="E421">
        <v>153022910</v>
      </c>
      <c r="F421" t="s">
        <v>403</v>
      </c>
      <c r="G421" t="s">
        <v>402</v>
      </c>
      <c r="H421" t="s">
        <v>79</v>
      </c>
      <c r="I421" t="s">
        <v>337</v>
      </c>
      <c r="J421">
        <v>0</v>
      </c>
      <c r="L421" s="5">
        <v>0</v>
      </c>
      <c r="M421">
        <v>0</v>
      </c>
      <c r="N421" s="5">
        <v>0</v>
      </c>
      <c r="O421" s="5">
        <v>0</v>
      </c>
      <c r="P421">
        <v>4</v>
      </c>
      <c r="Q421" s="5">
        <v>640</v>
      </c>
      <c r="R421" s="5">
        <v>619.78</v>
      </c>
      <c r="S421" s="5">
        <v>160</v>
      </c>
    </row>
    <row r="422" spans="1:19">
      <c r="A422">
        <v>38</v>
      </c>
      <c r="B422" t="s">
        <v>106</v>
      </c>
      <c r="C422" t="s">
        <v>102</v>
      </c>
      <c r="D422" t="s">
        <v>104</v>
      </c>
      <c r="E422">
        <v>153022910</v>
      </c>
      <c r="F422" t="s">
        <v>403</v>
      </c>
      <c r="G422" t="s">
        <v>402</v>
      </c>
      <c r="H422" t="s">
        <v>79</v>
      </c>
      <c r="I422" t="s">
        <v>333</v>
      </c>
      <c r="J422">
        <v>4</v>
      </c>
      <c r="K422" s="5">
        <v>3315.52</v>
      </c>
      <c r="L422" s="5">
        <v>1240</v>
      </c>
      <c r="M422">
        <v>0.62600135099999998</v>
      </c>
      <c r="N422" s="5">
        <v>2075.52</v>
      </c>
      <c r="O422" s="5">
        <v>518.88</v>
      </c>
      <c r="P422">
        <v>0</v>
      </c>
      <c r="Q422" s="5">
        <v>0</v>
      </c>
      <c r="R422" s="5">
        <v>0</v>
      </c>
      <c r="S422" s="5">
        <v>310</v>
      </c>
    </row>
    <row r="423" spans="1:19">
      <c r="A423">
        <v>40</v>
      </c>
      <c r="B423" t="s">
        <v>110</v>
      </c>
      <c r="C423" t="s">
        <v>116</v>
      </c>
      <c r="D423" t="s">
        <v>111</v>
      </c>
      <c r="E423">
        <v>153022910</v>
      </c>
      <c r="F423" t="s">
        <v>405</v>
      </c>
      <c r="G423" t="s">
        <v>406</v>
      </c>
      <c r="H423" t="s">
        <v>164</v>
      </c>
      <c r="I423" t="s">
        <v>334</v>
      </c>
      <c r="J423">
        <v>0</v>
      </c>
      <c r="L423" s="5">
        <v>0</v>
      </c>
      <c r="M423">
        <v>0</v>
      </c>
      <c r="N423" s="5">
        <v>0</v>
      </c>
      <c r="O423" s="5">
        <v>0</v>
      </c>
      <c r="P423">
        <v>4</v>
      </c>
      <c r="Q423" s="5">
        <v>1800</v>
      </c>
      <c r="R423" s="5">
        <v>612.6</v>
      </c>
      <c r="S423" s="5">
        <v>450</v>
      </c>
    </row>
    <row r="424" spans="1:19">
      <c r="A424">
        <v>40</v>
      </c>
      <c r="B424" t="s">
        <v>110</v>
      </c>
      <c r="C424" t="s">
        <v>116</v>
      </c>
      <c r="D424" t="s">
        <v>111</v>
      </c>
      <c r="E424">
        <v>154852936</v>
      </c>
      <c r="F424" t="s">
        <v>405</v>
      </c>
      <c r="G424" t="s">
        <v>406</v>
      </c>
      <c r="H424" t="s">
        <v>164</v>
      </c>
      <c r="I424" t="s">
        <v>333</v>
      </c>
      <c r="J424">
        <v>4</v>
      </c>
      <c r="K424" s="5">
        <v>1452.79</v>
      </c>
      <c r="L424" s="5">
        <v>1240</v>
      </c>
      <c r="M424">
        <v>0.14646989499999999</v>
      </c>
      <c r="N424" s="5">
        <v>212.79</v>
      </c>
      <c r="O424" s="5">
        <v>53.2</v>
      </c>
      <c r="P424">
        <v>0</v>
      </c>
      <c r="Q424" s="5">
        <v>0</v>
      </c>
      <c r="R424" s="5">
        <v>0</v>
      </c>
      <c r="S424" s="5">
        <v>310</v>
      </c>
    </row>
    <row r="425" spans="1:19">
      <c r="A425">
        <v>37</v>
      </c>
      <c r="B425" t="s">
        <v>103</v>
      </c>
      <c r="C425" t="s">
        <v>107</v>
      </c>
      <c r="D425" t="s">
        <v>104</v>
      </c>
      <c r="E425">
        <v>154852936</v>
      </c>
      <c r="F425" t="s">
        <v>407</v>
      </c>
      <c r="G425" t="s">
        <v>406</v>
      </c>
      <c r="H425" t="s">
        <v>370</v>
      </c>
      <c r="I425" t="s">
        <v>334</v>
      </c>
      <c r="J425">
        <v>4</v>
      </c>
      <c r="K425" s="5">
        <v>1687.69</v>
      </c>
      <c r="L425" s="5">
        <v>1780</v>
      </c>
      <c r="M425">
        <v>-5.4696063000000003E-2</v>
      </c>
      <c r="N425" s="5">
        <v>-92.31</v>
      </c>
      <c r="O425" s="5">
        <v>-23.08</v>
      </c>
      <c r="P425">
        <v>0</v>
      </c>
      <c r="Q425" s="5">
        <v>0</v>
      </c>
      <c r="R425" s="5">
        <v>0</v>
      </c>
      <c r="S425" s="5">
        <v>445</v>
      </c>
    </row>
    <row r="426" spans="1:19">
      <c r="A426">
        <v>37</v>
      </c>
      <c r="B426" t="s">
        <v>103</v>
      </c>
      <c r="C426" t="s">
        <v>107</v>
      </c>
      <c r="D426" t="s">
        <v>104</v>
      </c>
      <c r="E426">
        <v>153023087</v>
      </c>
      <c r="F426" t="s">
        <v>407</v>
      </c>
      <c r="G426" t="s">
        <v>406</v>
      </c>
      <c r="H426" t="s">
        <v>370</v>
      </c>
      <c r="I426" t="s">
        <v>338</v>
      </c>
      <c r="J426">
        <v>0</v>
      </c>
      <c r="L426" s="5">
        <v>0</v>
      </c>
      <c r="M426">
        <v>0</v>
      </c>
      <c r="N426" s="5">
        <v>0</v>
      </c>
      <c r="O426" s="5">
        <v>0</v>
      </c>
      <c r="P426">
        <v>2</v>
      </c>
      <c r="Q426" s="5">
        <v>1000</v>
      </c>
      <c r="R426" s="5">
        <v>613.02</v>
      </c>
      <c r="S426" s="5">
        <v>500</v>
      </c>
    </row>
    <row r="427" spans="1:19">
      <c r="A427">
        <v>37</v>
      </c>
      <c r="B427" t="s">
        <v>103</v>
      </c>
      <c r="C427" t="s">
        <v>107</v>
      </c>
      <c r="D427" t="s">
        <v>104</v>
      </c>
      <c r="E427">
        <v>153023087</v>
      </c>
      <c r="F427" t="s">
        <v>407</v>
      </c>
      <c r="G427" t="s">
        <v>406</v>
      </c>
      <c r="H427" t="s">
        <v>370</v>
      </c>
      <c r="I427" t="s">
        <v>333</v>
      </c>
      <c r="J427">
        <v>0</v>
      </c>
      <c r="L427" s="5">
        <v>0</v>
      </c>
      <c r="M427">
        <v>0</v>
      </c>
      <c r="N427" s="5">
        <v>0</v>
      </c>
      <c r="O427" s="5">
        <v>0</v>
      </c>
      <c r="P427">
        <v>4</v>
      </c>
      <c r="Q427" s="5">
        <v>1420</v>
      </c>
      <c r="R427" s="5">
        <v>530.09</v>
      </c>
      <c r="S427" s="5">
        <v>355</v>
      </c>
    </row>
    <row r="428" spans="1:19">
      <c r="A428">
        <v>37</v>
      </c>
      <c r="B428" t="s">
        <v>103</v>
      </c>
      <c r="C428" t="s">
        <v>107</v>
      </c>
      <c r="D428" t="s">
        <v>104</v>
      </c>
      <c r="E428">
        <v>153023087</v>
      </c>
      <c r="F428" t="s">
        <v>407</v>
      </c>
      <c r="G428" t="s">
        <v>406</v>
      </c>
      <c r="H428" t="s">
        <v>370</v>
      </c>
      <c r="I428" t="s">
        <v>334</v>
      </c>
      <c r="J428">
        <v>4</v>
      </c>
      <c r="K428" s="5">
        <v>1644.64</v>
      </c>
      <c r="L428" s="5">
        <v>1780</v>
      </c>
      <c r="M428">
        <v>-8.2303725999999994E-2</v>
      </c>
      <c r="N428" s="5">
        <v>-135.36000000000001</v>
      </c>
      <c r="O428" s="5">
        <v>-33.840000000000003</v>
      </c>
      <c r="P428">
        <v>0</v>
      </c>
      <c r="Q428" s="5">
        <v>0</v>
      </c>
      <c r="R428" s="5">
        <v>0</v>
      </c>
      <c r="S428" s="5">
        <v>445</v>
      </c>
    </row>
    <row r="429" spans="1:19">
      <c r="A429">
        <v>37</v>
      </c>
      <c r="B429" t="s">
        <v>103</v>
      </c>
      <c r="C429" t="s">
        <v>107</v>
      </c>
      <c r="D429" t="s">
        <v>104</v>
      </c>
      <c r="E429">
        <v>153023087</v>
      </c>
      <c r="F429" t="s">
        <v>407</v>
      </c>
      <c r="G429" t="s">
        <v>406</v>
      </c>
      <c r="H429" t="s">
        <v>370</v>
      </c>
      <c r="I429" t="s">
        <v>333</v>
      </c>
      <c r="J429">
        <v>4</v>
      </c>
      <c r="K429" s="5">
        <v>1317.42</v>
      </c>
      <c r="L429" s="5">
        <v>1520</v>
      </c>
      <c r="M429">
        <v>-0.153770247</v>
      </c>
      <c r="N429" s="5">
        <v>-202.58</v>
      </c>
      <c r="O429" s="5">
        <v>-50.64</v>
      </c>
      <c r="P429">
        <v>0</v>
      </c>
      <c r="Q429" s="5">
        <v>0</v>
      </c>
      <c r="R429" s="5">
        <v>0</v>
      </c>
      <c r="S429" s="5">
        <v>380</v>
      </c>
    </row>
    <row r="430" spans="1:19">
      <c r="A430">
        <v>37</v>
      </c>
      <c r="B430" t="s">
        <v>103</v>
      </c>
      <c r="C430" t="s">
        <v>107</v>
      </c>
      <c r="D430" t="s">
        <v>104</v>
      </c>
      <c r="E430">
        <v>153023087</v>
      </c>
      <c r="F430" t="s">
        <v>407</v>
      </c>
      <c r="G430" t="s">
        <v>406</v>
      </c>
      <c r="H430" t="s">
        <v>370</v>
      </c>
      <c r="I430" t="s">
        <v>334</v>
      </c>
      <c r="J430">
        <v>4</v>
      </c>
      <c r="K430" s="5">
        <v>2195.0500000000002</v>
      </c>
      <c r="L430" s="5">
        <v>1780</v>
      </c>
      <c r="M430">
        <v>0.189084531</v>
      </c>
      <c r="N430" s="5">
        <v>415.05</v>
      </c>
      <c r="O430" s="5">
        <v>103.76</v>
      </c>
      <c r="P430">
        <v>0</v>
      </c>
      <c r="Q430" s="5">
        <v>0</v>
      </c>
      <c r="R430" s="5">
        <v>0</v>
      </c>
      <c r="S430" s="5">
        <v>445</v>
      </c>
    </row>
    <row r="431" spans="1:19">
      <c r="A431">
        <v>37</v>
      </c>
      <c r="B431" t="s">
        <v>103</v>
      </c>
      <c r="C431" t="s">
        <v>107</v>
      </c>
      <c r="D431" t="s">
        <v>104</v>
      </c>
      <c r="E431">
        <v>153023087</v>
      </c>
      <c r="F431" t="s">
        <v>407</v>
      </c>
      <c r="G431" t="s">
        <v>406</v>
      </c>
      <c r="H431" t="s">
        <v>370</v>
      </c>
      <c r="I431" t="s">
        <v>333</v>
      </c>
      <c r="J431">
        <v>0</v>
      </c>
      <c r="L431" s="5">
        <v>0</v>
      </c>
      <c r="M431">
        <v>0</v>
      </c>
      <c r="N431" s="5">
        <v>0</v>
      </c>
      <c r="O431" s="5">
        <v>0</v>
      </c>
      <c r="P431">
        <v>4</v>
      </c>
      <c r="Q431" s="5">
        <v>1520</v>
      </c>
      <c r="R431" s="5">
        <v>520.22</v>
      </c>
      <c r="S431" s="5">
        <v>380</v>
      </c>
    </row>
    <row r="432" spans="1:19">
      <c r="A432">
        <v>37</v>
      </c>
      <c r="B432" t="s">
        <v>103</v>
      </c>
      <c r="C432" t="s">
        <v>107</v>
      </c>
      <c r="D432" t="s">
        <v>104</v>
      </c>
      <c r="E432">
        <v>153023087</v>
      </c>
      <c r="F432" t="s">
        <v>407</v>
      </c>
      <c r="G432" t="s">
        <v>406</v>
      </c>
      <c r="H432" t="s">
        <v>370</v>
      </c>
      <c r="I432" t="s">
        <v>333</v>
      </c>
      <c r="J432">
        <v>4</v>
      </c>
      <c r="K432" s="5">
        <v>1473.39</v>
      </c>
      <c r="L432" s="5">
        <v>1520</v>
      </c>
      <c r="M432">
        <v>-3.1634529000000002E-2</v>
      </c>
      <c r="N432" s="5">
        <v>-46.61</v>
      </c>
      <c r="O432" s="5">
        <v>-11.65</v>
      </c>
      <c r="P432">
        <v>0</v>
      </c>
      <c r="Q432" s="5">
        <v>0</v>
      </c>
      <c r="R432" s="5">
        <v>0</v>
      </c>
      <c r="S432" s="5">
        <v>380</v>
      </c>
    </row>
    <row r="433" spans="1:19">
      <c r="A433">
        <v>37</v>
      </c>
      <c r="B433" t="s">
        <v>103</v>
      </c>
      <c r="C433" t="s">
        <v>107</v>
      </c>
      <c r="D433" t="s">
        <v>104</v>
      </c>
      <c r="E433">
        <v>153023087</v>
      </c>
      <c r="F433" t="s">
        <v>407</v>
      </c>
      <c r="G433" t="s">
        <v>406</v>
      </c>
      <c r="H433" t="s">
        <v>370</v>
      </c>
      <c r="I433" t="s">
        <v>333</v>
      </c>
      <c r="J433">
        <v>2</v>
      </c>
      <c r="K433" s="5">
        <v>730.58</v>
      </c>
      <c r="L433" s="5">
        <v>710</v>
      </c>
      <c r="M433">
        <v>2.8169399000000001E-2</v>
      </c>
      <c r="N433" s="5">
        <v>20.58</v>
      </c>
      <c r="O433" s="5">
        <v>10.29</v>
      </c>
      <c r="P433">
        <v>2</v>
      </c>
      <c r="Q433" s="5">
        <v>710</v>
      </c>
      <c r="R433" s="5">
        <v>1020.68</v>
      </c>
      <c r="S433" s="5">
        <v>355</v>
      </c>
    </row>
    <row r="434" spans="1:19">
      <c r="A434">
        <v>37</v>
      </c>
      <c r="B434" t="s">
        <v>103</v>
      </c>
      <c r="C434" t="s">
        <v>107</v>
      </c>
      <c r="D434" t="s">
        <v>104</v>
      </c>
      <c r="E434">
        <v>153023087</v>
      </c>
      <c r="F434" t="s">
        <v>407</v>
      </c>
      <c r="G434" t="s">
        <v>406</v>
      </c>
      <c r="H434" t="s">
        <v>370</v>
      </c>
      <c r="I434" t="s">
        <v>333</v>
      </c>
      <c r="J434">
        <v>4</v>
      </c>
      <c r="K434" s="5">
        <v>1891.25</v>
      </c>
      <c r="L434" s="5">
        <v>1420</v>
      </c>
      <c r="M434">
        <v>0.24917382599999999</v>
      </c>
      <c r="N434" s="5">
        <v>471.25</v>
      </c>
      <c r="O434" s="5">
        <v>117.81</v>
      </c>
      <c r="P434">
        <v>0</v>
      </c>
      <c r="Q434" s="5">
        <v>0</v>
      </c>
      <c r="R434" s="5">
        <v>0</v>
      </c>
      <c r="S434" s="5">
        <v>355</v>
      </c>
    </row>
    <row r="435" spans="1:19">
      <c r="A435">
        <v>37</v>
      </c>
      <c r="B435" t="s">
        <v>103</v>
      </c>
      <c r="C435" t="s">
        <v>107</v>
      </c>
      <c r="D435" t="s">
        <v>104</v>
      </c>
      <c r="E435">
        <v>153023087</v>
      </c>
      <c r="F435" t="s">
        <v>407</v>
      </c>
      <c r="G435" t="s">
        <v>406</v>
      </c>
      <c r="H435" t="s">
        <v>370</v>
      </c>
      <c r="I435" t="s">
        <v>338</v>
      </c>
      <c r="J435">
        <v>0</v>
      </c>
      <c r="L435" s="5">
        <v>0</v>
      </c>
      <c r="M435">
        <v>0</v>
      </c>
      <c r="N435" s="5">
        <v>0</v>
      </c>
      <c r="O435" s="5">
        <v>0</v>
      </c>
      <c r="P435">
        <v>3</v>
      </c>
      <c r="Q435" s="5">
        <v>1500</v>
      </c>
      <c r="R435" s="5">
        <v>713.4</v>
      </c>
      <c r="S435" s="5">
        <v>500</v>
      </c>
    </row>
    <row r="436" spans="1:19">
      <c r="A436">
        <v>37</v>
      </c>
      <c r="B436" t="s">
        <v>103</v>
      </c>
      <c r="C436" t="s">
        <v>107</v>
      </c>
      <c r="D436" t="s">
        <v>104</v>
      </c>
      <c r="E436">
        <v>153023087</v>
      </c>
      <c r="F436" t="s">
        <v>407</v>
      </c>
      <c r="G436" t="s">
        <v>406</v>
      </c>
      <c r="H436" t="s">
        <v>370</v>
      </c>
      <c r="I436" t="s">
        <v>334</v>
      </c>
      <c r="J436">
        <v>4</v>
      </c>
      <c r="K436" s="5">
        <v>1438.73</v>
      </c>
      <c r="L436" s="5">
        <v>1780</v>
      </c>
      <c r="M436">
        <v>-0.237202254</v>
      </c>
      <c r="N436" s="5">
        <v>-341.27</v>
      </c>
      <c r="O436" s="5">
        <v>-85.32</v>
      </c>
      <c r="P436">
        <v>0</v>
      </c>
      <c r="Q436" s="5">
        <v>0</v>
      </c>
      <c r="R436" s="5">
        <v>0</v>
      </c>
      <c r="S436" s="5">
        <v>445</v>
      </c>
    </row>
    <row r="437" spans="1:19">
      <c r="A437">
        <v>37</v>
      </c>
      <c r="B437" t="s">
        <v>103</v>
      </c>
      <c r="C437" t="s">
        <v>107</v>
      </c>
      <c r="D437" t="s">
        <v>104</v>
      </c>
      <c r="E437">
        <v>153023087</v>
      </c>
      <c r="F437" t="s">
        <v>407</v>
      </c>
      <c r="G437" t="s">
        <v>406</v>
      </c>
      <c r="H437" t="s">
        <v>370</v>
      </c>
      <c r="I437" t="s">
        <v>334</v>
      </c>
      <c r="J437">
        <v>4</v>
      </c>
      <c r="K437" s="5">
        <v>1509.44</v>
      </c>
      <c r="L437" s="5">
        <v>1780</v>
      </c>
      <c r="M437">
        <v>-0.17924528300000001</v>
      </c>
      <c r="N437" s="5">
        <v>-270.56</v>
      </c>
      <c r="O437" s="5">
        <v>-67.64</v>
      </c>
      <c r="P437">
        <v>0</v>
      </c>
      <c r="Q437" s="5">
        <v>0</v>
      </c>
      <c r="R437" s="5">
        <v>0</v>
      </c>
      <c r="S437" s="5">
        <v>445</v>
      </c>
    </row>
    <row r="438" spans="1:19">
      <c r="A438">
        <v>37</v>
      </c>
      <c r="B438" t="s">
        <v>103</v>
      </c>
      <c r="C438" t="s">
        <v>107</v>
      </c>
      <c r="D438" t="s">
        <v>104</v>
      </c>
      <c r="E438">
        <v>153023087</v>
      </c>
      <c r="F438" t="s">
        <v>407</v>
      </c>
      <c r="G438" t="s">
        <v>406</v>
      </c>
      <c r="H438" t="s">
        <v>370</v>
      </c>
      <c r="I438" t="s">
        <v>333</v>
      </c>
      <c r="J438">
        <v>4</v>
      </c>
      <c r="K438" s="5">
        <v>1457.14</v>
      </c>
      <c r="L438" s="5">
        <v>1520</v>
      </c>
      <c r="M438">
        <v>-4.3139299999999998E-2</v>
      </c>
      <c r="N438" s="5">
        <v>-62.86</v>
      </c>
      <c r="O438" s="5">
        <v>-15.72</v>
      </c>
      <c r="P438">
        <v>0</v>
      </c>
      <c r="Q438" s="5">
        <v>0</v>
      </c>
      <c r="R438" s="5">
        <v>0</v>
      </c>
      <c r="S438" s="5">
        <v>380</v>
      </c>
    </row>
    <row r="439" spans="1:19">
      <c r="A439">
        <v>37</v>
      </c>
      <c r="B439" t="s">
        <v>103</v>
      </c>
      <c r="C439" t="s">
        <v>107</v>
      </c>
      <c r="D439" t="s">
        <v>104</v>
      </c>
      <c r="E439">
        <v>153023087</v>
      </c>
      <c r="F439" t="s">
        <v>407</v>
      </c>
      <c r="G439" t="s">
        <v>406</v>
      </c>
      <c r="H439" t="s">
        <v>370</v>
      </c>
      <c r="I439" t="s">
        <v>333</v>
      </c>
      <c r="J439">
        <v>4</v>
      </c>
      <c r="K439" s="5">
        <v>1435.92</v>
      </c>
      <c r="L439" s="5">
        <v>1520</v>
      </c>
      <c r="M439">
        <v>-5.8554794E-2</v>
      </c>
      <c r="N439" s="5">
        <v>-84.08</v>
      </c>
      <c r="O439" s="5">
        <v>-21.02</v>
      </c>
      <c r="P439">
        <v>0</v>
      </c>
      <c r="Q439" s="5">
        <v>0</v>
      </c>
      <c r="R439" s="5">
        <v>0</v>
      </c>
      <c r="S439" s="5">
        <v>380</v>
      </c>
    </row>
    <row r="440" spans="1:19">
      <c r="A440">
        <v>37</v>
      </c>
      <c r="B440" t="s">
        <v>103</v>
      </c>
      <c r="C440" t="s">
        <v>107</v>
      </c>
      <c r="D440" t="s">
        <v>104</v>
      </c>
      <c r="E440">
        <v>153023087</v>
      </c>
      <c r="F440" t="s">
        <v>407</v>
      </c>
      <c r="G440" t="s">
        <v>406</v>
      </c>
      <c r="H440" t="s">
        <v>370</v>
      </c>
      <c r="I440" t="s">
        <v>334</v>
      </c>
      <c r="J440">
        <v>4</v>
      </c>
      <c r="K440" s="5">
        <v>1649.93</v>
      </c>
      <c r="L440" s="5">
        <v>1780</v>
      </c>
      <c r="M440">
        <v>-7.8833647000000007E-2</v>
      </c>
      <c r="N440" s="5">
        <v>-130.07</v>
      </c>
      <c r="O440" s="5">
        <v>-32.520000000000003</v>
      </c>
      <c r="P440">
        <v>0</v>
      </c>
      <c r="Q440" s="5">
        <v>0</v>
      </c>
      <c r="R440" s="5">
        <v>0</v>
      </c>
      <c r="S440" s="5">
        <v>445</v>
      </c>
    </row>
    <row r="441" spans="1:19">
      <c r="A441">
        <v>43</v>
      </c>
      <c r="B441" t="s">
        <v>129</v>
      </c>
      <c r="C441" t="s">
        <v>137</v>
      </c>
      <c r="D441" t="s">
        <v>131</v>
      </c>
      <c r="E441">
        <v>153023087</v>
      </c>
      <c r="F441" t="s">
        <v>408</v>
      </c>
      <c r="G441" t="s">
        <v>409</v>
      </c>
      <c r="H441" t="s">
        <v>74</v>
      </c>
      <c r="I441" t="s">
        <v>334</v>
      </c>
      <c r="J441">
        <v>4</v>
      </c>
      <c r="K441" s="5">
        <v>6000.4</v>
      </c>
      <c r="L441" s="5">
        <v>1780</v>
      </c>
      <c r="M441">
        <v>0.70335310900000003</v>
      </c>
      <c r="N441" s="5">
        <v>4220.3999999999996</v>
      </c>
      <c r="O441" s="5">
        <v>1055.0999999999999</v>
      </c>
      <c r="P441">
        <v>0</v>
      </c>
      <c r="Q441" s="5">
        <v>0</v>
      </c>
      <c r="R441" s="5">
        <v>0</v>
      </c>
      <c r="S441" s="5">
        <v>445</v>
      </c>
    </row>
    <row r="442" spans="1:19">
      <c r="A442">
        <v>43</v>
      </c>
      <c r="B442" t="s">
        <v>129</v>
      </c>
      <c r="C442" t="s">
        <v>137</v>
      </c>
      <c r="D442" t="s">
        <v>131</v>
      </c>
      <c r="E442">
        <v>153021379</v>
      </c>
      <c r="F442" t="s">
        <v>408</v>
      </c>
      <c r="G442" t="s">
        <v>409</v>
      </c>
      <c r="H442" t="s">
        <v>74</v>
      </c>
      <c r="I442" t="s">
        <v>333</v>
      </c>
      <c r="J442">
        <v>4</v>
      </c>
      <c r="K442" s="5">
        <v>5006.29</v>
      </c>
      <c r="L442" s="5">
        <v>1340</v>
      </c>
      <c r="M442">
        <v>0.73233672000000005</v>
      </c>
      <c r="N442" s="5">
        <v>3666.29</v>
      </c>
      <c r="O442" s="5">
        <v>916.57</v>
      </c>
      <c r="P442">
        <v>0</v>
      </c>
      <c r="Q442" s="5">
        <v>0</v>
      </c>
      <c r="R442" s="5">
        <v>0</v>
      </c>
      <c r="S442" s="5">
        <v>335</v>
      </c>
    </row>
    <row r="443" spans="1:19">
      <c r="A443">
        <v>43</v>
      </c>
      <c r="B443" t="s">
        <v>129</v>
      </c>
      <c r="C443" t="s">
        <v>137</v>
      </c>
      <c r="D443" t="s">
        <v>131</v>
      </c>
      <c r="E443">
        <v>153021379</v>
      </c>
      <c r="F443" t="s">
        <v>408</v>
      </c>
      <c r="G443" t="s">
        <v>409</v>
      </c>
      <c r="H443" t="s">
        <v>74</v>
      </c>
      <c r="I443" t="s">
        <v>334</v>
      </c>
      <c r="J443">
        <v>0</v>
      </c>
      <c r="L443" s="5">
        <v>0</v>
      </c>
      <c r="M443">
        <v>0</v>
      </c>
      <c r="N443" s="5">
        <v>0</v>
      </c>
      <c r="O443" s="5">
        <v>0</v>
      </c>
      <c r="P443">
        <v>4</v>
      </c>
      <c r="Q443" s="5">
        <v>1780</v>
      </c>
      <c r="R443" s="5">
        <v>2958.52</v>
      </c>
      <c r="S443" s="5">
        <v>445</v>
      </c>
    </row>
    <row r="444" spans="1:19">
      <c r="A444">
        <v>43</v>
      </c>
      <c r="B444" t="s">
        <v>129</v>
      </c>
      <c r="C444" t="s">
        <v>137</v>
      </c>
      <c r="D444" t="s">
        <v>131</v>
      </c>
      <c r="E444">
        <v>153021379</v>
      </c>
      <c r="F444" t="s">
        <v>408</v>
      </c>
      <c r="G444" t="s">
        <v>409</v>
      </c>
      <c r="H444" t="s">
        <v>74</v>
      </c>
      <c r="I444" t="s">
        <v>410</v>
      </c>
      <c r="J444">
        <v>0</v>
      </c>
      <c r="L444" s="5">
        <v>0</v>
      </c>
      <c r="M444">
        <v>0</v>
      </c>
      <c r="N444" s="5">
        <v>0</v>
      </c>
      <c r="O444" s="5">
        <v>0</v>
      </c>
      <c r="P444">
        <v>4</v>
      </c>
      <c r="Q444" s="5">
        <v>1166</v>
      </c>
      <c r="R444" s="5">
        <v>0</v>
      </c>
      <c r="S444" s="5">
        <v>291.5</v>
      </c>
    </row>
    <row r="445" spans="1:19">
      <c r="A445">
        <v>43</v>
      </c>
      <c r="B445" t="s">
        <v>129</v>
      </c>
      <c r="C445" t="s">
        <v>137</v>
      </c>
      <c r="D445" t="s">
        <v>131</v>
      </c>
      <c r="E445">
        <v>153021379</v>
      </c>
      <c r="F445" t="s">
        <v>408</v>
      </c>
      <c r="G445" t="s">
        <v>409</v>
      </c>
      <c r="H445" t="s">
        <v>74</v>
      </c>
      <c r="I445" t="s">
        <v>333</v>
      </c>
      <c r="J445">
        <v>0</v>
      </c>
      <c r="L445" s="5">
        <v>0</v>
      </c>
      <c r="M445">
        <v>0</v>
      </c>
      <c r="N445" s="5">
        <v>0</v>
      </c>
      <c r="O445" s="5">
        <v>0</v>
      </c>
      <c r="P445">
        <v>4</v>
      </c>
      <c r="Q445" s="5">
        <v>1340</v>
      </c>
      <c r="R445" s="5">
        <v>1273.01</v>
      </c>
      <c r="S445" s="5">
        <v>335</v>
      </c>
    </row>
    <row r="446" spans="1:19">
      <c r="A446">
        <v>43</v>
      </c>
      <c r="B446" t="s">
        <v>129</v>
      </c>
      <c r="C446" t="s">
        <v>137</v>
      </c>
      <c r="D446" t="s">
        <v>131</v>
      </c>
      <c r="E446">
        <v>153021379</v>
      </c>
      <c r="F446" t="s">
        <v>408</v>
      </c>
      <c r="G446" t="s">
        <v>409</v>
      </c>
      <c r="H446" t="s">
        <v>74</v>
      </c>
      <c r="I446" t="s">
        <v>334</v>
      </c>
      <c r="J446">
        <v>4</v>
      </c>
      <c r="K446" s="5">
        <v>6874.29</v>
      </c>
      <c r="L446" s="5">
        <v>1780</v>
      </c>
      <c r="M446">
        <v>0.74106416799999997</v>
      </c>
      <c r="N446" s="5">
        <v>5094.29</v>
      </c>
      <c r="O446" s="5">
        <v>1273.57</v>
      </c>
      <c r="P446">
        <v>0</v>
      </c>
      <c r="Q446" s="5">
        <v>0</v>
      </c>
      <c r="R446" s="5">
        <v>0</v>
      </c>
      <c r="S446" s="5">
        <v>445</v>
      </c>
    </row>
    <row r="447" spans="1:19">
      <c r="A447">
        <v>43</v>
      </c>
      <c r="B447" t="s">
        <v>129</v>
      </c>
      <c r="C447" t="s">
        <v>137</v>
      </c>
      <c r="D447" t="s">
        <v>131</v>
      </c>
      <c r="E447">
        <v>153021379</v>
      </c>
      <c r="F447" t="s">
        <v>408</v>
      </c>
      <c r="G447" t="s">
        <v>409</v>
      </c>
      <c r="H447" t="s">
        <v>74</v>
      </c>
      <c r="I447" t="s">
        <v>333</v>
      </c>
      <c r="J447">
        <v>0</v>
      </c>
      <c r="L447" s="5">
        <v>0</v>
      </c>
      <c r="M447">
        <v>0</v>
      </c>
      <c r="N447" s="5">
        <v>0</v>
      </c>
      <c r="O447" s="5">
        <v>0</v>
      </c>
      <c r="P447">
        <v>4</v>
      </c>
      <c r="Q447" s="5">
        <v>1340</v>
      </c>
      <c r="R447" s="5">
        <v>2121.6799999999998</v>
      </c>
      <c r="S447" s="5">
        <v>335</v>
      </c>
    </row>
    <row r="448" spans="1:19">
      <c r="A448">
        <v>43</v>
      </c>
      <c r="B448" t="s">
        <v>129</v>
      </c>
      <c r="C448" t="s">
        <v>137</v>
      </c>
      <c r="D448" t="s">
        <v>131</v>
      </c>
      <c r="E448">
        <v>153021379</v>
      </c>
      <c r="F448" t="s">
        <v>408</v>
      </c>
      <c r="G448" t="s">
        <v>409</v>
      </c>
      <c r="H448" t="s">
        <v>74</v>
      </c>
      <c r="I448" t="s">
        <v>334</v>
      </c>
      <c r="J448">
        <v>0</v>
      </c>
      <c r="L448" s="5">
        <v>0</v>
      </c>
      <c r="M448">
        <v>0</v>
      </c>
      <c r="N448" s="5">
        <v>0</v>
      </c>
      <c r="O448" s="5">
        <v>0</v>
      </c>
      <c r="P448">
        <v>4</v>
      </c>
      <c r="Q448" s="5">
        <v>1780</v>
      </c>
      <c r="R448" s="5">
        <v>2655.08</v>
      </c>
      <c r="S448" s="5">
        <v>445</v>
      </c>
    </row>
    <row r="449" spans="1:19">
      <c r="A449">
        <v>43</v>
      </c>
      <c r="B449" t="s">
        <v>129</v>
      </c>
      <c r="C449" t="s">
        <v>137</v>
      </c>
      <c r="D449" t="s">
        <v>131</v>
      </c>
      <c r="E449">
        <v>153021379</v>
      </c>
      <c r="F449" t="s">
        <v>408</v>
      </c>
      <c r="G449" t="s">
        <v>409</v>
      </c>
      <c r="H449" t="s">
        <v>74</v>
      </c>
      <c r="I449" t="s">
        <v>334</v>
      </c>
      <c r="J449">
        <v>4</v>
      </c>
      <c r="K449" s="5">
        <v>6127.8</v>
      </c>
      <c r="L449" s="5">
        <v>1780</v>
      </c>
      <c r="M449">
        <v>0.70952054499999995</v>
      </c>
      <c r="N449" s="5">
        <v>4347.8</v>
      </c>
      <c r="O449" s="5">
        <v>1086.95</v>
      </c>
      <c r="P449">
        <v>0</v>
      </c>
      <c r="Q449" s="5">
        <v>0</v>
      </c>
      <c r="R449" s="5">
        <v>0</v>
      </c>
      <c r="S449" s="5">
        <v>445</v>
      </c>
    </row>
    <row r="450" spans="1:19">
      <c r="A450">
        <v>43</v>
      </c>
      <c r="B450" t="s">
        <v>129</v>
      </c>
      <c r="C450" t="s">
        <v>137</v>
      </c>
      <c r="D450" t="s">
        <v>131</v>
      </c>
      <c r="E450">
        <v>153021379</v>
      </c>
      <c r="F450" t="s">
        <v>408</v>
      </c>
      <c r="G450" t="s">
        <v>409</v>
      </c>
      <c r="H450" t="s">
        <v>74</v>
      </c>
      <c r="I450" t="s">
        <v>333</v>
      </c>
      <c r="J450">
        <v>4</v>
      </c>
      <c r="K450" s="5">
        <v>4975.91</v>
      </c>
      <c r="L450" s="5">
        <v>1340</v>
      </c>
      <c r="M450">
        <v>0.73070252400000002</v>
      </c>
      <c r="N450" s="5">
        <v>3635.91</v>
      </c>
      <c r="O450" s="5">
        <v>908.98</v>
      </c>
      <c r="P450">
        <v>0</v>
      </c>
      <c r="Q450" s="5">
        <v>0</v>
      </c>
      <c r="R450" s="5">
        <v>0</v>
      </c>
      <c r="S450" s="5">
        <v>335</v>
      </c>
    </row>
    <row r="451" spans="1:19">
      <c r="A451">
        <v>43</v>
      </c>
      <c r="B451" t="s">
        <v>129</v>
      </c>
      <c r="C451" t="s">
        <v>137</v>
      </c>
      <c r="D451" t="s">
        <v>131</v>
      </c>
      <c r="E451">
        <v>153021379</v>
      </c>
      <c r="F451" t="s">
        <v>408</v>
      </c>
      <c r="G451" t="s">
        <v>409</v>
      </c>
      <c r="H451" t="s">
        <v>74</v>
      </c>
      <c r="I451" t="s">
        <v>334</v>
      </c>
      <c r="J451">
        <v>0</v>
      </c>
      <c r="L451" s="5">
        <v>0</v>
      </c>
      <c r="M451">
        <v>0</v>
      </c>
      <c r="N451" s="5">
        <v>0</v>
      </c>
      <c r="O451" s="5">
        <v>0</v>
      </c>
      <c r="P451">
        <v>4</v>
      </c>
      <c r="Q451" s="5">
        <v>1780</v>
      </c>
      <c r="R451" s="5">
        <v>1896.49</v>
      </c>
      <c r="S451" s="5">
        <v>445</v>
      </c>
    </row>
    <row r="452" spans="1:19">
      <c r="A452">
        <v>42</v>
      </c>
      <c r="B452" t="s">
        <v>120</v>
      </c>
      <c r="C452" t="s">
        <v>124</v>
      </c>
      <c r="D452" t="s">
        <v>122</v>
      </c>
      <c r="E452">
        <v>153021379</v>
      </c>
      <c r="F452" t="s">
        <v>411</v>
      </c>
      <c r="G452" t="s">
        <v>412</v>
      </c>
      <c r="H452" t="s">
        <v>171</v>
      </c>
      <c r="I452" t="s">
        <v>334</v>
      </c>
      <c r="J452">
        <v>0</v>
      </c>
      <c r="L452" s="5">
        <v>0</v>
      </c>
      <c r="M452">
        <v>0</v>
      </c>
      <c r="N452" s="5">
        <v>0</v>
      </c>
      <c r="O452" s="5">
        <v>0</v>
      </c>
      <c r="P452">
        <v>4</v>
      </c>
      <c r="Q452" s="5">
        <v>1780</v>
      </c>
      <c r="R452" s="5">
        <v>834.27</v>
      </c>
      <c r="S452" s="5">
        <v>445</v>
      </c>
    </row>
    <row r="453" spans="1:19">
      <c r="A453">
        <v>42</v>
      </c>
      <c r="B453" t="s">
        <v>120</v>
      </c>
      <c r="C453" t="s">
        <v>124</v>
      </c>
      <c r="D453" t="s">
        <v>122</v>
      </c>
      <c r="E453">
        <v>153023094</v>
      </c>
      <c r="F453" t="s">
        <v>411</v>
      </c>
      <c r="G453" t="s">
        <v>412</v>
      </c>
      <c r="H453" t="s">
        <v>171</v>
      </c>
      <c r="I453" t="s">
        <v>334</v>
      </c>
      <c r="J453">
        <v>0</v>
      </c>
      <c r="L453" s="5">
        <v>0</v>
      </c>
      <c r="M453">
        <v>0</v>
      </c>
      <c r="N453" s="5">
        <v>0</v>
      </c>
      <c r="O453" s="5">
        <v>0</v>
      </c>
      <c r="P453">
        <v>4</v>
      </c>
      <c r="Q453" s="5">
        <v>1780</v>
      </c>
      <c r="R453" s="5">
        <v>957.86</v>
      </c>
      <c r="S453" s="5">
        <v>445</v>
      </c>
    </row>
    <row r="454" spans="1:19">
      <c r="A454">
        <v>42</v>
      </c>
      <c r="B454" t="s">
        <v>120</v>
      </c>
      <c r="C454" t="s">
        <v>124</v>
      </c>
      <c r="D454" t="s">
        <v>122</v>
      </c>
      <c r="E454">
        <v>153023094</v>
      </c>
      <c r="F454" t="s">
        <v>411</v>
      </c>
      <c r="G454" t="s">
        <v>412</v>
      </c>
      <c r="H454" t="s">
        <v>171</v>
      </c>
      <c r="I454" t="s">
        <v>333</v>
      </c>
      <c r="J454">
        <v>2</v>
      </c>
      <c r="K454" s="5">
        <v>1539.72</v>
      </c>
      <c r="L454" s="5">
        <v>670</v>
      </c>
      <c r="M454">
        <v>0.56485594699999997</v>
      </c>
      <c r="N454" s="5">
        <v>869.72</v>
      </c>
      <c r="O454" s="5">
        <v>434.86</v>
      </c>
      <c r="P454">
        <v>2</v>
      </c>
      <c r="Q454" s="5">
        <v>670</v>
      </c>
      <c r="R454" s="5">
        <v>1054.4000000000001</v>
      </c>
      <c r="S454" s="5">
        <v>335</v>
      </c>
    </row>
    <row r="455" spans="1:19">
      <c r="A455">
        <v>42</v>
      </c>
      <c r="B455" t="s">
        <v>120</v>
      </c>
      <c r="C455" t="s">
        <v>124</v>
      </c>
      <c r="D455" t="s">
        <v>122</v>
      </c>
      <c r="E455">
        <v>153023094</v>
      </c>
      <c r="F455" t="s">
        <v>411</v>
      </c>
      <c r="G455" t="s">
        <v>412</v>
      </c>
      <c r="H455" t="s">
        <v>171</v>
      </c>
      <c r="I455" t="s">
        <v>337</v>
      </c>
      <c r="J455">
        <v>4</v>
      </c>
      <c r="K455" s="5">
        <v>895.22</v>
      </c>
      <c r="L455" s="5">
        <v>620</v>
      </c>
      <c r="M455">
        <v>0.30743280899999997</v>
      </c>
      <c r="N455" s="5">
        <v>275.22000000000003</v>
      </c>
      <c r="O455" s="5">
        <v>68.8</v>
      </c>
      <c r="P455">
        <v>0</v>
      </c>
      <c r="Q455" s="5">
        <v>0</v>
      </c>
      <c r="R455" s="5">
        <v>0</v>
      </c>
      <c r="S455" s="5">
        <v>155</v>
      </c>
    </row>
    <row r="456" spans="1:19">
      <c r="A456">
        <v>42</v>
      </c>
      <c r="B456" t="s">
        <v>120</v>
      </c>
      <c r="C456" t="s">
        <v>124</v>
      </c>
      <c r="D456" t="s">
        <v>122</v>
      </c>
      <c r="E456">
        <v>153023094</v>
      </c>
      <c r="F456" t="s">
        <v>411</v>
      </c>
      <c r="G456" t="s">
        <v>412</v>
      </c>
      <c r="H456" t="s">
        <v>171</v>
      </c>
      <c r="I456" t="s">
        <v>334</v>
      </c>
      <c r="J456">
        <v>0</v>
      </c>
      <c r="L456" s="5">
        <v>0</v>
      </c>
      <c r="M456">
        <v>0</v>
      </c>
      <c r="N456" s="5">
        <v>0</v>
      </c>
      <c r="O456" s="5">
        <v>0</v>
      </c>
      <c r="P456">
        <v>4</v>
      </c>
      <c r="Q456" s="5">
        <v>1780</v>
      </c>
      <c r="R456" s="5">
        <v>1205.05</v>
      </c>
      <c r="S456" s="5">
        <v>445</v>
      </c>
    </row>
    <row r="457" spans="1:19">
      <c r="A457">
        <v>42</v>
      </c>
      <c r="B457" t="s">
        <v>120</v>
      </c>
      <c r="C457" t="s">
        <v>124</v>
      </c>
      <c r="D457" t="s">
        <v>122</v>
      </c>
      <c r="E457">
        <v>153023094</v>
      </c>
      <c r="F457" t="s">
        <v>411</v>
      </c>
      <c r="G457" t="s">
        <v>412</v>
      </c>
      <c r="H457" t="s">
        <v>171</v>
      </c>
      <c r="I457" t="s">
        <v>337</v>
      </c>
      <c r="J457">
        <v>2</v>
      </c>
      <c r="K457" s="5">
        <v>924.46</v>
      </c>
      <c r="L457" s="5">
        <v>310</v>
      </c>
      <c r="M457">
        <v>0.66466910400000001</v>
      </c>
      <c r="N457" s="5">
        <v>614.46</v>
      </c>
      <c r="O457" s="5">
        <v>307.23</v>
      </c>
      <c r="P457">
        <v>2</v>
      </c>
      <c r="Q457" s="5">
        <v>310</v>
      </c>
      <c r="R457" s="5">
        <v>977.96</v>
      </c>
      <c r="S457" s="5">
        <v>155</v>
      </c>
    </row>
    <row r="458" spans="1:19">
      <c r="A458">
        <v>42</v>
      </c>
      <c r="B458" t="s">
        <v>120</v>
      </c>
      <c r="C458" t="s">
        <v>124</v>
      </c>
      <c r="D458" t="s">
        <v>122</v>
      </c>
      <c r="E458">
        <v>153023094</v>
      </c>
      <c r="F458" t="s">
        <v>411</v>
      </c>
      <c r="G458" t="s">
        <v>412</v>
      </c>
      <c r="H458" t="s">
        <v>171</v>
      </c>
      <c r="I458" t="s">
        <v>334</v>
      </c>
      <c r="J458">
        <v>0</v>
      </c>
      <c r="L458" s="5">
        <v>0</v>
      </c>
      <c r="M458">
        <v>0</v>
      </c>
      <c r="N458" s="5">
        <v>0</v>
      </c>
      <c r="O458" s="5">
        <v>0</v>
      </c>
      <c r="P458">
        <v>4</v>
      </c>
      <c r="Q458" s="5">
        <v>2400</v>
      </c>
      <c r="R458" s="5">
        <v>710.67</v>
      </c>
      <c r="S458" s="5">
        <v>600</v>
      </c>
    </row>
    <row r="459" spans="1:19">
      <c r="A459">
        <v>42</v>
      </c>
      <c r="B459" t="s">
        <v>120</v>
      </c>
      <c r="C459" t="s">
        <v>124</v>
      </c>
      <c r="D459" t="s">
        <v>122</v>
      </c>
      <c r="E459">
        <v>153023094</v>
      </c>
      <c r="F459" t="s">
        <v>411</v>
      </c>
      <c r="G459" t="s">
        <v>412</v>
      </c>
      <c r="H459" t="s">
        <v>171</v>
      </c>
      <c r="I459" t="s">
        <v>333</v>
      </c>
      <c r="J459">
        <v>0</v>
      </c>
      <c r="L459" s="5">
        <v>0</v>
      </c>
      <c r="M459">
        <v>0</v>
      </c>
      <c r="N459" s="5">
        <v>0</v>
      </c>
      <c r="O459" s="5">
        <v>0</v>
      </c>
      <c r="P459">
        <v>4</v>
      </c>
      <c r="Q459" s="5">
        <v>1340</v>
      </c>
      <c r="R459" s="5">
        <v>677.84</v>
      </c>
      <c r="S459" s="5">
        <v>335</v>
      </c>
    </row>
    <row r="460" spans="1:19">
      <c r="A460">
        <v>42</v>
      </c>
      <c r="B460" t="s">
        <v>120</v>
      </c>
      <c r="C460" t="s">
        <v>124</v>
      </c>
      <c r="D460" t="s">
        <v>122</v>
      </c>
      <c r="E460">
        <v>153023094</v>
      </c>
      <c r="F460" t="s">
        <v>411</v>
      </c>
      <c r="G460" t="s">
        <v>412</v>
      </c>
      <c r="H460" t="s">
        <v>171</v>
      </c>
      <c r="I460" t="s">
        <v>334</v>
      </c>
      <c r="J460">
        <v>4</v>
      </c>
      <c r="K460" s="5">
        <v>3231.2</v>
      </c>
      <c r="L460" s="5">
        <v>1780</v>
      </c>
      <c r="M460">
        <v>0.44912106899999998</v>
      </c>
      <c r="N460" s="5">
        <v>1451.2</v>
      </c>
      <c r="O460" s="5">
        <v>362.8</v>
      </c>
      <c r="P460">
        <v>0</v>
      </c>
      <c r="Q460" s="5">
        <v>0</v>
      </c>
      <c r="R460" s="5">
        <v>0</v>
      </c>
      <c r="S460" s="5">
        <v>445</v>
      </c>
    </row>
    <row r="461" spans="1:19">
      <c r="A461">
        <v>42</v>
      </c>
      <c r="B461" t="s">
        <v>120</v>
      </c>
      <c r="C461" t="s">
        <v>124</v>
      </c>
      <c r="D461" t="s">
        <v>122</v>
      </c>
      <c r="E461">
        <v>153023094</v>
      </c>
      <c r="F461" t="s">
        <v>411</v>
      </c>
      <c r="G461" t="s">
        <v>412</v>
      </c>
      <c r="H461" t="s">
        <v>171</v>
      </c>
      <c r="I461" t="s">
        <v>334</v>
      </c>
      <c r="J461">
        <v>0</v>
      </c>
      <c r="L461" s="5">
        <v>0</v>
      </c>
      <c r="M461">
        <v>0</v>
      </c>
      <c r="N461" s="5">
        <v>0</v>
      </c>
      <c r="O461" s="5">
        <v>0</v>
      </c>
      <c r="P461">
        <v>4</v>
      </c>
      <c r="Q461" s="5">
        <v>1780</v>
      </c>
      <c r="R461" s="5">
        <v>1081.46</v>
      </c>
      <c r="S461" s="5">
        <v>445</v>
      </c>
    </row>
    <row r="462" spans="1:19">
      <c r="A462">
        <v>42</v>
      </c>
      <c r="B462" t="s">
        <v>120</v>
      </c>
      <c r="C462" t="s">
        <v>124</v>
      </c>
      <c r="D462" t="s">
        <v>122</v>
      </c>
      <c r="E462">
        <v>153023094</v>
      </c>
      <c r="F462" t="s">
        <v>411</v>
      </c>
      <c r="G462" t="s">
        <v>412</v>
      </c>
      <c r="H462" t="s">
        <v>171</v>
      </c>
      <c r="I462" t="s">
        <v>334</v>
      </c>
      <c r="J462">
        <v>4</v>
      </c>
      <c r="K462" s="5">
        <v>2340.16</v>
      </c>
      <c r="L462" s="5">
        <v>2400</v>
      </c>
      <c r="M462">
        <v>-2.5570901E-2</v>
      </c>
      <c r="N462" s="5">
        <v>-59.84</v>
      </c>
      <c r="O462" s="5">
        <v>-14.96</v>
      </c>
      <c r="P462">
        <v>0</v>
      </c>
      <c r="Q462" s="5">
        <v>0</v>
      </c>
      <c r="R462" s="5">
        <v>0</v>
      </c>
      <c r="S462" s="5">
        <v>600</v>
      </c>
    </row>
    <row r="463" spans="1:19">
      <c r="A463">
        <v>44</v>
      </c>
      <c r="B463" t="s">
        <v>138</v>
      </c>
      <c r="C463" t="s">
        <v>130</v>
      </c>
      <c r="D463" t="s">
        <v>131</v>
      </c>
      <c r="E463">
        <v>153023094</v>
      </c>
      <c r="F463" t="s">
        <v>413</v>
      </c>
      <c r="G463" t="s">
        <v>414</v>
      </c>
      <c r="H463" t="s">
        <v>140</v>
      </c>
      <c r="I463" t="s">
        <v>333</v>
      </c>
      <c r="J463">
        <v>0</v>
      </c>
      <c r="L463" s="5">
        <v>0</v>
      </c>
      <c r="M463">
        <v>0</v>
      </c>
      <c r="N463" s="5">
        <v>0</v>
      </c>
      <c r="O463" s="5">
        <v>0</v>
      </c>
      <c r="P463">
        <v>4</v>
      </c>
      <c r="Q463" s="5">
        <v>1860</v>
      </c>
      <c r="R463" s="5">
        <v>407.42</v>
      </c>
      <c r="S463" s="5">
        <v>465</v>
      </c>
    </row>
    <row r="464" spans="1:19">
      <c r="A464">
        <v>44</v>
      </c>
      <c r="B464" t="s">
        <v>138</v>
      </c>
      <c r="C464" t="s">
        <v>130</v>
      </c>
      <c r="D464" t="s">
        <v>131</v>
      </c>
      <c r="E464">
        <v>153020662</v>
      </c>
      <c r="F464" t="s">
        <v>413</v>
      </c>
      <c r="G464" t="s">
        <v>414</v>
      </c>
      <c r="H464" t="s">
        <v>140</v>
      </c>
      <c r="I464" t="s">
        <v>337</v>
      </c>
      <c r="J464">
        <v>4</v>
      </c>
      <c r="K464" s="5">
        <v>857.81</v>
      </c>
      <c r="L464" s="5">
        <v>560</v>
      </c>
      <c r="M464">
        <v>0.34717478200000002</v>
      </c>
      <c r="N464" s="5">
        <v>297.81</v>
      </c>
      <c r="O464" s="5">
        <v>74.45</v>
      </c>
      <c r="P464">
        <v>0</v>
      </c>
      <c r="Q464" s="5">
        <v>0</v>
      </c>
      <c r="R464" s="5">
        <v>0</v>
      </c>
      <c r="S464" s="5">
        <v>140</v>
      </c>
    </row>
    <row r="465" spans="1:19">
      <c r="A465">
        <v>44</v>
      </c>
      <c r="B465" t="s">
        <v>138</v>
      </c>
      <c r="C465" t="s">
        <v>130</v>
      </c>
      <c r="D465" t="s">
        <v>131</v>
      </c>
      <c r="E465">
        <v>153020662</v>
      </c>
      <c r="F465" t="s">
        <v>413</v>
      </c>
      <c r="G465" t="s">
        <v>414</v>
      </c>
      <c r="H465" t="s">
        <v>140</v>
      </c>
      <c r="I465" t="s">
        <v>337</v>
      </c>
      <c r="J465">
        <v>4</v>
      </c>
      <c r="K465" s="5">
        <v>726.27</v>
      </c>
      <c r="L465" s="5">
        <v>860</v>
      </c>
      <c r="M465">
        <v>-0.184132622</v>
      </c>
      <c r="N465" s="5">
        <v>-133.72999999999999</v>
      </c>
      <c r="O465" s="5">
        <v>-33.43</v>
      </c>
      <c r="P465">
        <v>0</v>
      </c>
      <c r="Q465" s="5">
        <v>0</v>
      </c>
      <c r="R465" s="5">
        <v>0</v>
      </c>
      <c r="S465" s="5">
        <v>215</v>
      </c>
    </row>
    <row r="466" spans="1:19">
      <c r="A466">
        <v>44</v>
      </c>
      <c r="B466" t="s">
        <v>138</v>
      </c>
      <c r="C466" t="s">
        <v>130</v>
      </c>
      <c r="D466" t="s">
        <v>131</v>
      </c>
      <c r="E466">
        <v>153020662</v>
      </c>
      <c r="F466" t="s">
        <v>413</v>
      </c>
      <c r="G466" t="s">
        <v>414</v>
      </c>
      <c r="H466" t="s">
        <v>140</v>
      </c>
      <c r="I466" t="s">
        <v>337</v>
      </c>
      <c r="J466">
        <v>4</v>
      </c>
      <c r="K466" s="5">
        <v>732</v>
      </c>
      <c r="L466" s="5">
        <v>860</v>
      </c>
      <c r="M466">
        <v>-0.17486338700000001</v>
      </c>
      <c r="N466" s="5">
        <v>-128</v>
      </c>
      <c r="O466" s="5">
        <v>-32</v>
      </c>
      <c r="P466">
        <v>0</v>
      </c>
      <c r="Q466" s="5">
        <v>0</v>
      </c>
      <c r="R466" s="5">
        <v>0</v>
      </c>
      <c r="S466" s="5">
        <v>215</v>
      </c>
    </row>
    <row r="467" spans="1:19">
      <c r="A467">
        <v>44</v>
      </c>
      <c r="B467" t="s">
        <v>138</v>
      </c>
      <c r="C467" t="s">
        <v>130</v>
      </c>
      <c r="D467" t="s">
        <v>131</v>
      </c>
      <c r="E467">
        <v>153020662</v>
      </c>
      <c r="F467" t="s">
        <v>413</v>
      </c>
      <c r="G467" t="s">
        <v>414</v>
      </c>
      <c r="H467" t="s">
        <v>140</v>
      </c>
      <c r="I467" t="s">
        <v>337</v>
      </c>
      <c r="J467">
        <v>4</v>
      </c>
      <c r="K467" s="5">
        <v>946.12</v>
      </c>
      <c r="L467" s="5">
        <v>860</v>
      </c>
      <c r="M467">
        <v>9.1024393999999995E-2</v>
      </c>
      <c r="N467" s="5">
        <v>86.12</v>
      </c>
      <c r="O467" s="5">
        <v>21.53</v>
      </c>
      <c r="P467">
        <v>0</v>
      </c>
      <c r="Q467" s="5">
        <v>0</v>
      </c>
      <c r="R467" s="5">
        <v>0</v>
      </c>
      <c r="S467" s="5">
        <v>215</v>
      </c>
    </row>
    <row r="468" spans="1:19">
      <c r="A468">
        <v>44</v>
      </c>
      <c r="B468" t="s">
        <v>138</v>
      </c>
      <c r="C468" t="s">
        <v>130</v>
      </c>
      <c r="D468" t="s">
        <v>131</v>
      </c>
      <c r="E468">
        <v>153020662</v>
      </c>
      <c r="F468" t="s">
        <v>413</v>
      </c>
      <c r="G468" t="s">
        <v>414</v>
      </c>
      <c r="H468" t="s">
        <v>140</v>
      </c>
      <c r="I468" t="s">
        <v>337</v>
      </c>
      <c r="J468">
        <v>4</v>
      </c>
      <c r="K468" s="5">
        <v>716.08</v>
      </c>
      <c r="L468" s="5">
        <v>860</v>
      </c>
      <c r="M468">
        <v>-0.20098313000000001</v>
      </c>
      <c r="N468" s="5">
        <v>-143.91999999999999</v>
      </c>
      <c r="O468" s="5">
        <v>-35.979999999999997</v>
      </c>
      <c r="P468">
        <v>0</v>
      </c>
      <c r="Q468" s="5">
        <v>0</v>
      </c>
      <c r="R468" s="5">
        <v>0</v>
      </c>
      <c r="S468" s="5">
        <v>215</v>
      </c>
    </row>
    <row r="469" spans="1:19">
      <c r="A469">
        <v>44</v>
      </c>
      <c r="B469" t="s">
        <v>138</v>
      </c>
      <c r="C469" t="s">
        <v>130</v>
      </c>
      <c r="D469" t="s">
        <v>131</v>
      </c>
      <c r="E469">
        <v>153020662</v>
      </c>
      <c r="F469" t="s">
        <v>413</v>
      </c>
      <c r="G469" t="s">
        <v>414</v>
      </c>
      <c r="H469" t="s">
        <v>140</v>
      </c>
      <c r="I469" t="s">
        <v>337</v>
      </c>
      <c r="J469">
        <v>4</v>
      </c>
      <c r="K469" s="5">
        <v>818.8</v>
      </c>
      <c r="L469" s="5">
        <v>860</v>
      </c>
      <c r="M469">
        <v>-5.0317537000000002E-2</v>
      </c>
      <c r="N469" s="5">
        <v>-41.2</v>
      </c>
      <c r="O469" s="5">
        <v>-10.3</v>
      </c>
      <c r="P469">
        <v>0</v>
      </c>
      <c r="Q469" s="5">
        <v>0</v>
      </c>
      <c r="R469" s="5">
        <v>0</v>
      </c>
      <c r="S469" s="5">
        <v>215</v>
      </c>
    </row>
    <row r="470" spans="1:19">
      <c r="A470">
        <v>44</v>
      </c>
      <c r="B470" t="s">
        <v>138</v>
      </c>
      <c r="C470" t="s">
        <v>130</v>
      </c>
      <c r="D470" t="s">
        <v>131</v>
      </c>
      <c r="E470">
        <v>153020662</v>
      </c>
      <c r="F470" t="s">
        <v>413</v>
      </c>
      <c r="G470" t="s">
        <v>414</v>
      </c>
      <c r="H470" t="s">
        <v>140</v>
      </c>
      <c r="I470" t="s">
        <v>337</v>
      </c>
      <c r="J470">
        <v>4</v>
      </c>
      <c r="K470" s="5">
        <v>967.42</v>
      </c>
      <c r="L470" s="5">
        <v>860</v>
      </c>
      <c r="M470">
        <v>0.111037605</v>
      </c>
      <c r="N470" s="5">
        <v>107.42</v>
      </c>
      <c r="O470" s="5">
        <v>26.86</v>
      </c>
      <c r="P470">
        <v>0</v>
      </c>
      <c r="Q470" s="5">
        <v>0</v>
      </c>
      <c r="R470" s="5">
        <v>0</v>
      </c>
      <c r="S470" s="5">
        <v>215</v>
      </c>
    </row>
    <row r="471" spans="1:19">
      <c r="A471">
        <v>44</v>
      </c>
      <c r="B471" t="s">
        <v>138</v>
      </c>
      <c r="C471" t="s">
        <v>130</v>
      </c>
      <c r="D471" t="s">
        <v>131</v>
      </c>
      <c r="E471">
        <v>153020662</v>
      </c>
      <c r="F471" t="s">
        <v>413</v>
      </c>
      <c r="G471" t="s">
        <v>414</v>
      </c>
      <c r="H471" t="s">
        <v>140</v>
      </c>
      <c r="I471" t="s">
        <v>337</v>
      </c>
      <c r="J471">
        <v>4</v>
      </c>
      <c r="K471" s="5">
        <v>680</v>
      </c>
      <c r="L471" s="5">
        <v>860</v>
      </c>
      <c r="M471">
        <v>-0.264705882</v>
      </c>
      <c r="N471" s="5">
        <v>-180</v>
      </c>
      <c r="O471" s="5">
        <v>-45</v>
      </c>
      <c r="P471">
        <v>0</v>
      </c>
      <c r="Q471" s="5">
        <v>0</v>
      </c>
      <c r="R471" s="5">
        <v>0</v>
      </c>
      <c r="S471" s="5">
        <v>215</v>
      </c>
    </row>
    <row r="472" spans="1:19">
      <c r="A472">
        <v>44</v>
      </c>
      <c r="B472" t="s">
        <v>138</v>
      </c>
      <c r="C472" t="s">
        <v>130</v>
      </c>
      <c r="D472" t="s">
        <v>131</v>
      </c>
      <c r="E472">
        <v>153020662</v>
      </c>
      <c r="F472" t="s">
        <v>413</v>
      </c>
      <c r="G472" t="s">
        <v>414</v>
      </c>
      <c r="H472" t="s">
        <v>140</v>
      </c>
      <c r="I472" t="s">
        <v>337</v>
      </c>
      <c r="J472">
        <v>4</v>
      </c>
      <c r="K472" s="5">
        <v>952.04</v>
      </c>
      <c r="L472" s="5">
        <v>860</v>
      </c>
      <c r="M472">
        <v>9.6676609999999996E-2</v>
      </c>
      <c r="N472" s="5">
        <v>92.04</v>
      </c>
      <c r="O472" s="5">
        <v>23.01</v>
      </c>
      <c r="P472">
        <v>0</v>
      </c>
      <c r="Q472" s="5">
        <v>0</v>
      </c>
      <c r="R472" s="5">
        <v>0</v>
      </c>
      <c r="S472" s="5">
        <v>215</v>
      </c>
    </row>
    <row r="473" spans="1:19">
      <c r="A473">
        <v>44</v>
      </c>
      <c r="B473" t="s">
        <v>138</v>
      </c>
      <c r="C473" t="s">
        <v>130</v>
      </c>
      <c r="D473" t="s">
        <v>131</v>
      </c>
      <c r="E473">
        <v>153020662</v>
      </c>
      <c r="F473" t="s">
        <v>413</v>
      </c>
      <c r="G473" t="s">
        <v>414</v>
      </c>
      <c r="H473" t="s">
        <v>140</v>
      </c>
      <c r="I473" t="s">
        <v>334</v>
      </c>
      <c r="J473">
        <v>4</v>
      </c>
      <c r="K473" s="5">
        <v>3517.82</v>
      </c>
      <c r="L473" s="5">
        <v>2480</v>
      </c>
      <c r="M473">
        <v>0.29501793700000001</v>
      </c>
      <c r="N473" s="5">
        <v>1037.82</v>
      </c>
      <c r="O473" s="5">
        <v>259.45999999999998</v>
      </c>
      <c r="P473">
        <v>0</v>
      </c>
      <c r="Q473" s="5">
        <v>0</v>
      </c>
      <c r="R473" s="5">
        <v>0</v>
      </c>
      <c r="S473" s="5">
        <v>620</v>
      </c>
    </row>
    <row r="474" spans="1:19">
      <c r="A474">
        <v>44</v>
      </c>
      <c r="B474" t="s">
        <v>138</v>
      </c>
      <c r="C474" t="s">
        <v>130</v>
      </c>
      <c r="D474" t="s">
        <v>131</v>
      </c>
      <c r="E474">
        <v>153020662</v>
      </c>
      <c r="F474" t="s">
        <v>413</v>
      </c>
      <c r="G474" t="s">
        <v>414</v>
      </c>
      <c r="H474" t="s">
        <v>140</v>
      </c>
      <c r="I474" t="s">
        <v>333</v>
      </c>
      <c r="J474">
        <v>4</v>
      </c>
      <c r="K474" s="5">
        <v>1635.82</v>
      </c>
      <c r="L474" s="5">
        <v>1860</v>
      </c>
      <c r="M474">
        <v>-0.137044418</v>
      </c>
      <c r="N474" s="5">
        <v>-224.18</v>
      </c>
      <c r="O474" s="5">
        <v>-56.04</v>
      </c>
      <c r="P474">
        <v>0</v>
      </c>
      <c r="Q474" s="5">
        <v>0</v>
      </c>
      <c r="R474" s="5">
        <v>0</v>
      </c>
      <c r="S474" s="5">
        <v>465</v>
      </c>
    </row>
    <row r="475" spans="1:19">
      <c r="A475">
        <v>44</v>
      </c>
      <c r="B475" t="s">
        <v>138</v>
      </c>
      <c r="C475" t="s">
        <v>130</v>
      </c>
      <c r="D475" t="s">
        <v>131</v>
      </c>
      <c r="E475">
        <v>153020662</v>
      </c>
      <c r="F475" t="s">
        <v>413</v>
      </c>
      <c r="G475" t="s">
        <v>414</v>
      </c>
      <c r="H475" t="s">
        <v>140</v>
      </c>
      <c r="I475" t="s">
        <v>333</v>
      </c>
      <c r="J475">
        <v>0</v>
      </c>
      <c r="L475" s="5">
        <v>0</v>
      </c>
      <c r="M475">
        <v>0</v>
      </c>
      <c r="N475" s="5">
        <v>0</v>
      </c>
      <c r="O475" s="5">
        <v>0</v>
      </c>
      <c r="P475">
        <v>4</v>
      </c>
      <c r="Q475" s="5">
        <v>1520</v>
      </c>
      <c r="R475" s="5">
        <v>407.42</v>
      </c>
      <c r="S475" s="5">
        <v>380</v>
      </c>
    </row>
    <row r="476" spans="1:19">
      <c r="A476">
        <v>44</v>
      </c>
      <c r="B476" t="s">
        <v>138</v>
      </c>
      <c r="C476" t="s">
        <v>130</v>
      </c>
      <c r="D476" t="s">
        <v>131</v>
      </c>
      <c r="E476">
        <v>153020662</v>
      </c>
      <c r="F476" t="s">
        <v>413</v>
      </c>
      <c r="G476" t="s">
        <v>414</v>
      </c>
      <c r="H476" t="s">
        <v>140</v>
      </c>
      <c r="I476" t="s">
        <v>334</v>
      </c>
      <c r="J476">
        <v>4</v>
      </c>
      <c r="K476" s="5">
        <v>2090.3200000000002</v>
      </c>
      <c r="L476" s="5">
        <v>2480</v>
      </c>
      <c r="M476">
        <v>-0.186421217</v>
      </c>
      <c r="N476" s="5">
        <v>-389.68</v>
      </c>
      <c r="O476" s="5">
        <v>-97.42</v>
      </c>
      <c r="P476">
        <v>0</v>
      </c>
      <c r="Q476" s="5">
        <v>0</v>
      </c>
      <c r="R476" s="5">
        <v>0</v>
      </c>
      <c r="S476" s="5">
        <v>620</v>
      </c>
    </row>
    <row r="477" spans="1:19">
      <c r="A477">
        <v>41</v>
      </c>
      <c r="B477" t="s">
        <v>125</v>
      </c>
      <c r="C477" t="s">
        <v>121</v>
      </c>
      <c r="D477" t="s">
        <v>122</v>
      </c>
      <c r="E477">
        <v>153020662</v>
      </c>
      <c r="F477" t="s">
        <v>415</v>
      </c>
      <c r="G477" t="s">
        <v>414</v>
      </c>
      <c r="H477" t="s">
        <v>91</v>
      </c>
      <c r="I477" t="s">
        <v>343</v>
      </c>
      <c r="J477">
        <v>0</v>
      </c>
      <c r="L477" s="5">
        <v>0</v>
      </c>
      <c r="M477">
        <v>0</v>
      </c>
      <c r="N477" s="5">
        <v>0</v>
      </c>
      <c r="O477" s="5">
        <v>0</v>
      </c>
      <c r="P477">
        <v>2</v>
      </c>
      <c r="Q477" s="5">
        <v>930</v>
      </c>
      <c r="R477" s="5">
        <v>924.21</v>
      </c>
      <c r="S477" s="5">
        <v>465</v>
      </c>
    </row>
    <row r="478" spans="1:19">
      <c r="A478">
        <v>41</v>
      </c>
      <c r="B478" t="s">
        <v>125</v>
      </c>
      <c r="C478" t="s">
        <v>121</v>
      </c>
      <c r="D478" t="s">
        <v>122</v>
      </c>
      <c r="E478">
        <v>153023354</v>
      </c>
      <c r="F478" t="s">
        <v>415</v>
      </c>
      <c r="G478" t="s">
        <v>414</v>
      </c>
      <c r="H478" t="s">
        <v>91</v>
      </c>
      <c r="I478" t="s">
        <v>333</v>
      </c>
      <c r="J478">
        <v>4</v>
      </c>
      <c r="K478" s="5">
        <v>1834.56</v>
      </c>
      <c r="L478" s="5">
        <v>1860</v>
      </c>
      <c r="M478">
        <v>-1.3867084999999999E-2</v>
      </c>
      <c r="N478" s="5">
        <v>-25.44</v>
      </c>
      <c r="O478" s="5">
        <v>-6.36</v>
      </c>
      <c r="P478">
        <v>0</v>
      </c>
      <c r="Q478" s="5">
        <v>0</v>
      </c>
      <c r="R478" s="5">
        <v>0</v>
      </c>
      <c r="S478" s="5">
        <v>465</v>
      </c>
    </row>
    <row r="479" spans="1:19">
      <c r="A479">
        <v>41</v>
      </c>
      <c r="B479" t="s">
        <v>125</v>
      </c>
      <c r="C479" t="s">
        <v>121</v>
      </c>
      <c r="D479" t="s">
        <v>122</v>
      </c>
      <c r="E479">
        <v>153023354</v>
      </c>
      <c r="F479" t="s">
        <v>415</v>
      </c>
      <c r="G479" t="s">
        <v>414</v>
      </c>
      <c r="H479" t="s">
        <v>91</v>
      </c>
      <c r="I479" t="s">
        <v>333</v>
      </c>
      <c r="J479">
        <v>4</v>
      </c>
      <c r="K479" s="5">
        <v>2308.0300000000002</v>
      </c>
      <c r="L479" s="5">
        <v>1860</v>
      </c>
      <c r="M479">
        <v>0.194117927</v>
      </c>
      <c r="N479" s="5">
        <v>448.03</v>
      </c>
      <c r="O479" s="5">
        <v>112.01</v>
      </c>
      <c r="P479">
        <v>0</v>
      </c>
      <c r="Q479" s="5">
        <v>0</v>
      </c>
      <c r="R479" s="5">
        <v>0</v>
      </c>
      <c r="S479" s="5">
        <v>465</v>
      </c>
    </row>
    <row r="480" spans="1:19">
      <c r="A480">
        <v>41</v>
      </c>
      <c r="B480" t="s">
        <v>125</v>
      </c>
      <c r="C480" t="s">
        <v>121</v>
      </c>
      <c r="D480" t="s">
        <v>122</v>
      </c>
      <c r="E480">
        <v>153023354</v>
      </c>
      <c r="F480" t="s">
        <v>415</v>
      </c>
      <c r="G480" t="s">
        <v>414</v>
      </c>
      <c r="H480" t="s">
        <v>91</v>
      </c>
      <c r="I480" t="s">
        <v>333</v>
      </c>
      <c r="J480">
        <v>4</v>
      </c>
      <c r="K480" s="5">
        <v>2662.05</v>
      </c>
      <c r="L480" s="5">
        <v>1860</v>
      </c>
      <c r="M480">
        <v>0.30129035799999998</v>
      </c>
      <c r="N480" s="5">
        <v>802.05</v>
      </c>
      <c r="O480" s="5">
        <v>200.51</v>
      </c>
      <c r="P480">
        <v>0</v>
      </c>
      <c r="Q480" s="5">
        <v>0</v>
      </c>
      <c r="R480" s="5">
        <v>0</v>
      </c>
      <c r="S480" s="5">
        <v>465</v>
      </c>
    </row>
    <row r="481" spans="1:19">
      <c r="A481">
        <v>41</v>
      </c>
      <c r="B481" t="s">
        <v>125</v>
      </c>
      <c r="C481" t="s">
        <v>121</v>
      </c>
      <c r="D481" t="s">
        <v>122</v>
      </c>
      <c r="E481">
        <v>153023354</v>
      </c>
      <c r="F481" t="s">
        <v>415</v>
      </c>
      <c r="G481" t="s">
        <v>414</v>
      </c>
      <c r="H481" t="s">
        <v>91</v>
      </c>
      <c r="I481" t="s">
        <v>333</v>
      </c>
      <c r="J481">
        <v>0</v>
      </c>
      <c r="L481" s="5">
        <v>0</v>
      </c>
      <c r="M481">
        <v>0</v>
      </c>
      <c r="N481" s="5">
        <v>0</v>
      </c>
      <c r="O481" s="5">
        <v>0</v>
      </c>
      <c r="P481">
        <v>4</v>
      </c>
      <c r="Q481" s="5">
        <v>1860</v>
      </c>
      <c r="R481" s="5">
        <v>924.21</v>
      </c>
      <c r="S481" s="5">
        <v>465</v>
      </c>
    </row>
    <row r="482" spans="1:19">
      <c r="A482">
        <v>41</v>
      </c>
      <c r="B482" t="s">
        <v>125</v>
      </c>
      <c r="C482" t="s">
        <v>121</v>
      </c>
      <c r="D482" t="s">
        <v>122</v>
      </c>
      <c r="E482">
        <v>153023354</v>
      </c>
      <c r="F482" t="s">
        <v>415</v>
      </c>
      <c r="G482" t="s">
        <v>414</v>
      </c>
      <c r="H482" t="s">
        <v>91</v>
      </c>
      <c r="I482" t="s">
        <v>333</v>
      </c>
      <c r="J482">
        <v>4</v>
      </c>
      <c r="K482" s="5">
        <v>2026.99</v>
      </c>
      <c r="L482" s="5">
        <v>1860</v>
      </c>
      <c r="M482">
        <v>8.2383237999999998E-2</v>
      </c>
      <c r="N482" s="5">
        <v>166.99</v>
      </c>
      <c r="O482" s="5">
        <v>41.75</v>
      </c>
      <c r="P482">
        <v>0</v>
      </c>
      <c r="Q482" s="5">
        <v>0</v>
      </c>
      <c r="R482" s="5">
        <v>0</v>
      </c>
      <c r="S482" s="5">
        <v>465</v>
      </c>
    </row>
    <row r="483" spans="1:19">
      <c r="A483">
        <v>47</v>
      </c>
      <c r="B483" t="s">
        <v>151</v>
      </c>
      <c r="C483" t="s">
        <v>154</v>
      </c>
      <c r="D483" t="s">
        <v>152</v>
      </c>
      <c r="E483">
        <v>153023354</v>
      </c>
      <c r="F483" t="s">
        <v>416</v>
      </c>
      <c r="G483" t="s">
        <v>417</v>
      </c>
      <c r="H483" t="s">
        <v>355</v>
      </c>
      <c r="I483" t="s">
        <v>334</v>
      </c>
      <c r="J483">
        <v>0</v>
      </c>
      <c r="L483" s="5">
        <v>0</v>
      </c>
      <c r="M483">
        <v>0</v>
      </c>
      <c r="N483" s="5">
        <v>0</v>
      </c>
      <c r="O483" s="5">
        <v>0</v>
      </c>
      <c r="P483">
        <v>4</v>
      </c>
      <c r="Q483" s="5">
        <v>1640</v>
      </c>
      <c r="R483" s="5">
        <v>1574.41</v>
      </c>
      <c r="S483" s="5">
        <v>410</v>
      </c>
    </row>
    <row r="484" spans="1:19">
      <c r="A484">
        <v>47</v>
      </c>
      <c r="B484" t="s">
        <v>151</v>
      </c>
      <c r="C484" t="s">
        <v>154</v>
      </c>
      <c r="D484" t="s">
        <v>152</v>
      </c>
      <c r="E484">
        <v>153020851</v>
      </c>
      <c r="F484" t="s">
        <v>416</v>
      </c>
      <c r="G484" t="s">
        <v>417</v>
      </c>
      <c r="H484" t="s">
        <v>355</v>
      </c>
      <c r="I484" t="s">
        <v>333</v>
      </c>
      <c r="J484">
        <v>0</v>
      </c>
      <c r="L484" s="5">
        <v>0</v>
      </c>
      <c r="M484">
        <v>0</v>
      </c>
      <c r="N484" s="5">
        <v>0</v>
      </c>
      <c r="O484" s="5">
        <v>0</v>
      </c>
      <c r="P484">
        <v>4</v>
      </c>
      <c r="Q484" s="5">
        <v>1240</v>
      </c>
      <c r="R484" s="5">
        <v>635.07000000000005</v>
      </c>
      <c r="S484" s="5">
        <v>310</v>
      </c>
    </row>
    <row r="485" spans="1:19">
      <c r="A485">
        <v>47</v>
      </c>
      <c r="B485" t="s">
        <v>151</v>
      </c>
      <c r="C485" t="s">
        <v>154</v>
      </c>
      <c r="D485" t="s">
        <v>152</v>
      </c>
      <c r="E485">
        <v>153020851</v>
      </c>
      <c r="F485" t="s">
        <v>416</v>
      </c>
      <c r="G485" t="s">
        <v>417</v>
      </c>
      <c r="H485" t="s">
        <v>355</v>
      </c>
      <c r="I485" t="s">
        <v>334</v>
      </c>
      <c r="J485">
        <v>0</v>
      </c>
      <c r="L485" s="5">
        <v>0</v>
      </c>
      <c r="M485">
        <v>0</v>
      </c>
      <c r="N485" s="5">
        <v>0</v>
      </c>
      <c r="O485" s="5">
        <v>0</v>
      </c>
      <c r="P485">
        <v>4</v>
      </c>
      <c r="Q485" s="5">
        <v>1640</v>
      </c>
      <c r="R485" s="5">
        <v>752.98</v>
      </c>
      <c r="S485" s="5">
        <v>410</v>
      </c>
    </row>
    <row r="486" spans="1:19">
      <c r="A486">
        <v>47</v>
      </c>
      <c r="B486" t="s">
        <v>151</v>
      </c>
      <c r="C486" t="s">
        <v>154</v>
      </c>
      <c r="D486" t="s">
        <v>152</v>
      </c>
      <c r="E486">
        <v>153020851</v>
      </c>
      <c r="F486" t="s">
        <v>416</v>
      </c>
      <c r="G486" t="s">
        <v>417</v>
      </c>
      <c r="H486" t="s">
        <v>355</v>
      </c>
      <c r="I486" t="s">
        <v>334</v>
      </c>
      <c r="J486">
        <v>0</v>
      </c>
      <c r="L486" s="5">
        <v>0</v>
      </c>
      <c r="M486">
        <v>0</v>
      </c>
      <c r="N486" s="5">
        <v>0</v>
      </c>
      <c r="O486" s="5">
        <v>0</v>
      </c>
      <c r="P486">
        <v>4</v>
      </c>
      <c r="Q486" s="5">
        <v>1640</v>
      </c>
      <c r="R486" s="5">
        <v>1403.28</v>
      </c>
      <c r="S486" s="5">
        <v>410</v>
      </c>
    </row>
    <row r="487" spans="1:19">
      <c r="A487">
        <v>47</v>
      </c>
      <c r="B487" t="s">
        <v>151</v>
      </c>
      <c r="C487" t="s">
        <v>154</v>
      </c>
      <c r="D487" t="s">
        <v>152</v>
      </c>
      <c r="E487">
        <v>153020851</v>
      </c>
      <c r="F487" t="s">
        <v>416</v>
      </c>
      <c r="G487" t="s">
        <v>417</v>
      </c>
      <c r="H487" t="s">
        <v>355</v>
      </c>
      <c r="I487" t="s">
        <v>334</v>
      </c>
      <c r="J487">
        <v>4</v>
      </c>
      <c r="K487" s="5">
        <v>5843.16</v>
      </c>
      <c r="L487" s="5">
        <v>1640</v>
      </c>
      <c r="M487">
        <v>0.71932995099999997</v>
      </c>
      <c r="N487" s="5">
        <v>4203.16</v>
      </c>
      <c r="O487" s="5">
        <v>1050.79</v>
      </c>
      <c r="P487">
        <v>0</v>
      </c>
      <c r="Q487" s="5">
        <v>0</v>
      </c>
      <c r="R487" s="5">
        <v>0</v>
      </c>
      <c r="S487" s="5">
        <v>410</v>
      </c>
    </row>
    <row r="488" spans="1:19">
      <c r="A488">
        <v>47</v>
      </c>
      <c r="B488" t="s">
        <v>151</v>
      </c>
      <c r="C488" t="s">
        <v>154</v>
      </c>
      <c r="D488" t="s">
        <v>152</v>
      </c>
      <c r="E488">
        <v>153020851</v>
      </c>
      <c r="F488" t="s">
        <v>416</v>
      </c>
      <c r="G488" t="s">
        <v>417</v>
      </c>
      <c r="H488" t="s">
        <v>355</v>
      </c>
      <c r="I488" t="s">
        <v>333</v>
      </c>
      <c r="J488">
        <v>4</v>
      </c>
      <c r="K488" s="5">
        <v>4728.6099999999997</v>
      </c>
      <c r="L488" s="5">
        <v>1240</v>
      </c>
      <c r="M488">
        <v>0.73776648899999997</v>
      </c>
      <c r="N488" s="5">
        <v>3488.61</v>
      </c>
      <c r="O488" s="5">
        <v>872.15</v>
      </c>
      <c r="P488">
        <v>0</v>
      </c>
      <c r="Q488" s="5">
        <v>0</v>
      </c>
      <c r="R488" s="5">
        <v>0</v>
      </c>
      <c r="S488" s="5">
        <v>310</v>
      </c>
    </row>
    <row r="489" spans="1:19">
      <c r="A489">
        <v>47</v>
      </c>
      <c r="B489" t="s">
        <v>151</v>
      </c>
      <c r="C489" t="s">
        <v>154</v>
      </c>
      <c r="D489" t="s">
        <v>152</v>
      </c>
      <c r="E489">
        <v>153020851</v>
      </c>
      <c r="F489" t="s">
        <v>416</v>
      </c>
      <c r="G489" t="s">
        <v>417</v>
      </c>
      <c r="H489" t="s">
        <v>355</v>
      </c>
      <c r="I489" t="s">
        <v>334</v>
      </c>
      <c r="J489">
        <v>0</v>
      </c>
      <c r="L489" s="5">
        <v>0</v>
      </c>
      <c r="M489">
        <v>0</v>
      </c>
      <c r="N489" s="5">
        <v>0</v>
      </c>
      <c r="O489" s="5">
        <v>0</v>
      </c>
      <c r="P489">
        <v>4</v>
      </c>
      <c r="Q489" s="5">
        <v>1640</v>
      </c>
      <c r="R489" s="5">
        <v>1762.04</v>
      </c>
      <c r="S489" s="5">
        <v>410</v>
      </c>
    </row>
    <row r="490" spans="1:19">
      <c r="A490">
        <v>47</v>
      </c>
      <c r="B490" t="s">
        <v>151</v>
      </c>
      <c r="C490" t="s">
        <v>154</v>
      </c>
      <c r="D490" t="s">
        <v>152</v>
      </c>
      <c r="E490">
        <v>153020851</v>
      </c>
      <c r="F490" t="s">
        <v>416</v>
      </c>
      <c r="G490" t="s">
        <v>417</v>
      </c>
      <c r="H490" t="s">
        <v>355</v>
      </c>
      <c r="I490" t="s">
        <v>334</v>
      </c>
      <c r="J490">
        <v>4</v>
      </c>
      <c r="K490" s="5">
        <v>6569.28</v>
      </c>
      <c r="L490" s="5">
        <v>1640</v>
      </c>
      <c r="M490">
        <v>0.75035315800000002</v>
      </c>
      <c r="N490" s="5">
        <v>4929.28</v>
      </c>
      <c r="O490" s="5">
        <v>1232.32</v>
      </c>
      <c r="P490">
        <v>0</v>
      </c>
      <c r="Q490" s="5">
        <v>0</v>
      </c>
      <c r="R490" s="5">
        <v>0</v>
      </c>
      <c r="S490" s="5">
        <v>410</v>
      </c>
    </row>
    <row r="491" spans="1:19">
      <c r="A491">
        <v>47</v>
      </c>
      <c r="B491" t="s">
        <v>151</v>
      </c>
      <c r="C491" t="s">
        <v>154</v>
      </c>
      <c r="D491" t="s">
        <v>152</v>
      </c>
      <c r="E491">
        <v>153020851</v>
      </c>
      <c r="F491" t="s">
        <v>416</v>
      </c>
      <c r="G491" t="s">
        <v>417</v>
      </c>
      <c r="H491" t="s">
        <v>355</v>
      </c>
      <c r="I491" t="s">
        <v>334</v>
      </c>
      <c r="J491">
        <v>0</v>
      </c>
      <c r="L491" s="5">
        <v>0</v>
      </c>
      <c r="M491">
        <v>0</v>
      </c>
      <c r="N491" s="5">
        <v>0</v>
      </c>
      <c r="O491" s="5">
        <v>0</v>
      </c>
      <c r="P491">
        <v>4</v>
      </c>
      <c r="Q491" s="5">
        <v>1640</v>
      </c>
      <c r="R491" s="5">
        <v>1232.1400000000001</v>
      </c>
      <c r="S491" s="5">
        <v>410</v>
      </c>
    </row>
    <row r="492" spans="1:19">
      <c r="A492">
        <v>47</v>
      </c>
      <c r="B492" t="s">
        <v>151</v>
      </c>
      <c r="C492" t="s">
        <v>154</v>
      </c>
      <c r="D492" t="s">
        <v>152</v>
      </c>
      <c r="E492">
        <v>153020851</v>
      </c>
      <c r="F492" t="s">
        <v>416</v>
      </c>
      <c r="G492" t="s">
        <v>417</v>
      </c>
      <c r="H492" t="s">
        <v>355</v>
      </c>
      <c r="I492" t="s">
        <v>334</v>
      </c>
      <c r="J492">
        <v>4</v>
      </c>
      <c r="K492" s="5">
        <v>6637.76</v>
      </c>
      <c r="L492" s="5">
        <v>1640</v>
      </c>
      <c r="M492">
        <v>0.75292869799999995</v>
      </c>
      <c r="N492" s="5">
        <v>4997.76</v>
      </c>
      <c r="O492" s="5">
        <v>1249.44</v>
      </c>
      <c r="P492">
        <v>0</v>
      </c>
      <c r="Q492" s="5">
        <v>0</v>
      </c>
      <c r="R492" s="5">
        <v>0</v>
      </c>
      <c r="S492" s="5">
        <v>410</v>
      </c>
    </row>
    <row r="493" spans="1:19">
      <c r="A493">
        <v>47</v>
      </c>
      <c r="B493" t="s">
        <v>151</v>
      </c>
      <c r="C493" t="s">
        <v>154</v>
      </c>
      <c r="D493" t="s">
        <v>152</v>
      </c>
      <c r="E493">
        <v>153020851</v>
      </c>
      <c r="F493" t="s">
        <v>416</v>
      </c>
      <c r="G493" t="s">
        <v>417</v>
      </c>
      <c r="H493" t="s">
        <v>355</v>
      </c>
      <c r="I493" t="s">
        <v>334</v>
      </c>
      <c r="J493">
        <v>4</v>
      </c>
      <c r="K493" s="5">
        <v>4835.47</v>
      </c>
      <c r="L493" s="5">
        <v>1640</v>
      </c>
      <c r="M493">
        <v>0.66083958700000001</v>
      </c>
      <c r="N493" s="5">
        <v>3195.47</v>
      </c>
      <c r="O493" s="5">
        <v>798.87</v>
      </c>
      <c r="P493">
        <v>0</v>
      </c>
      <c r="Q493" s="5">
        <v>0</v>
      </c>
      <c r="R493" s="5">
        <v>0</v>
      </c>
      <c r="S493" s="5">
        <v>410</v>
      </c>
    </row>
    <row r="494" spans="1:19">
      <c r="A494">
        <v>45</v>
      </c>
      <c r="B494" t="s">
        <v>148</v>
      </c>
      <c r="C494" t="s">
        <v>142</v>
      </c>
      <c r="D494" t="s">
        <v>144</v>
      </c>
      <c r="E494">
        <v>153020851</v>
      </c>
      <c r="F494" t="s">
        <v>418</v>
      </c>
      <c r="G494" t="s">
        <v>419</v>
      </c>
      <c r="H494" t="s">
        <v>127</v>
      </c>
      <c r="I494" t="s">
        <v>334</v>
      </c>
      <c r="J494">
        <v>4</v>
      </c>
      <c r="K494" s="5">
        <v>4876.26</v>
      </c>
      <c r="L494" s="5">
        <v>1640</v>
      </c>
      <c r="M494">
        <v>0.66367666999999997</v>
      </c>
      <c r="N494" s="5">
        <v>3236.26</v>
      </c>
      <c r="O494" s="5">
        <v>809.06</v>
      </c>
      <c r="P494">
        <v>0</v>
      </c>
      <c r="Q494" s="5">
        <v>0</v>
      </c>
      <c r="R494" s="5">
        <v>0</v>
      </c>
      <c r="S494" s="5">
        <v>410</v>
      </c>
    </row>
    <row r="495" spans="1:19">
      <c r="A495">
        <v>45</v>
      </c>
      <c r="B495" t="s">
        <v>148</v>
      </c>
      <c r="C495" t="s">
        <v>142</v>
      </c>
      <c r="D495" t="s">
        <v>144</v>
      </c>
      <c r="E495">
        <v>153023421</v>
      </c>
      <c r="F495" t="s">
        <v>418</v>
      </c>
      <c r="G495" t="s">
        <v>419</v>
      </c>
      <c r="H495" t="s">
        <v>127</v>
      </c>
      <c r="I495" t="s">
        <v>334</v>
      </c>
      <c r="J495">
        <v>0</v>
      </c>
      <c r="L495" s="5">
        <v>0</v>
      </c>
      <c r="M495">
        <v>0</v>
      </c>
      <c r="N495" s="5">
        <v>0</v>
      </c>
      <c r="O495" s="5">
        <v>0</v>
      </c>
      <c r="P495">
        <v>4</v>
      </c>
      <c r="Q495" s="5">
        <v>1640</v>
      </c>
      <c r="R495" s="5">
        <v>1979.3</v>
      </c>
      <c r="S495" s="5">
        <v>410</v>
      </c>
    </row>
    <row r="496" spans="1:19">
      <c r="A496">
        <v>45</v>
      </c>
      <c r="B496" t="s">
        <v>148</v>
      </c>
      <c r="C496" t="s">
        <v>142</v>
      </c>
      <c r="D496" t="s">
        <v>144</v>
      </c>
      <c r="E496">
        <v>153023421</v>
      </c>
      <c r="F496" t="s">
        <v>418</v>
      </c>
      <c r="G496" t="s">
        <v>419</v>
      </c>
      <c r="H496" t="s">
        <v>127</v>
      </c>
      <c r="I496" t="s">
        <v>333</v>
      </c>
      <c r="J496">
        <v>0</v>
      </c>
      <c r="L496" s="5">
        <v>0</v>
      </c>
      <c r="M496">
        <v>0</v>
      </c>
      <c r="N496" s="5">
        <v>0</v>
      </c>
      <c r="O496" s="5">
        <v>0</v>
      </c>
      <c r="P496">
        <v>4</v>
      </c>
      <c r="Q496" s="5">
        <v>1240</v>
      </c>
      <c r="R496" s="5">
        <v>1170.92</v>
      </c>
      <c r="S496" s="5">
        <v>310</v>
      </c>
    </row>
    <row r="497" spans="1:19">
      <c r="A497">
        <v>45</v>
      </c>
      <c r="B497" t="s">
        <v>148</v>
      </c>
      <c r="C497" t="s">
        <v>142</v>
      </c>
      <c r="D497" t="s">
        <v>144</v>
      </c>
      <c r="E497">
        <v>153023421</v>
      </c>
      <c r="F497" t="s">
        <v>418</v>
      </c>
      <c r="G497" t="s">
        <v>419</v>
      </c>
      <c r="H497" t="s">
        <v>127</v>
      </c>
      <c r="I497" t="s">
        <v>333</v>
      </c>
      <c r="J497">
        <v>4</v>
      </c>
      <c r="K497" s="5">
        <v>3868.97</v>
      </c>
      <c r="L497" s="5">
        <v>1240</v>
      </c>
      <c r="M497">
        <v>0.67950126200000005</v>
      </c>
      <c r="N497" s="5">
        <v>2628.97</v>
      </c>
      <c r="O497" s="5">
        <v>657.24</v>
      </c>
      <c r="P497">
        <v>0</v>
      </c>
      <c r="Q497" s="5">
        <v>0</v>
      </c>
      <c r="R497" s="5">
        <v>0</v>
      </c>
      <c r="S497" s="5">
        <v>310</v>
      </c>
    </row>
    <row r="498" spans="1:19">
      <c r="A498">
        <v>45</v>
      </c>
      <c r="B498" t="s">
        <v>148</v>
      </c>
      <c r="C498" t="s">
        <v>142</v>
      </c>
      <c r="D498" t="s">
        <v>144</v>
      </c>
      <c r="E498">
        <v>153023421</v>
      </c>
      <c r="F498" t="s">
        <v>418</v>
      </c>
      <c r="G498" t="s">
        <v>419</v>
      </c>
      <c r="H498" t="s">
        <v>127</v>
      </c>
      <c r="I498" t="s">
        <v>334</v>
      </c>
      <c r="J498">
        <v>4</v>
      </c>
      <c r="K498" s="5">
        <v>5068.54</v>
      </c>
      <c r="L498" s="5">
        <v>1640</v>
      </c>
      <c r="M498">
        <v>0.67643542300000004</v>
      </c>
      <c r="N498" s="5">
        <v>3428.54</v>
      </c>
      <c r="O498" s="5">
        <v>857.14</v>
      </c>
      <c r="P498">
        <v>0</v>
      </c>
      <c r="Q498" s="5">
        <v>0</v>
      </c>
      <c r="R498" s="5">
        <v>0</v>
      </c>
      <c r="S498" s="5">
        <v>410</v>
      </c>
    </row>
    <row r="499" spans="1:19">
      <c r="A499">
        <v>45</v>
      </c>
      <c r="B499" t="s">
        <v>148</v>
      </c>
      <c r="C499" t="s">
        <v>142</v>
      </c>
      <c r="D499" t="s">
        <v>144</v>
      </c>
      <c r="E499">
        <v>153023421</v>
      </c>
      <c r="F499" t="s">
        <v>418</v>
      </c>
      <c r="G499" t="s">
        <v>419</v>
      </c>
      <c r="H499" t="s">
        <v>127</v>
      </c>
      <c r="I499" t="s">
        <v>334</v>
      </c>
      <c r="J499">
        <v>0</v>
      </c>
      <c r="L499" s="5">
        <v>0</v>
      </c>
      <c r="M499">
        <v>0</v>
      </c>
      <c r="N499" s="5">
        <v>0</v>
      </c>
      <c r="O499" s="5">
        <v>0</v>
      </c>
      <c r="P499">
        <v>4</v>
      </c>
      <c r="Q499" s="5">
        <v>1640</v>
      </c>
      <c r="R499" s="5">
        <v>1704.4</v>
      </c>
      <c r="S499" s="5">
        <v>410</v>
      </c>
    </row>
    <row r="500" spans="1:19">
      <c r="A500">
        <v>45</v>
      </c>
      <c r="B500" t="s">
        <v>148</v>
      </c>
      <c r="C500" t="s">
        <v>142</v>
      </c>
      <c r="D500" t="s">
        <v>144</v>
      </c>
      <c r="E500">
        <v>153023421</v>
      </c>
      <c r="F500" t="s">
        <v>418</v>
      </c>
      <c r="G500" t="s">
        <v>419</v>
      </c>
      <c r="H500" t="s">
        <v>127</v>
      </c>
      <c r="I500" t="s">
        <v>333</v>
      </c>
      <c r="J500">
        <v>4</v>
      </c>
      <c r="K500" s="5">
        <v>4681.8</v>
      </c>
      <c r="L500" s="5">
        <v>1240</v>
      </c>
      <c r="M500">
        <v>0.73514460199999998</v>
      </c>
      <c r="N500" s="5">
        <v>3441.8</v>
      </c>
      <c r="O500" s="5">
        <v>860.45</v>
      </c>
      <c r="P500">
        <v>0</v>
      </c>
      <c r="Q500" s="5">
        <v>0</v>
      </c>
      <c r="R500" s="5">
        <v>0</v>
      </c>
      <c r="S500" s="5">
        <v>310</v>
      </c>
    </row>
    <row r="501" spans="1:19">
      <c r="A501">
        <v>45</v>
      </c>
      <c r="B501" t="s">
        <v>148</v>
      </c>
      <c r="C501" t="s">
        <v>142</v>
      </c>
      <c r="D501" t="s">
        <v>144</v>
      </c>
      <c r="E501">
        <v>153023421</v>
      </c>
      <c r="F501" t="s">
        <v>418</v>
      </c>
      <c r="G501" t="s">
        <v>419</v>
      </c>
      <c r="H501" t="s">
        <v>127</v>
      </c>
      <c r="I501" t="s">
        <v>334</v>
      </c>
      <c r="J501">
        <v>4</v>
      </c>
      <c r="K501" s="5">
        <v>4540.3599999999997</v>
      </c>
      <c r="L501" s="5">
        <v>1640</v>
      </c>
      <c r="M501">
        <v>0.638795161</v>
      </c>
      <c r="N501" s="5">
        <v>2900.36</v>
      </c>
      <c r="O501" s="5">
        <v>725.09</v>
      </c>
      <c r="P501">
        <v>0</v>
      </c>
      <c r="Q501" s="5">
        <v>0</v>
      </c>
      <c r="R501" s="5">
        <v>0</v>
      </c>
      <c r="S501" s="5">
        <v>410</v>
      </c>
    </row>
    <row r="502" spans="1:19">
      <c r="A502">
        <v>45</v>
      </c>
      <c r="B502" t="s">
        <v>148</v>
      </c>
      <c r="C502" t="s">
        <v>142</v>
      </c>
      <c r="D502" t="s">
        <v>144</v>
      </c>
      <c r="E502">
        <v>153023421</v>
      </c>
      <c r="F502" t="s">
        <v>418</v>
      </c>
      <c r="G502" t="s">
        <v>419</v>
      </c>
      <c r="H502" t="s">
        <v>127</v>
      </c>
      <c r="I502" t="s">
        <v>333</v>
      </c>
      <c r="J502">
        <v>4</v>
      </c>
      <c r="K502" s="5">
        <v>3517.72</v>
      </c>
      <c r="L502" s="5">
        <v>1240</v>
      </c>
      <c r="M502">
        <v>0.64749894799999996</v>
      </c>
      <c r="N502" s="5">
        <v>2277.7199999999998</v>
      </c>
      <c r="O502" s="5">
        <v>569.42999999999995</v>
      </c>
      <c r="P502">
        <v>0</v>
      </c>
      <c r="Q502" s="5">
        <v>0</v>
      </c>
      <c r="R502" s="5">
        <v>0</v>
      </c>
      <c r="S502" s="5">
        <v>310</v>
      </c>
    </row>
    <row r="503" spans="1:19">
      <c r="A503">
        <v>45</v>
      </c>
      <c r="B503" t="s">
        <v>148</v>
      </c>
      <c r="C503" t="s">
        <v>142</v>
      </c>
      <c r="D503" t="s">
        <v>144</v>
      </c>
      <c r="E503">
        <v>153023421</v>
      </c>
      <c r="F503" t="s">
        <v>418</v>
      </c>
      <c r="G503" t="s">
        <v>419</v>
      </c>
      <c r="H503" t="s">
        <v>127</v>
      </c>
      <c r="I503" t="s">
        <v>334</v>
      </c>
      <c r="J503">
        <v>4</v>
      </c>
      <c r="K503" s="5">
        <v>4707.3900000000003</v>
      </c>
      <c r="L503" s="5">
        <v>1640</v>
      </c>
      <c r="M503">
        <v>0.65161161400000001</v>
      </c>
      <c r="N503" s="5">
        <v>3067.39</v>
      </c>
      <c r="O503" s="5">
        <v>766.85</v>
      </c>
      <c r="P503">
        <v>0</v>
      </c>
      <c r="Q503" s="5">
        <v>0</v>
      </c>
      <c r="R503" s="5">
        <v>0</v>
      </c>
      <c r="S503" s="5">
        <v>410</v>
      </c>
    </row>
    <row r="504" spans="1:19">
      <c r="A504">
        <v>46</v>
      </c>
      <c r="B504" t="s">
        <v>143</v>
      </c>
      <c r="C504" t="s">
        <v>149</v>
      </c>
      <c r="D504" t="s">
        <v>144</v>
      </c>
      <c r="E504">
        <v>153023421</v>
      </c>
      <c r="F504" t="s">
        <v>420</v>
      </c>
      <c r="G504" t="s">
        <v>421</v>
      </c>
      <c r="H504" t="s">
        <v>146</v>
      </c>
      <c r="I504" t="s">
        <v>338</v>
      </c>
      <c r="J504">
        <v>0</v>
      </c>
      <c r="L504" s="5">
        <v>0</v>
      </c>
      <c r="M504">
        <v>0</v>
      </c>
      <c r="N504" s="5">
        <v>0</v>
      </c>
      <c r="O504" s="5">
        <v>0</v>
      </c>
      <c r="P504">
        <v>3</v>
      </c>
      <c r="Q504" s="5">
        <v>1500</v>
      </c>
      <c r="R504" s="5">
        <v>886.69</v>
      </c>
      <c r="S504" s="5">
        <v>500</v>
      </c>
    </row>
    <row r="505" spans="1:19">
      <c r="A505">
        <v>46</v>
      </c>
      <c r="B505" t="s">
        <v>143</v>
      </c>
      <c r="C505" t="s">
        <v>149</v>
      </c>
      <c r="D505" t="s">
        <v>144</v>
      </c>
      <c r="E505">
        <v>153023376</v>
      </c>
      <c r="F505" t="s">
        <v>420</v>
      </c>
      <c r="G505" t="s">
        <v>421</v>
      </c>
      <c r="H505" t="s">
        <v>146</v>
      </c>
      <c r="I505" t="s">
        <v>422</v>
      </c>
      <c r="J505">
        <v>0</v>
      </c>
      <c r="L505" s="5">
        <v>0</v>
      </c>
      <c r="M505">
        <v>0</v>
      </c>
      <c r="N505" s="5">
        <v>0</v>
      </c>
      <c r="O505" s="5">
        <v>0</v>
      </c>
      <c r="P505">
        <v>2</v>
      </c>
      <c r="Q505" s="5">
        <v>824</v>
      </c>
      <c r="R505" s="5">
        <v>442.82</v>
      </c>
      <c r="S505" s="5">
        <v>412</v>
      </c>
    </row>
    <row r="506" spans="1:19">
      <c r="A506">
        <v>46</v>
      </c>
      <c r="B506" t="s">
        <v>143</v>
      </c>
      <c r="C506" t="s">
        <v>149</v>
      </c>
      <c r="D506" t="s">
        <v>144</v>
      </c>
      <c r="E506">
        <v>153023376</v>
      </c>
      <c r="F506" t="s">
        <v>420</v>
      </c>
      <c r="G506" t="s">
        <v>421</v>
      </c>
      <c r="H506" t="s">
        <v>146</v>
      </c>
      <c r="I506" t="s">
        <v>334</v>
      </c>
      <c r="J506">
        <v>0</v>
      </c>
      <c r="L506" s="5">
        <v>0</v>
      </c>
      <c r="M506">
        <v>0</v>
      </c>
      <c r="N506" s="5">
        <v>0</v>
      </c>
      <c r="O506" s="5">
        <v>0</v>
      </c>
      <c r="P506">
        <v>4</v>
      </c>
      <c r="Q506" s="5">
        <v>2000</v>
      </c>
      <c r="R506" s="5">
        <v>781.66</v>
      </c>
      <c r="S506" s="5">
        <v>500</v>
      </c>
    </row>
    <row r="507" spans="1:19">
      <c r="A507">
        <v>46</v>
      </c>
      <c r="B507" t="s">
        <v>143</v>
      </c>
      <c r="C507" t="s">
        <v>149</v>
      </c>
      <c r="D507" t="s">
        <v>144</v>
      </c>
      <c r="E507">
        <v>153023376</v>
      </c>
      <c r="F507" t="s">
        <v>420</v>
      </c>
      <c r="G507" t="s">
        <v>421</v>
      </c>
      <c r="H507" t="s">
        <v>146</v>
      </c>
      <c r="I507" t="s">
        <v>422</v>
      </c>
      <c r="J507">
        <v>0</v>
      </c>
      <c r="L507" s="5">
        <v>0</v>
      </c>
      <c r="M507">
        <v>0</v>
      </c>
      <c r="N507" s="5">
        <v>0</v>
      </c>
      <c r="O507" s="5">
        <v>0</v>
      </c>
      <c r="P507">
        <v>4</v>
      </c>
      <c r="Q507" s="5">
        <v>1602.68</v>
      </c>
      <c r="R507" s="5">
        <v>538.07000000000005</v>
      </c>
      <c r="S507" s="5">
        <v>400.67</v>
      </c>
    </row>
    <row r="508" spans="1:19">
      <c r="A508">
        <v>46</v>
      </c>
      <c r="B508" t="s">
        <v>143</v>
      </c>
      <c r="C508" t="s">
        <v>149</v>
      </c>
      <c r="D508" t="s">
        <v>144</v>
      </c>
      <c r="E508">
        <v>153023376</v>
      </c>
      <c r="F508" t="s">
        <v>420</v>
      </c>
      <c r="G508" t="s">
        <v>421</v>
      </c>
      <c r="H508" t="s">
        <v>146</v>
      </c>
      <c r="I508" t="s">
        <v>422</v>
      </c>
      <c r="J508">
        <v>0</v>
      </c>
      <c r="L508" s="5">
        <v>0</v>
      </c>
      <c r="M508">
        <v>0</v>
      </c>
      <c r="N508" s="5">
        <v>0</v>
      </c>
      <c r="O508" s="5">
        <v>0</v>
      </c>
      <c r="P508">
        <v>4</v>
      </c>
      <c r="Q508" s="5">
        <v>1627.4</v>
      </c>
      <c r="R508" s="5">
        <v>794.29</v>
      </c>
      <c r="S508" s="5">
        <v>406.85</v>
      </c>
    </row>
    <row r="509" spans="1:19">
      <c r="A509">
        <v>46</v>
      </c>
      <c r="B509" t="s">
        <v>143</v>
      </c>
      <c r="C509" t="s">
        <v>149</v>
      </c>
      <c r="D509" t="s">
        <v>144</v>
      </c>
      <c r="E509">
        <v>153023376</v>
      </c>
      <c r="F509" t="s">
        <v>420</v>
      </c>
      <c r="G509" t="s">
        <v>421</v>
      </c>
      <c r="H509" t="s">
        <v>146</v>
      </c>
      <c r="I509" t="s">
        <v>335</v>
      </c>
      <c r="J509">
        <v>2</v>
      </c>
      <c r="K509" s="5">
        <v>1174.04</v>
      </c>
      <c r="L509" s="5">
        <v>758</v>
      </c>
      <c r="M509">
        <v>0.35436612000000001</v>
      </c>
      <c r="N509" s="5">
        <v>416.04</v>
      </c>
      <c r="O509" s="5">
        <v>208.02</v>
      </c>
      <c r="P509">
        <v>0</v>
      </c>
      <c r="Q509" s="5">
        <v>0</v>
      </c>
      <c r="R509" s="5">
        <v>0</v>
      </c>
      <c r="S509" s="5">
        <v>379</v>
      </c>
    </row>
    <row r="510" spans="1:19">
      <c r="A510">
        <v>46</v>
      </c>
      <c r="B510" t="s">
        <v>143</v>
      </c>
      <c r="C510" t="s">
        <v>149</v>
      </c>
      <c r="D510" t="s">
        <v>144</v>
      </c>
      <c r="E510">
        <v>153023376</v>
      </c>
      <c r="F510" t="s">
        <v>420</v>
      </c>
      <c r="G510" t="s">
        <v>421</v>
      </c>
      <c r="H510" t="s">
        <v>146</v>
      </c>
      <c r="I510" t="s">
        <v>422</v>
      </c>
      <c r="J510">
        <v>0</v>
      </c>
      <c r="L510" s="5">
        <v>0</v>
      </c>
      <c r="M510">
        <v>0</v>
      </c>
      <c r="N510" s="5">
        <v>0</v>
      </c>
      <c r="O510" s="5">
        <v>0</v>
      </c>
      <c r="P510">
        <v>4</v>
      </c>
      <c r="Q510" s="5">
        <v>1708.8</v>
      </c>
      <c r="R510" s="5">
        <v>794.29</v>
      </c>
      <c r="S510" s="5">
        <v>427.2</v>
      </c>
    </row>
    <row r="511" spans="1:19">
      <c r="A511">
        <v>51</v>
      </c>
      <c r="B511" t="s">
        <v>158</v>
      </c>
      <c r="C511" t="s">
        <v>161</v>
      </c>
      <c r="D511" t="s">
        <v>159</v>
      </c>
      <c r="E511">
        <v>153023376</v>
      </c>
      <c r="F511" t="s">
        <v>423</v>
      </c>
      <c r="G511" t="s">
        <v>424</v>
      </c>
      <c r="H511" t="s">
        <v>164</v>
      </c>
      <c r="I511" t="s">
        <v>334</v>
      </c>
      <c r="J511">
        <v>0</v>
      </c>
      <c r="L511" s="5">
        <v>0</v>
      </c>
      <c r="M511">
        <v>0</v>
      </c>
      <c r="N511" s="5">
        <v>0</v>
      </c>
      <c r="O511" s="5">
        <v>0</v>
      </c>
      <c r="P511">
        <v>4</v>
      </c>
      <c r="Q511" s="5">
        <v>2800</v>
      </c>
      <c r="R511" s="5">
        <v>881.09</v>
      </c>
      <c r="S511" s="5">
        <v>700</v>
      </c>
    </row>
    <row r="512" spans="1:19">
      <c r="A512">
        <v>52</v>
      </c>
      <c r="B512" t="s">
        <v>124</v>
      </c>
      <c r="C512" t="s">
        <v>162</v>
      </c>
      <c r="D512" t="s">
        <v>159</v>
      </c>
      <c r="E512">
        <v>153020467</v>
      </c>
      <c r="F512" t="s">
        <v>425</v>
      </c>
      <c r="G512" t="s">
        <v>424</v>
      </c>
      <c r="H512" t="s">
        <v>365</v>
      </c>
      <c r="I512" t="s">
        <v>338</v>
      </c>
      <c r="J512">
        <v>0</v>
      </c>
      <c r="L512" s="5">
        <v>0</v>
      </c>
      <c r="M512">
        <v>0</v>
      </c>
      <c r="N512" s="5">
        <v>0</v>
      </c>
      <c r="O512" s="5">
        <v>0</v>
      </c>
      <c r="P512">
        <v>2</v>
      </c>
      <c r="Q512" s="5">
        <v>1000</v>
      </c>
      <c r="R512" s="5">
        <v>526.97</v>
      </c>
      <c r="S512" s="5">
        <v>500</v>
      </c>
    </row>
    <row r="513" spans="1:19">
      <c r="A513">
        <v>52</v>
      </c>
      <c r="B513" t="s">
        <v>124</v>
      </c>
      <c r="C513" t="s">
        <v>162</v>
      </c>
      <c r="D513" t="s">
        <v>159</v>
      </c>
      <c r="E513">
        <v>153020556</v>
      </c>
      <c r="F513" t="s">
        <v>425</v>
      </c>
      <c r="G513" t="s">
        <v>424</v>
      </c>
      <c r="H513" t="s">
        <v>365</v>
      </c>
      <c r="I513" t="s">
        <v>337</v>
      </c>
      <c r="J513">
        <v>2</v>
      </c>
      <c r="K513" s="5">
        <v>564.48</v>
      </c>
      <c r="L513" s="5">
        <v>640</v>
      </c>
      <c r="M513">
        <v>-0.13378684800000001</v>
      </c>
      <c r="N513" s="5">
        <v>-75.52</v>
      </c>
      <c r="O513" s="5">
        <v>-37.76</v>
      </c>
      <c r="P513">
        <v>0</v>
      </c>
      <c r="Q513" s="5">
        <v>0</v>
      </c>
      <c r="R513" s="5">
        <v>0</v>
      </c>
      <c r="S513" s="5">
        <v>320</v>
      </c>
    </row>
    <row r="514" spans="1:19">
      <c r="A514">
        <v>52</v>
      </c>
      <c r="B514" t="s">
        <v>124</v>
      </c>
      <c r="C514" t="s">
        <v>162</v>
      </c>
      <c r="D514" t="s">
        <v>159</v>
      </c>
      <c r="E514">
        <v>153020556</v>
      </c>
      <c r="F514" t="s">
        <v>425</v>
      </c>
      <c r="G514" t="s">
        <v>424</v>
      </c>
      <c r="H514" t="s">
        <v>365</v>
      </c>
      <c r="I514" t="s">
        <v>338</v>
      </c>
      <c r="J514">
        <v>0</v>
      </c>
      <c r="L514" s="5">
        <v>0</v>
      </c>
      <c r="M514">
        <v>0</v>
      </c>
      <c r="N514" s="5">
        <v>0</v>
      </c>
      <c r="O514" s="5">
        <v>0</v>
      </c>
      <c r="P514">
        <v>3</v>
      </c>
      <c r="Q514" s="5">
        <v>1500</v>
      </c>
      <c r="R514" s="5">
        <v>853.19</v>
      </c>
      <c r="S514" s="5">
        <v>500</v>
      </c>
    </row>
    <row r="515" spans="1:19">
      <c r="A515">
        <v>52</v>
      </c>
      <c r="B515" t="s">
        <v>124</v>
      </c>
      <c r="C515" t="s">
        <v>162</v>
      </c>
      <c r="D515" t="s">
        <v>159</v>
      </c>
      <c r="E515">
        <v>153020556</v>
      </c>
      <c r="F515" t="s">
        <v>425</v>
      </c>
      <c r="G515" t="s">
        <v>424</v>
      </c>
      <c r="H515" t="s">
        <v>365</v>
      </c>
      <c r="I515" t="s">
        <v>336</v>
      </c>
      <c r="J515">
        <v>0</v>
      </c>
      <c r="L515" s="5">
        <v>0</v>
      </c>
      <c r="M515">
        <v>0</v>
      </c>
      <c r="N515" s="5">
        <v>0</v>
      </c>
      <c r="O515" s="5">
        <v>0</v>
      </c>
      <c r="P515">
        <v>4</v>
      </c>
      <c r="Q515" s="5">
        <v>1071.2</v>
      </c>
      <c r="R515" s="5">
        <v>496.36</v>
      </c>
      <c r="S515" s="5">
        <v>267.8</v>
      </c>
    </row>
    <row r="516" spans="1:19">
      <c r="A516">
        <v>52</v>
      </c>
      <c r="B516" t="s">
        <v>124</v>
      </c>
      <c r="C516" t="s">
        <v>162</v>
      </c>
      <c r="D516" t="s">
        <v>159</v>
      </c>
      <c r="E516">
        <v>153020556</v>
      </c>
      <c r="F516" t="s">
        <v>425</v>
      </c>
      <c r="G516" t="s">
        <v>424</v>
      </c>
      <c r="H516" t="s">
        <v>365</v>
      </c>
      <c r="I516" t="s">
        <v>337</v>
      </c>
      <c r="J516">
        <v>0</v>
      </c>
      <c r="L516" s="5">
        <v>0</v>
      </c>
      <c r="M516">
        <v>0</v>
      </c>
      <c r="N516" s="5">
        <v>0</v>
      </c>
      <c r="O516" s="5">
        <v>0</v>
      </c>
      <c r="P516">
        <v>4</v>
      </c>
      <c r="Q516" s="5">
        <v>1033.44</v>
      </c>
      <c r="R516" s="5">
        <v>544.4</v>
      </c>
      <c r="S516" s="5">
        <v>258.36</v>
      </c>
    </row>
    <row r="517" spans="1:19">
      <c r="A517">
        <v>52</v>
      </c>
      <c r="B517" t="s">
        <v>124</v>
      </c>
      <c r="C517" t="s">
        <v>162</v>
      </c>
      <c r="D517" t="s">
        <v>159</v>
      </c>
      <c r="E517">
        <v>153020556</v>
      </c>
      <c r="F517" t="s">
        <v>425</v>
      </c>
      <c r="G517" t="s">
        <v>424</v>
      </c>
      <c r="H517" t="s">
        <v>365</v>
      </c>
      <c r="I517" t="s">
        <v>333</v>
      </c>
      <c r="J517">
        <v>2</v>
      </c>
      <c r="K517" s="5">
        <v>784.3</v>
      </c>
      <c r="L517" s="5">
        <v>620</v>
      </c>
      <c r="M517">
        <v>0.209486166</v>
      </c>
      <c r="N517" s="5">
        <v>164.3</v>
      </c>
      <c r="O517" s="5">
        <v>82.15</v>
      </c>
      <c r="P517">
        <v>2</v>
      </c>
      <c r="Q517" s="5">
        <v>620</v>
      </c>
      <c r="R517" s="5">
        <v>862.74</v>
      </c>
      <c r="S517" s="5">
        <v>310</v>
      </c>
    </row>
    <row r="518" spans="1:19">
      <c r="A518">
        <v>52</v>
      </c>
      <c r="B518" t="s">
        <v>124</v>
      </c>
      <c r="C518" t="s">
        <v>162</v>
      </c>
      <c r="D518" t="s">
        <v>159</v>
      </c>
      <c r="E518">
        <v>153020556</v>
      </c>
      <c r="F518" t="s">
        <v>425</v>
      </c>
      <c r="G518" t="s">
        <v>424</v>
      </c>
      <c r="H518" t="s">
        <v>365</v>
      </c>
      <c r="I518" t="s">
        <v>337</v>
      </c>
      <c r="J518">
        <v>2</v>
      </c>
      <c r="K518" s="5">
        <v>620.28</v>
      </c>
      <c r="L518" s="5">
        <v>508.82</v>
      </c>
      <c r="M518">
        <v>0.179693041</v>
      </c>
      <c r="N518" s="5">
        <v>111.46</v>
      </c>
      <c r="O518" s="5">
        <v>55.73</v>
      </c>
      <c r="P518">
        <v>0</v>
      </c>
      <c r="Q518" s="5">
        <v>0</v>
      </c>
      <c r="R518" s="5">
        <v>0</v>
      </c>
      <c r="S518" s="5">
        <v>254.41</v>
      </c>
    </row>
    <row r="519" spans="1:19">
      <c r="A519">
        <v>52</v>
      </c>
      <c r="B519" t="s">
        <v>124</v>
      </c>
      <c r="C519" t="s">
        <v>162</v>
      </c>
      <c r="D519" t="s">
        <v>159</v>
      </c>
      <c r="E519">
        <v>153020556</v>
      </c>
      <c r="F519" t="s">
        <v>425</v>
      </c>
      <c r="G519" t="s">
        <v>424</v>
      </c>
      <c r="H519" t="s">
        <v>365</v>
      </c>
      <c r="I519" t="s">
        <v>343</v>
      </c>
      <c r="J519">
        <v>0</v>
      </c>
      <c r="L519" s="5">
        <v>0</v>
      </c>
      <c r="M519">
        <v>0</v>
      </c>
      <c r="N519" s="5">
        <v>0</v>
      </c>
      <c r="O519" s="5">
        <v>0</v>
      </c>
      <c r="P519">
        <v>3</v>
      </c>
      <c r="Q519" s="5">
        <v>1200</v>
      </c>
      <c r="R519" s="5">
        <v>512.52</v>
      </c>
      <c r="S519" s="5">
        <v>400</v>
      </c>
    </row>
    <row r="520" spans="1:19">
      <c r="A520">
        <v>52</v>
      </c>
      <c r="B520" t="s">
        <v>124</v>
      </c>
      <c r="C520" t="s">
        <v>162</v>
      </c>
      <c r="D520" t="s">
        <v>159</v>
      </c>
      <c r="E520">
        <v>153020556</v>
      </c>
      <c r="F520" t="s">
        <v>425</v>
      </c>
      <c r="G520" t="s">
        <v>424</v>
      </c>
      <c r="H520" t="s">
        <v>365</v>
      </c>
      <c r="I520" t="s">
        <v>333</v>
      </c>
      <c r="J520">
        <v>0</v>
      </c>
      <c r="L520" s="5">
        <v>0</v>
      </c>
      <c r="M520">
        <v>0</v>
      </c>
      <c r="N520" s="5">
        <v>0</v>
      </c>
      <c r="O520" s="5">
        <v>0</v>
      </c>
      <c r="P520">
        <v>4</v>
      </c>
      <c r="Q520" s="5">
        <v>1240</v>
      </c>
      <c r="R520" s="5">
        <v>854.2</v>
      </c>
      <c r="S520" s="5">
        <v>310</v>
      </c>
    </row>
    <row r="521" spans="1:19">
      <c r="A521">
        <v>52</v>
      </c>
      <c r="B521" t="s">
        <v>124</v>
      </c>
      <c r="C521" t="s">
        <v>162</v>
      </c>
      <c r="D521" t="s">
        <v>159</v>
      </c>
      <c r="E521">
        <v>153020556</v>
      </c>
      <c r="F521" t="s">
        <v>425</v>
      </c>
      <c r="G521" t="s">
        <v>424</v>
      </c>
      <c r="H521" t="s">
        <v>365</v>
      </c>
      <c r="I521" t="s">
        <v>337</v>
      </c>
      <c r="J521">
        <v>2</v>
      </c>
      <c r="K521" s="5">
        <v>671.86</v>
      </c>
      <c r="L521" s="5">
        <v>539.72</v>
      </c>
      <c r="M521">
        <v>0.196677879</v>
      </c>
      <c r="N521" s="5">
        <v>132.13999999999999</v>
      </c>
      <c r="O521" s="5">
        <v>66.069999999999993</v>
      </c>
      <c r="P521">
        <v>0</v>
      </c>
      <c r="Q521" s="5">
        <v>0</v>
      </c>
      <c r="R521" s="5">
        <v>0</v>
      </c>
      <c r="S521" s="5">
        <v>269.86</v>
      </c>
    </row>
    <row r="522" spans="1:19">
      <c r="A522">
        <v>52</v>
      </c>
      <c r="B522" t="s">
        <v>124</v>
      </c>
      <c r="C522" t="s">
        <v>162</v>
      </c>
      <c r="D522" t="s">
        <v>159</v>
      </c>
      <c r="E522">
        <v>153020556</v>
      </c>
      <c r="F522" t="s">
        <v>425</v>
      </c>
      <c r="G522" t="s">
        <v>424</v>
      </c>
      <c r="H522" t="s">
        <v>365</v>
      </c>
      <c r="I522" t="s">
        <v>343</v>
      </c>
      <c r="J522">
        <v>0</v>
      </c>
      <c r="L522" s="5">
        <v>0</v>
      </c>
      <c r="M522">
        <v>0</v>
      </c>
      <c r="N522" s="5">
        <v>0</v>
      </c>
      <c r="O522" s="5">
        <v>0</v>
      </c>
      <c r="P522">
        <v>4</v>
      </c>
      <c r="Q522" s="5">
        <v>1600</v>
      </c>
      <c r="R522" s="5">
        <v>619.29999999999995</v>
      </c>
      <c r="S522" s="5">
        <v>400</v>
      </c>
    </row>
    <row r="523" spans="1:19">
      <c r="A523">
        <v>52</v>
      </c>
      <c r="B523" t="s">
        <v>124</v>
      </c>
      <c r="C523" t="s">
        <v>162</v>
      </c>
      <c r="D523" t="s">
        <v>159</v>
      </c>
      <c r="E523">
        <v>153020556</v>
      </c>
      <c r="F523" t="s">
        <v>425</v>
      </c>
      <c r="G523" t="s">
        <v>424</v>
      </c>
      <c r="H523" t="s">
        <v>365</v>
      </c>
      <c r="I523" t="s">
        <v>336</v>
      </c>
      <c r="J523">
        <v>0</v>
      </c>
      <c r="L523" s="5">
        <v>0</v>
      </c>
      <c r="M523">
        <v>0</v>
      </c>
      <c r="N523" s="5">
        <v>0</v>
      </c>
      <c r="O523" s="5">
        <v>0</v>
      </c>
      <c r="P523">
        <v>4</v>
      </c>
      <c r="Q523" s="5">
        <v>1236</v>
      </c>
      <c r="R523" s="5">
        <v>592.42999999999995</v>
      </c>
      <c r="S523" s="5">
        <v>309</v>
      </c>
    </row>
    <row r="524" spans="1:19">
      <c r="A524">
        <v>52</v>
      </c>
      <c r="B524" t="s">
        <v>124</v>
      </c>
      <c r="C524" t="s">
        <v>162</v>
      </c>
      <c r="D524" t="s">
        <v>159</v>
      </c>
      <c r="E524">
        <v>153020556</v>
      </c>
      <c r="F524" t="s">
        <v>425</v>
      </c>
      <c r="G524" t="s">
        <v>424</v>
      </c>
      <c r="H524" t="s">
        <v>365</v>
      </c>
      <c r="I524" t="s">
        <v>337</v>
      </c>
      <c r="J524">
        <v>4</v>
      </c>
      <c r="K524" s="5">
        <v>1258.73</v>
      </c>
      <c r="L524" s="5">
        <v>620</v>
      </c>
      <c r="M524">
        <v>0.50744003800000004</v>
      </c>
      <c r="N524" s="5">
        <v>638.73</v>
      </c>
      <c r="O524" s="5">
        <v>159.68</v>
      </c>
      <c r="P524">
        <v>0</v>
      </c>
      <c r="Q524" s="5">
        <v>0</v>
      </c>
      <c r="R524" s="5">
        <v>0</v>
      </c>
      <c r="S524" s="5">
        <v>155</v>
      </c>
    </row>
    <row r="525" spans="1:19">
      <c r="A525">
        <v>52</v>
      </c>
      <c r="B525" t="s">
        <v>124</v>
      </c>
      <c r="C525" t="s">
        <v>162</v>
      </c>
      <c r="D525" t="s">
        <v>159</v>
      </c>
      <c r="E525">
        <v>153020556</v>
      </c>
      <c r="F525" t="s">
        <v>425</v>
      </c>
      <c r="G525" t="s">
        <v>424</v>
      </c>
      <c r="H525" t="s">
        <v>365</v>
      </c>
      <c r="I525" t="s">
        <v>338</v>
      </c>
      <c r="J525">
        <v>0</v>
      </c>
      <c r="L525" s="5">
        <v>0</v>
      </c>
      <c r="M525">
        <v>0</v>
      </c>
      <c r="N525" s="5">
        <v>0</v>
      </c>
      <c r="O525" s="5">
        <v>0</v>
      </c>
      <c r="P525">
        <v>3</v>
      </c>
      <c r="Q525" s="5">
        <v>1500</v>
      </c>
      <c r="R525" s="5">
        <v>928.47</v>
      </c>
      <c r="S525" s="5">
        <v>500</v>
      </c>
    </row>
    <row r="526" spans="1:19">
      <c r="A526">
        <v>52</v>
      </c>
      <c r="B526" t="s">
        <v>124</v>
      </c>
      <c r="C526" t="s">
        <v>162</v>
      </c>
      <c r="D526" t="s">
        <v>159</v>
      </c>
      <c r="E526">
        <v>153020556</v>
      </c>
      <c r="F526" t="s">
        <v>425</v>
      </c>
      <c r="G526" t="s">
        <v>424</v>
      </c>
      <c r="H526" t="s">
        <v>365</v>
      </c>
      <c r="I526" t="s">
        <v>337</v>
      </c>
      <c r="J526">
        <v>2</v>
      </c>
      <c r="K526" s="5">
        <v>646.27</v>
      </c>
      <c r="L526" s="5">
        <v>638</v>
      </c>
      <c r="M526">
        <v>1.2796508999999999E-2</v>
      </c>
      <c r="N526" s="5">
        <v>8.27</v>
      </c>
      <c r="O526" s="5">
        <v>4.1399999999999997</v>
      </c>
      <c r="P526">
        <v>0</v>
      </c>
      <c r="Q526" s="5">
        <v>0</v>
      </c>
      <c r="R526" s="5">
        <v>0</v>
      </c>
      <c r="S526" s="5">
        <v>319</v>
      </c>
    </row>
    <row r="527" spans="1:19">
      <c r="A527">
        <v>52</v>
      </c>
      <c r="B527" t="s">
        <v>124</v>
      </c>
      <c r="C527" t="s">
        <v>162</v>
      </c>
      <c r="D527" t="s">
        <v>159</v>
      </c>
      <c r="E527">
        <v>153020556</v>
      </c>
      <c r="F527" t="s">
        <v>425</v>
      </c>
      <c r="G527" t="s">
        <v>424</v>
      </c>
      <c r="H527" t="s">
        <v>365</v>
      </c>
      <c r="I527" t="s">
        <v>337</v>
      </c>
      <c r="J527">
        <v>2</v>
      </c>
      <c r="L527" s="5">
        <v>580</v>
      </c>
      <c r="M527">
        <v>0</v>
      </c>
      <c r="N527" s="5">
        <v>-580</v>
      </c>
      <c r="O527" s="5">
        <v>-290</v>
      </c>
      <c r="P527">
        <v>0</v>
      </c>
      <c r="Q527" s="5">
        <v>0</v>
      </c>
      <c r="R527" s="5">
        <v>0</v>
      </c>
      <c r="S527" s="5">
        <v>290</v>
      </c>
    </row>
    <row r="528" spans="1:19">
      <c r="A528">
        <v>50</v>
      </c>
      <c r="B528" t="s">
        <v>175</v>
      </c>
      <c r="C528" t="s">
        <v>168</v>
      </c>
      <c r="D528" t="s">
        <v>169</v>
      </c>
      <c r="E528">
        <v>153020556</v>
      </c>
      <c r="F528" t="s">
        <v>426</v>
      </c>
      <c r="G528" t="s">
        <v>427</v>
      </c>
      <c r="H528" t="s">
        <v>79</v>
      </c>
      <c r="I528" t="s">
        <v>334</v>
      </c>
      <c r="J528">
        <v>0</v>
      </c>
      <c r="L528" s="5">
        <v>0</v>
      </c>
      <c r="M528">
        <v>0</v>
      </c>
      <c r="N528" s="5">
        <v>0</v>
      </c>
      <c r="O528" s="5">
        <v>0</v>
      </c>
      <c r="P528">
        <v>4</v>
      </c>
      <c r="Q528" s="5">
        <v>2000</v>
      </c>
      <c r="R528" s="5">
        <v>506</v>
      </c>
      <c r="S528" s="5">
        <v>500</v>
      </c>
    </row>
    <row r="529" spans="1:19">
      <c r="A529">
        <v>50</v>
      </c>
      <c r="B529" t="s">
        <v>175</v>
      </c>
      <c r="C529" t="s">
        <v>168</v>
      </c>
      <c r="D529" t="s">
        <v>169</v>
      </c>
      <c r="E529">
        <v>153023548</v>
      </c>
      <c r="F529" t="s">
        <v>426</v>
      </c>
      <c r="G529" t="s">
        <v>427</v>
      </c>
      <c r="H529" t="s">
        <v>79</v>
      </c>
      <c r="I529" t="s">
        <v>337</v>
      </c>
      <c r="J529">
        <v>0</v>
      </c>
      <c r="L529" s="5">
        <v>0</v>
      </c>
      <c r="M529">
        <v>0</v>
      </c>
      <c r="N529" s="5">
        <v>0</v>
      </c>
      <c r="O529" s="5">
        <v>0</v>
      </c>
      <c r="P529">
        <v>4</v>
      </c>
      <c r="Q529" s="5">
        <v>939.48</v>
      </c>
      <c r="R529" s="5">
        <v>430.37</v>
      </c>
      <c r="S529" s="5">
        <v>234.87</v>
      </c>
    </row>
    <row r="530" spans="1:19">
      <c r="A530">
        <v>50</v>
      </c>
      <c r="B530" t="s">
        <v>175</v>
      </c>
      <c r="C530" t="s">
        <v>168</v>
      </c>
      <c r="D530" t="s">
        <v>169</v>
      </c>
      <c r="E530">
        <v>153023548</v>
      </c>
      <c r="F530" t="s">
        <v>426</v>
      </c>
      <c r="G530" t="s">
        <v>427</v>
      </c>
      <c r="H530" t="s">
        <v>79</v>
      </c>
      <c r="I530" t="s">
        <v>337</v>
      </c>
      <c r="J530">
        <v>0</v>
      </c>
      <c r="L530" s="5">
        <v>0</v>
      </c>
      <c r="M530">
        <v>0</v>
      </c>
      <c r="N530" s="5">
        <v>0</v>
      </c>
      <c r="O530" s="5">
        <v>0</v>
      </c>
      <c r="P530">
        <v>4</v>
      </c>
      <c r="Q530" s="5">
        <v>978.68</v>
      </c>
      <c r="R530" s="5">
        <v>303.79000000000002</v>
      </c>
      <c r="S530" s="5">
        <v>244.67</v>
      </c>
    </row>
    <row r="531" spans="1:19">
      <c r="A531">
        <v>50</v>
      </c>
      <c r="B531" t="s">
        <v>175</v>
      </c>
      <c r="C531" t="s">
        <v>168</v>
      </c>
      <c r="D531" t="s">
        <v>169</v>
      </c>
      <c r="E531">
        <v>153023548</v>
      </c>
      <c r="F531" t="s">
        <v>426</v>
      </c>
      <c r="G531" t="s">
        <v>427</v>
      </c>
      <c r="H531" t="s">
        <v>79</v>
      </c>
      <c r="I531" t="s">
        <v>337</v>
      </c>
      <c r="J531">
        <v>0</v>
      </c>
      <c r="L531" s="5">
        <v>0</v>
      </c>
      <c r="M531">
        <v>0</v>
      </c>
      <c r="N531" s="5">
        <v>0</v>
      </c>
      <c r="O531" s="5">
        <v>0</v>
      </c>
      <c r="P531">
        <v>4</v>
      </c>
      <c r="Q531" s="5">
        <v>990.96</v>
      </c>
      <c r="R531" s="5">
        <v>620.24</v>
      </c>
      <c r="S531" s="5">
        <v>247.74</v>
      </c>
    </row>
    <row r="532" spans="1:19">
      <c r="A532">
        <v>50</v>
      </c>
      <c r="B532" t="s">
        <v>175</v>
      </c>
      <c r="C532" t="s">
        <v>168</v>
      </c>
      <c r="D532" t="s">
        <v>169</v>
      </c>
      <c r="E532">
        <v>153023548</v>
      </c>
      <c r="F532" t="s">
        <v>426</v>
      </c>
      <c r="G532" t="s">
        <v>427</v>
      </c>
      <c r="H532" t="s">
        <v>79</v>
      </c>
      <c r="I532" t="s">
        <v>333</v>
      </c>
      <c r="J532">
        <v>0</v>
      </c>
      <c r="L532" s="5">
        <v>0</v>
      </c>
      <c r="M532">
        <v>0</v>
      </c>
      <c r="N532" s="5">
        <v>0</v>
      </c>
      <c r="O532" s="5">
        <v>0</v>
      </c>
      <c r="P532">
        <v>4</v>
      </c>
      <c r="Q532" s="5">
        <v>1240</v>
      </c>
      <c r="R532" s="5">
        <v>586.37</v>
      </c>
      <c r="S532" s="5">
        <v>310</v>
      </c>
    </row>
    <row r="533" spans="1:19">
      <c r="A533">
        <v>50</v>
      </c>
      <c r="B533" t="s">
        <v>175</v>
      </c>
      <c r="C533" t="s">
        <v>168</v>
      </c>
      <c r="D533" t="s">
        <v>169</v>
      </c>
      <c r="E533">
        <v>153023548</v>
      </c>
      <c r="F533" t="s">
        <v>426</v>
      </c>
      <c r="G533" t="s">
        <v>427</v>
      </c>
      <c r="H533" t="s">
        <v>79</v>
      </c>
      <c r="I533" t="s">
        <v>334</v>
      </c>
      <c r="J533">
        <v>0</v>
      </c>
      <c r="L533" s="5">
        <v>0</v>
      </c>
      <c r="M533">
        <v>0</v>
      </c>
      <c r="N533" s="5">
        <v>0</v>
      </c>
      <c r="O533" s="5">
        <v>0</v>
      </c>
      <c r="P533">
        <v>4</v>
      </c>
      <c r="Q533" s="5">
        <v>1640</v>
      </c>
      <c r="R533" s="5">
        <v>740.6</v>
      </c>
      <c r="S533" s="5">
        <v>410</v>
      </c>
    </row>
    <row r="534" spans="1:19">
      <c r="A534">
        <v>50</v>
      </c>
      <c r="B534" t="s">
        <v>175</v>
      </c>
      <c r="C534" t="s">
        <v>168</v>
      </c>
      <c r="D534" t="s">
        <v>169</v>
      </c>
      <c r="E534">
        <v>153023548</v>
      </c>
      <c r="F534" t="s">
        <v>426</v>
      </c>
      <c r="G534" t="s">
        <v>427</v>
      </c>
      <c r="H534" t="s">
        <v>79</v>
      </c>
      <c r="I534" t="s">
        <v>337</v>
      </c>
      <c r="J534">
        <v>0</v>
      </c>
      <c r="L534" s="5">
        <v>0</v>
      </c>
      <c r="M534">
        <v>0</v>
      </c>
      <c r="N534" s="5">
        <v>0</v>
      </c>
      <c r="O534" s="5">
        <v>0</v>
      </c>
      <c r="P534">
        <v>4</v>
      </c>
      <c r="Q534" s="5">
        <v>989.76</v>
      </c>
      <c r="R534" s="5">
        <v>582.27</v>
      </c>
      <c r="S534" s="5">
        <v>247.44</v>
      </c>
    </row>
    <row r="535" spans="1:19">
      <c r="A535">
        <v>50</v>
      </c>
      <c r="B535" t="s">
        <v>175</v>
      </c>
      <c r="C535" t="s">
        <v>168</v>
      </c>
      <c r="D535" t="s">
        <v>169</v>
      </c>
      <c r="E535">
        <v>153023548</v>
      </c>
      <c r="F535" t="s">
        <v>426</v>
      </c>
      <c r="G535" t="s">
        <v>427</v>
      </c>
      <c r="H535" t="s">
        <v>79</v>
      </c>
      <c r="I535" t="s">
        <v>333</v>
      </c>
      <c r="J535">
        <v>0</v>
      </c>
      <c r="L535" s="5">
        <v>0</v>
      </c>
      <c r="M535">
        <v>0</v>
      </c>
      <c r="N535" s="5">
        <v>0</v>
      </c>
      <c r="O535" s="5">
        <v>0</v>
      </c>
      <c r="P535">
        <v>4</v>
      </c>
      <c r="Q535" s="5">
        <v>1600</v>
      </c>
      <c r="R535" s="5">
        <v>539.63</v>
      </c>
      <c r="S535" s="5">
        <v>400</v>
      </c>
    </row>
    <row r="536" spans="1:19">
      <c r="A536">
        <v>50</v>
      </c>
      <c r="B536" t="s">
        <v>175</v>
      </c>
      <c r="C536" t="s">
        <v>168</v>
      </c>
      <c r="D536" t="s">
        <v>169</v>
      </c>
      <c r="E536">
        <v>153023548</v>
      </c>
      <c r="F536" t="s">
        <v>426</v>
      </c>
      <c r="G536" t="s">
        <v>427</v>
      </c>
      <c r="H536" t="s">
        <v>79</v>
      </c>
      <c r="I536" t="s">
        <v>337</v>
      </c>
      <c r="J536">
        <v>0</v>
      </c>
      <c r="L536" s="5">
        <v>0</v>
      </c>
      <c r="M536">
        <v>0</v>
      </c>
      <c r="N536" s="5">
        <v>0</v>
      </c>
      <c r="O536" s="5">
        <v>0</v>
      </c>
      <c r="P536">
        <v>4</v>
      </c>
      <c r="Q536" s="5">
        <v>958.28</v>
      </c>
      <c r="R536" s="5">
        <v>392.4</v>
      </c>
      <c r="S536" s="5">
        <v>239.57</v>
      </c>
    </row>
    <row r="537" spans="1:19">
      <c r="A537">
        <v>50</v>
      </c>
      <c r="B537" t="s">
        <v>175</v>
      </c>
      <c r="C537" t="s">
        <v>168</v>
      </c>
      <c r="D537" t="s">
        <v>169</v>
      </c>
      <c r="E537">
        <v>153023548</v>
      </c>
      <c r="F537" t="s">
        <v>426</v>
      </c>
      <c r="G537" t="s">
        <v>427</v>
      </c>
      <c r="H537" t="s">
        <v>79</v>
      </c>
      <c r="I537" t="s">
        <v>333</v>
      </c>
      <c r="J537">
        <v>4</v>
      </c>
      <c r="K537" s="5">
        <v>2043.2</v>
      </c>
      <c r="L537" s="5">
        <v>1240</v>
      </c>
      <c r="M537">
        <v>0.39310884800000001</v>
      </c>
      <c r="N537" s="5">
        <v>803.2</v>
      </c>
      <c r="O537" s="5">
        <v>200.8</v>
      </c>
      <c r="P537">
        <v>0</v>
      </c>
      <c r="Q537" s="5">
        <v>0</v>
      </c>
      <c r="R537" s="5">
        <v>0</v>
      </c>
      <c r="S537" s="5">
        <v>310</v>
      </c>
    </row>
    <row r="538" spans="1:19">
      <c r="A538">
        <v>50</v>
      </c>
      <c r="B538" t="s">
        <v>175</v>
      </c>
      <c r="C538" t="s">
        <v>168</v>
      </c>
      <c r="D538" t="s">
        <v>169</v>
      </c>
      <c r="E538">
        <v>153023548</v>
      </c>
      <c r="F538" t="s">
        <v>426</v>
      </c>
      <c r="G538" t="s">
        <v>427</v>
      </c>
      <c r="H538" t="s">
        <v>79</v>
      </c>
      <c r="I538" t="s">
        <v>337</v>
      </c>
      <c r="J538">
        <v>4</v>
      </c>
      <c r="K538" s="5">
        <v>1340.93</v>
      </c>
      <c r="L538" s="5">
        <v>560</v>
      </c>
      <c r="M538">
        <v>0.58237939299999997</v>
      </c>
      <c r="N538" s="5">
        <v>780.93</v>
      </c>
      <c r="O538" s="5">
        <v>195.23</v>
      </c>
      <c r="P538">
        <v>0</v>
      </c>
      <c r="Q538" s="5">
        <v>0</v>
      </c>
      <c r="R538" s="5">
        <v>0</v>
      </c>
      <c r="S538" s="5">
        <v>140</v>
      </c>
    </row>
    <row r="539" spans="1:19">
      <c r="A539">
        <v>50</v>
      </c>
      <c r="B539" t="s">
        <v>175</v>
      </c>
      <c r="C539" t="s">
        <v>168</v>
      </c>
      <c r="D539" t="s">
        <v>169</v>
      </c>
      <c r="E539">
        <v>153023548</v>
      </c>
      <c r="F539" t="s">
        <v>426</v>
      </c>
      <c r="G539" t="s">
        <v>427</v>
      </c>
      <c r="H539" t="s">
        <v>79</v>
      </c>
      <c r="I539" t="s">
        <v>337</v>
      </c>
      <c r="J539">
        <v>0</v>
      </c>
      <c r="L539" s="5">
        <v>0</v>
      </c>
      <c r="M539">
        <v>0</v>
      </c>
      <c r="N539" s="5">
        <v>0</v>
      </c>
      <c r="O539" s="5">
        <v>0</v>
      </c>
      <c r="P539">
        <v>4</v>
      </c>
      <c r="Q539" s="5">
        <v>978.68</v>
      </c>
      <c r="R539" s="5">
        <v>341.77</v>
      </c>
      <c r="S539" s="5">
        <v>244.67</v>
      </c>
    </row>
    <row r="540" spans="1:19">
      <c r="A540">
        <v>50</v>
      </c>
      <c r="B540" t="s">
        <v>175</v>
      </c>
      <c r="C540" t="s">
        <v>168</v>
      </c>
      <c r="D540" t="s">
        <v>169</v>
      </c>
      <c r="E540">
        <v>153023548</v>
      </c>
      <c r="F540" t="s">
        <v>426</v>
      </c>
      <c r="G540" t="s">
        <v>427</v>
      </c>
      <c r="H540" t="s">
        <v>79</v>
      </c>
      <c r="I540" t="s">
        <v>337</v>
      </c>
      <c r="J540">
        <v>0</v>
      </c>
      <c r="L540" s="5">
        <v>0</v>
      </c>
      <c r="M540">
        <v>0</v>
      </c>
      <c r="N540" s="5">
        <v>0</v>
      </c>
      <c r="O540" s="5">
        <v>0</v>
      </c>
      <c r="P540">
        <v>2</v>
      </c>
      <c r="Q540" s="5">
        <v>494.38</v>
      </c>
      <c r="R540" s="5">
        <v>265.82</v>
      </c>
      <c r="S540" s="5">
        <v>247.19</v>
      </c>
    </row>
    <row r="541" spans="1:19">
      <c r="A541">
        <v>50</v>
      </c>
      <c r="B541" t="s">
        <v>175</v>
      </c>
      <c r="C541" t="s">
        <v>168</v>
      </c>
      <c r="D541" t="s">
        <v>169</v>
      </c>
      <c r="E541">
        <v>153023548</v>
      </c>
      <c r="F541" t="s">
        <v>426</v>
      </c>
      <c r="G541" t="s">
        <v>427</v>
      </c>
      <c r="H541" t="s">
        <v>79</v>
      </c>
      <c r="I541" t="s">
        <v>337</v>
      </c>
      <c r="J541">
        <v>4</v>
      </c>
      <c r="K541" s="5">
        <v>962.8</v>
      </c>
      <c r="L541" s="5">
        <v>958.28</v>
      </c>
      <c r="M541">
        <v>4.6946399999999999E-3</v>
      </c>
      <c r="N541" s="5">
        <v>4.5199999999999996</v>
      </c>
      <c r="O541" s="5">
        <v>1.1299999999999999</v>
      </c>
      <c r="P541">
        <v>0</v>
      </c>
      <c r="Q541" s="5">
        <v>0</v>
      </c>
      <c r="R541" s="5">
        <v>0</v>
      </c>
      <c r="S541" s="5">
        <v>239.57</v>
      </c>
    </row>
    <row r="542" spans="1:19">
      <c r="A542">
        <v>49</v>
      </c>
      <c r="B542" t="s">
        <v>174</v>
      </c>
      <c r="C542" t="s">
        <v>167</v>
      </c>
      <c r="D542" t="s">
        <v>169</v>
      </c>
      <c r="E542">
        <v>153023548</v>
      </c>
      <c r="F542" t="s">
        <v>428</v>
      </c>
      <c r="G542" t="s">
        <v>427</v>
      </c>
      <c r="H542" t="s">
        <v>370</v>
      </c>
      <c r="I542" t="s">
        <v>334</v>
      </c>
      <c r="J542">
        <v>4</v>
      </c>
      <c r="K542" s="5">
        <v>4545</v>
      </c>
      <c r="L542" s="5">
        <v>1780</v>
      </c>
      <c r="M542">
        <v>0.60836083600000002</v>
      </c>
      <c r="N542" s="5">
        <v>2765</v>
      </c>
      <c r="O542" s="5">
        <v>691.25</v>
      </c>
      <c r="P542">
        <v>0</v>
      </c>
      <c r="Q542" s="5">
        <v>0</v>
      </c>
      <c r="R542" s="5">
        <v>0</v>
      </c>
      <c r="S542" s="5">
        <v>445</v>
      </c>
    </row>
    <row r="543" spans="1:19">
      <c r="A543">
        <v>49</v>
      </c>
      <c r="B543" t="s">
        <v>174</v>
      </c>
      <c r="C543" t="s">
        <v>167</v>
      </c>
      <c r="D543" t="s">
        <v>169</v>
      </c>
      <c r="E543">
        <v>153023575</v>
      </c>
      <c r="F543" t="s">
        <v>428</v>
      </c>
      <c r="G543" t="s">
        <v>427</v>
      </c>
      <c r="H543" t="s">
        <v>370</v>
      </c>
      <c r="I543" t="s">
        <v>334</v>
      </c>
      <c r="J543">
        <v>4</v>
      </c>
      <c r="K543" s="5">
        <v>8243.2800000000007</v>
      </c>
      <c r="L543" s="5">
        <v>1780</v>
      </c>
      <c r="M543">
        <v>0.78406653599999998</v>
      </c>
      <c r="N543" s="5">
        <v>6463.28</v>
      </c>
      <c r="O543" s="5">
        <v>1615.82</v>
      </c>
      <c r="P543">
        <v>0</v>
      </c>
      <c r="Q543" s="5">
        <v>0</v>
      </c>
      <c r="R543" s="5">
        <v>0</v>
      </c>
      <c r="S543" s="5">
        <v>445</v>
      </c>
    </row>
    <row r="544" spans="1:19">
      <c r="A544">
        <v>49</v>
      </c>
      <c r="B544" t="s">
        <v>174</v>
      </c>
      <c r="C544" t="s">
        <v>167</v>
      </c>
      <c r="D544" t="s">
        <v>169</v>
      </c>
      <c r="E544">
        <v>153023575</v>
      </c>
      <c r="F544" t="s">
        <v>428</v>
      </c>
      <c r="G544" t="s">
        <v>427</v>
      </c>
      <c r="H544" t="s">
        <v>370</v>
      </c>
      <c r="I544" t="s">
        <v>334</v>
      </c>
      <c r="J544">
        <v>4</v>
      </c>
      <c r="K544" s="5">
        <v>6415.2</v>
      </c>
      <c r="L544" s="5">
        <v>1780</v>
      </c>
      <c r="M544">
        <v>0.72253398099999999</v>
      </c>
      <c r="N544" s="5">
        <v>4635.2</v>
      </c>
      <c r="O544" s="5">
        <v>1158.8</v>
      </c>
      <c r="P544">
        <v>0</v>
      </c>
      <c r="Q544" s="5">
        <v>0</v>
      </c>
      <c r="R544" s="5">
        <v>0</v>
      </c>
      <c r="S544" s="5">
        <v>445</v>
      </c>
    </row>
    <row r="545" spans="1:19">
      <c r="A545">
        <v>49</v>
      </c>
      <c r="B545" t="s">
        <v>174</v>
      </c>
      <c r="C545" t="s">
        <v>167</v>
      </c>
      <c r="D545" t="s">
        <v>169</v>
      </c>
      <c r="E545">
        <v>153023575</v>
      </c>
      <c r="F545" t="s">
        <v>428</v>
      </c>
      <c r="G545" t="s">
        <v>427</v>
      </c>
      <c r="H545" t="s">
        <v>370</v>
      </c>
      <c r="I545" t="s">
        <v>334</v>
      </c>
      <c r="J545">
        <v>4</v>
      </c>
      <c r="K545" s="5">
        <v>5939.52</v>
      </c>
      <c r="L545" s="5">
        <v>1780</v>
      </c>
      <c r="M545">
        <v>0.70031248300000004</v>
      </c>
      <c r="N545" s="5">
        <v>4159.5200000000004</v>
      </c>
      <c r="O545" s="5">
        <v>1039.8800000000001</v>
      </c>
      <c r="P545">
        <v>0</v>
      </c>
      <c r="Q545" s="5">
        <v>0</v>
      </c>
      <c r="R545" s="5">
        <v>0</v>
      </c>
      <c r="S545" s="5">
        <v>445</v>
      </c>
    </row>
    <row r="546" spans="1:19">
      <c r="A546">
        <v>49</v>
      </c>
      <c r="B546" t="s">
        <v>174</v>
      </c>
      <c r="C546" t="s">
        <v>167</v>
      </c>
      <c r="D546" t="s">
        <v>169</v>
      </c>
      <c r="E546">
        <v>153023575</v>
      </c>
      <c r="F546" t="s">
        <v>428</v>
      </c>
      <c r="G546" t="s">
        <v>427</v>
      </c>
      <c r="H546" t="s">
        <v>370</v>
      </c>
      <c r="I546" t="s">
        <v>334</v>
      </c>
      <c r="J546">
        <v>0</v>
      </c>
      <c r="L546" s="5">
        <v>0</v>
      </c>
      <c r="M546">
        <v>0</v>
      </c>
      <c r="N546" s="5">
        <v>0</v>
      </c>
      <c r="O546" s="5">
        <v>0</v>
      </c>
      <c r="P546">
        <v>4</v>
      </c>
      <c r="Q546" s="5">
        <v>1780</v>
      </c>
      <c r="R546" s="5">
        <v>3289.67</v>
      </c>
      <c r="S546" s="5">
        <v>445</v>
      </c>
    </row>
    <row r="547" spans="1:19">
      <c r="A547">
        <v>54</v>
      </c>
      <c r="B547" t="s">
        <v>52</v>
      </c>
      <c r="C547" t="s">
        <v>133</v>
      </c>
      <c r="D547" t="s">
        <v>53</v>
      </c>
      <c r="E547">
        <v>153023575</v>
      </c>
      <c r="F547" t="s">
        <v>429</v>
      </c>
      <c r="G547" t="s">
        <v>430</v>
      </c>
      <c r="H547" t="s">
        <v>100</v>
      </c>
      <c r="I547" t="s">
        <v>335</v>
      </c>
      <c r="J547">
        <v>2</v>
      </c>
      <c r="K547" s="5">
        <v>488.04</v>
      </c>
      <c r="L547" s="5">
        <v>288.42</v>
      </c>
      <c r="M547">
        <v>0.40902385000000002</v>
      </c>
      <c r="N547" s="5">
        <v>199.62</v>
      </c>
      <c r="O547" s="5">
        <v>99.81</v>
      </c>
      <c r="P547">
        <v>0</v>
      </c>
      <c r="Q547" s="5">
        <v>0</v>
      </c>
      <c r="R547" s="5">
        <v>0</v>
      </c>
      <c r="S547" s="5">
        <v>144.21</v>
      </c>
    </row>
    <row r="548" spans="1:19">
      <c r="A548">
        <v>54</v>
      </c>
      <c r="B548" t="s">
        <v>52</v>
      </c>
      <c r="C548" t="s">
        <v>133</v>
      </c>
      <c r="D548" t="s">
        <v>53</v>
      </c>
      <c r="E548">
        <v>153033494</v>
      </c>
      <c r="F548" t="s">
        <v>429</v>
      </c>
      <c r="G548" t="s">
        <v>430</v>
      </c>
      <c r="H548" t="s">
        <v>100</v>
      </c>
      <c r="I548" t="s">
        <v>337</v>
      </c>
      <c r="J548">
        <v>0</v>
      </c>
      <c r="L548" s="5">
        <v>0</v>
      </c>
      <c r="M548">
        <v>0</v>
      </c>
      <c r="N548" s="5">
        <v>0</v>
      </c>
      <c r="O548" s="5">
        <v>0</v>
      </c>
      <c r="P548">
        <v>4</v>
      </c>
      <c r="Q548" s="5">
        <v>603.12</v>
      </c>
      <c r="R548" s="5">
        <v>338.09</v>
      </c>
      <c r="S548" s="5">
        <v>150.78</v>
      </c>
    </row>
    <row r="549" spans="1:19">
      <c r="A549">
        <v>54</v>
      </c>
      <c r="B549" t="s">
        <v>52</v>
      </c>
      <c r="C549" t="s">
        <v>133</v>
      </c>
      <c r="D549" t="s">
        <v>53</v>
      </c>
      <c r="E549">
        <v>153033494</v>
      </c>
      <c r="F549" t="s">
        <v>429</v>
      </c>
      <c r="G549" t="s">
        <v>430</v>
      </c>
      <c r="H549" t="s">
        <v>100</v>
      </c>
      <c r="I549" t="s">
        <v>337</v>
      </c>
      <c r="J549">
        <v>0</v>
      </c>
      <c r="L549" s="5">
        <v>0</v>
      </c>
      <c r="M549">
        <v>0</v>
      </c>
      <c r="N549" s="5">
        <v>0</v>
      </c>
      <c r="O549" s="5">
        <v>0</v>
      </c>
      <c r="P549">
        <v>4</v>
      </c>
      <c r="Q549" s="5">
        <v>560</v>
      </c>
      <c r="R549" s="5">
        <v>219.68</v>
      </c>
      <c r="S549" s="5">
        <v>140</v>
      </c>
    </row>
    <row r="550" spans="1:19">
      <c r="A550">
        <v>55</v>
      </c>
      <c r="B550" t="s">
        <v>352</v>
      </c>
      <c r="C550" t="s">
        <v>358</v>
      </c>
      <c r="D550" t="s">
        <v>60</v>
      </c>
      <c r="E550">
        <v>153033494</v>
      </c>
      <c r="F550" t="s">
        <v>431</v>
      </c>
      <c r="G550" t="s">
        <v>432</v>
      </c>
      <c r="H550" t="s">
        <v>171</v>
      </c>
      <c r="I550" t="s">
        <v>334</v>
      </c>
      <c r="J550">
        <v>4</v>
      </c>
      <c r="K550" s="5">
        <v>1568.03</v>
      </c>
      <c r="L550" s="5">
        <v>1780</v>
      </c>
      <c r="M550">
        <v>-0.135182362</v>
      </c>
      <c r="N550" s="5">
        <v>-211.97</v>
      </c>
      <c r="O550" s="5">
        <v>-52.99</v>
      </c>
      <c r="P550">
        <v>0</v>
      </c>
      <c r="Q550" s="5">
        <v>0</v>
      </c>
      <c r="R550" s="5">
        <v>0</v>
      </c>
      <c r="S550" s="5">
        <v>445</v>
      </c>
    </row>
    <row r="551" spans="1:19">
      <c r="A551">
        <v>55</v>
      </c>
      <c r="B551" t="s">
        <v>352</v>
      </c>
      <c r="C551" t="s">
        <v>358</v>
      </c>
      <c r="D551" t="s">
        <v>60</v>
      </c>
      <c r="E551">
        <v>153023579</v>
      </c>
      <c r="F551" t="s">
        <v>431</v>
      </c>
      <c r="G551" t="s">
        <v>432</v>
      </c>
      <c r="H551" t="s">
        <v>171</v>
      </c>
      <c r="I551" t="s">
        <v>337</v>
      </c>
      <c r="J551">
        <v>4</v>
      </c>
      <c r="K551" s="5">
        <v>850.7</v>
      </c>
      <c r="L551" s="5">
        <v>620</v>
      </c>
      <c r="M551">
        <v>0.27118843300000001</v>
      </c>
      <c r="N551" s="5">
        <v>230.7</v>
      </c>
      <c r="O551" s="5">
        <v>57.68</v>
      </c>
      <c r="P551">
        <v>0</v>
      </c>
      <c r="Q551" s="5">
        <v>0</v>
      </c>
      <c r="R551" s="5">
        <v>0</v>
      </c>
      <c r="S551" s="5">
        <v>155</v>
      </c>
    </row>
    <row r="552" spans="1:19">
      <c r="A552">
        <v>55</v>
      </c>
      <c r="B552" t="s">
        <v>352</v>
      </c>
      <c r="C552" t="s">
        <v>358</v>
      </c>
      <c r="D552" t="s">
        <v>60</v>
      </c>
      <c r="E552">
        <v>153023579</v>
      </c>
      <c r="F552" t="s">
        <v>431</v>
      </c>
      <c r="G552" t="s">
        <v>432</v>
      </c>
      <c r="H552" t="s">
        <v>171</v>
      </c>
      <c r="I552" t="s">
        <v>333</v>
      </c>
      <c r="J552">
        <v>4</v>
      </c>
      <c r="K552" s="5">
        <v>1384.13</v>
      </c>
      <c r="L552" s="5">
        <v>1340</v>
      </c>
      <c r="M552">
        <v>3.1882843000000001E-2</v>
      </c>
      <c r="N552" s="5">
        <v>44.13</v>
      </c>
      <c r="O552" s="5">
        <v>11.03</v>
      </c>
      <c r="P552">
        <v>0</v>
      </c>
      <c r="Q552" s="5">
        <v>0</v>
      </c>
      <c r="R552" s="5">
        <v>0</v>
      </c>
      <c r="S552" s="5">
        <v>335</v>
      </c>
    </row>
    <row r="553" spans="1:19">
      <c r="A553">
        <v>55</v>
      </c>
      <c r="B553" t="s">
        <v>352</v>
      </c>
      <c r="C553" t="s">
        <v>358</v>
      </c>
      <c r="D553" t="s">
        <v>60</v>
      </c>
      <c r="E553">
        <v>153023579</v>
      </c>
      <c r="F553" t="s">
        <v>431</v>
      </c>
      <c r="G553" t="s">
        <v>432</v>
      </c>
      <c r="H553" t="s">
        <v>171</v>
      </c>
      <c r="I553" t="s">
        <v>334</v>
      </c>
      <c r="J553">
        <v>0</v>
      </c>
      <c r="L553" s="5">
        <v>0</v>
      </c>
      <c r="M553">
        <v>0</v>
      </c>
      <c r="N553" s="5">
        <v>0</v>
      </c>
      <c r="O553" s="5">
        <v>0</v>
      </c>
      <c r="P553">
        <v>4</v>
      </c>
      <c r="Q553" s="5">
        <v>1780</v>
      </c>
      <c r="R553" s="5">
        <v>492.82</v>
      </c>
      <c r="S553" s="5">
        <v>445</v>
      </c>
    </row>
    <row r="554" spans="1:19">
      <c r="A554">
        <v>55</v>
      </c>
      <c r="B554" t="s">
        <v>352</v>
      </c>
      <c r="C554" t="s">
        <v>358</v>
      </c>
      <c r="D554" t="s">
        <v>60</v>
      </c>
      <c r="E554">
        <v>153023579</v>
      </c>
      <c r="F554" t="s">
        <v>431</v>
      </c>
      <c r="G554" t="s">
        <v>432</v>
      </c>
      <c r="H554" t="s">
        <v>171</v>
      </c>
      <c r="I554" t="s">
        <v>334</v>
      </c>
      <c r="J554">
        <v>0</v>
      </c>
      <c r="L554" s="5">
        <v>0</v>
      </c>
      <c r="M554">
        <v>0</v>
      </c>
      <c r="N554" s="5">
        <v>0</v>
      </c>
      <c r="O554" s="5">
        <v>0</v>
      </c>
      <c r="P554">
        <v>4</v>
      </c>
      <c r="Q554" s="5">
        <v>1800</v>
      </c>
      <c r="R554" s="5">
        <v>492.82</v>
      </c>
      <c r="S554" s="5">
        <v>450</v>
      </c>
    </row>
    <row r="555" spans="1:19">
      <c r="A555">
        <v>55</v>
      </c>
      <c r="B555" t="s">
        <v>352</v>
      </c>
      <c r="C555" t="s">
        <v>358</v>
      </c>
      <c r="D555" t="s">
        <v>60</v>
      </c>
      <c r="E555">
        <v>153023579</v>
      </c>
      <c r="F555" t="s">
        <v>431</v>
      </c>
      <c r="G555" t="s">
        <v>432</v>
      </c>
      <c r="H555" t="s">
        <v>171</v>
      </c>
      <c r="I555" t="s">
        <v>334</v>
      </c>
      <c r="J555">
        <v>0</v>
      </c>
      <c r="L555" s="5">
        <v>0</v>
      </c>
      <c r="M555">
        <v>0</v>
      </c>
      <c r="N555" s="5">
        <v>0</v>
      </c>
      <c r="O555" s="5">
        <v>0</v>
      </c>
      <c r="P555">
        <v>4</v>
      </c>
      <c r="Q555" s="5">
        <v>1800</v>
      </c>
      <c r="R555" s="5">
        <v>492.82</v>
      </c>
      <c r="S555" s="5">
        <v>450</v>
      </c>
    </row>
    <row r="556" spans="1:19">
      <c r="A556">
        <v>56</v>
      </c>
      <c r="B556" t="s">
        <v>185</v>
      </c>
      <c r="C556" t="s">
        <v>58</v>
      </c>
      <c r="D556" t="s">
        <v>60</v>
      </c>
      <c r="E556">
        <v>153023579</v>
      </c>
      <c r="F556" t="s">
        <v>433</v>
      </c>
      <c r="G556" t="s">
        <v>432</v>
      </c>
      <c r="H556" t="s">
        <v>91</v>
      </c>
      <c r="I556" t="s">
        <v>334</v>
      </c>
      <c r="J556">
        <v>0</v>
      </c>
      <c r="L556" s="5">
        <v>0</v>
      </c>
      <c r="M556">
        <v>0</v>
      </c>
      <c r="N556" s="5">
        <v>0</v>
      </c>
      <c r="O556" s="5">
        <v>0</v>
      </c>
      <c r="P556">
        <v>4</v>
      </c>
      <c r="Q556" s="5">
        <v>2480</v>
      </c>
      <c r="R556" s="5">
        <v>2867.53</v>
      </c>
      <c r="S556" s="5">
        <v>620</v>
      </c>
    </row>
    <row r="557" spans="1:19">
      <c r="A557">
        <v>56</v>
      </c>
      <c r="B557" t="s">
        <v>185</v>
      </c>
      <c r="C557" t="s">
        <v>58</v>
      </c>
      <c r="D557" t="s">
        <v>60</v>
      </c>
      <c r="E557">
        <v>153023689</v>
      </c>
      <c r="F557" t="s">
        <v>433</v>
      </c>
      <c r="G557" t="s">
        <v>432</v>
      </c>
      <c r="H557" t="s">
        <v>91</v>
      </c>
      <c r="I557" t="s">
        <v>333</v>
      </c>
      <c r="J557">
        <v>4</v>
      </c>
      <c r="K557" s="5">
        <v>6742.52</v>
      </c>
      <c r="L557" s="5">
        <v>1860</v>
      </c>
      <c r="M557">
        <v>0.72413874899999997</v>
      </c>
      <c r="N557" s="5">
        <v>4882.5200000000004</v>
      </c>
      <c r="O557" s="5">
        <v>1220.6300000000001</v>
      </c>
      <c r="P557">
        <v>0</v>
      </c>
      <c r="Q557" s="5">
        <v>0</v>
      </c>
      <c r="R557" s="5">
        <v>0</v>
      </c>
      <c r="S557" s="5">
        <v>465</v>
      </c>
    </row>
    <row r="558" spans="1:19">
      <c r="A558">
        <v>56</v>
      </c>
      <c r="B558" t="s">
        <v>185</v>
      </c>
      <c r="C558" t="s">
        <v>58</v>
      </c>
      <c r="D558" t="s">
        <v>60</v>
      </c>
      <c r="E558">
        <v>153023689</v>
      </c>
      <c r="F558" t="s">
        <v>433</v>
      </c>
      <c r="G558" t="s">
        <v>432</v>
      </c>
      <c r="H558" t="s">
        <v>91</v>
      </c>
      <c r="I558" t="s">
        <v>334</v>
      </c>
      <c r="J558">
        <v>0</v>
      </c>
      <c r="L558" s="5">
        <v>0</v>
      </c>
      <c r="M558">
        <v>0</v>
      </c>
      <c r="N558" s="5">
        <v>0</v>
      </c>
      <c r="O558" s="5">
        <v>0</v>
      </c>
      <c r="P558">
        <v>4</v>
      </c>
      <c r="Q558" s="5">
        <v>2480</v>
      </c>
      <c r="R558" s="5">
        <v>2867.53</v>
      </c>
      <c r="S558" s="5">
        <v>620</v>
      </c>
    </row>
    <row r="559" spans="1:19">
      <c r="A559">
        <v>57</v>
      </c>
      <c r="B559" t="s">
        <v>94</v>
      </c>
      <c r="C559" t="s">
        <v>124</v>
      </c>
      <c r="D559" t="s">
        <v>95</v>
      </c>
      <c r="E559">
        <v>153023689</v>
      </c>
      <c r="F559" t="s">
        <v>434</v>
      </c>
      <c r="G559" t="s">
        <v>435</v>
      </c>
      <c r="H559" t="s">
        <v>74</v>
      </c>
      <c r="I559" t="s">
        <v>334</v>
      </c>
      <c r="J559">
        <v>4</v>
      </c>
      <c r="K559" s="5">
        <v>2890.2</v>
      </c>
      <c r="L559" s="5">
        <v>1780</v>
      </c>
      <c r="M559">
        <v>0.38412566599999998</v>
      </c>
      <c r="N559" s="5">
        <v>1110.2</v>
      </c>
      <c r="O559" s="5">
        <v>277.55</v>
      </c>
      <c r="P559">
        <v>0</v>
      </c>
      <c r="Q559" s="5">
        <v>0</v>
      </c>
      <c r="R559" s="5">
        <v>0</v>
      </c>
      <c r="S559" s="5">
        <v>445</v>
      </c>
    </row>
    <row r="560" spans="1:19">
      <c r="A560">
        <v>57</v>
      </c>
      <c r="B560" t="s">
        <v>94</v>
      </c>
      <c r="C560" t="s">
        <v>124</v>
      </c>
      <c r="D560" t="s">
        <v>95</v>
      </c>
      <c r="E560">
        <v>153021390</v>
      </c>
      <c r="F560" t="s">
        <v>434</v>
      </c>
      <c r="G560" t="s">
        <v>435</v>
      </c>
      <c r="H560" t="s">
        <v>74</v>
      </c>
      <c r="I560" t="s">
        <v>333</v>
      </c>
      <c r="J560">
        <v>4</v>
      </c>
      <c r="K560" s="5">
        <v>2513.7199999999998</v>
      </c>
      <c r="L560" s="5">
        <v>1340</v>
      </c>
      <c r="M560">
        <v>0.46692551199999999</v>
      </c>
      <c r="N560" s="5">
        <v>1173.72</v>
      </c>
      <c r="O560" s="5">
        <v>293.43</v>
      </c>
      <c r="P560">
        <v>0</v>
      </c>
      <c r="Q560" s="5">
        <v>0</v>
      </c>
      <c r="R560" s="5">
        <v>0</v>
      </c>
      <c r="S560" s="5">
        <v>335</v>
      </c>
    </row>
    <row r="561" spans="1:19">
      <c r="A561">
        <v>57</v>
      </c>
      <c r="B561" t="s">
        <v>94</v>
      </c>
      <c r="C561" t="s">
        <v>124</v>
      </c>
      <c r="D561" t="s">
        <v>95</v>
      </c>
      <c r="E561">
        <v>153021390</v>
      </c>
      <c r="F561" t="s">
        <v>434</v>
      </c>
      <c r="G561" t="s">
        <v>435</v>
      </c>
      <c r="H561" t="s">
        <v>74</v>
      </c>
      <c r="I561" t="s">
        <v>333</v>
      </c>
      <c r="J561">
        <v>1</v>
      </c>
      <c r="K561" s="5">
        <v>537.70000000000005</v>
      </c>
      <c r="L561" s="5">
        <v>335</v>
      </c>
      <c r="M561">
        <v>0.37697600799999997</v>
      </c>
      <c r="N561" s="5">
        <v>202.7</v>
      </c>
      <c r="O561" s="5">
        <v>202.7</v>
      </c>
      <c r="P561">
        <v>3</v>
      </c>
      <c r="Q561" s="5">
        <v>1005</v>
      </c>
      <c r="R561" s="5">
        <v>1389.28</v>
      </c>
      <c r="S561" s="5">
        <v>335</v>
      </c>
    </row>
    <row r="562" spans="1:19">
      <c r="A562">
        <v>57</v>
      </c>
      <c r="B562" t="s">
        <v>94</v>
      </c>
      <c r="C562" t="s">
        <v>124</v>
      </c>
      <c r="D562" t="s">
        <v>95</v>
      </c>
      <c r="E562">
        <v>153021390</v>
      </c>
      <c r="F562" t="s">
        <v>434</v>
      </c>
      <c r="G562" t="s">
        <v>435</v>
      </c>
      <c r="H562" t="s">
        <v>74</v>
      </c>
      <c r="I562" t="s">
        <v>334</v>
      </c>
      <c r="J562">
        <v>0</v>
      </c>
      <c r="L562" s="5">
        <v>0</v>
      </c>
      <c r="M562">
        <v>0</v>
      </c>
      <c r="N562" s="5">
        <v>0</v>
      </c>
      <c r="O562" s="5">
        <v>0</v>
      </c>
      <c r="P562">
        <v>4</v>
      </c>
      <c r="Q562" s="5">
        <v>1780</v>
      </c>
      <c r="R562" s="5">
        <v>739.31</v>
      </c>
      <c r="S562" s="5">
        <v>445</v>
      </c>
    </row>
    <row r="563" spans="1:19">
      <c r="A563">
        <v>57</v>
      </c>
      <c r="B563" t="s">
        <v>94</v>
      </c>
      <c r="C563" t="s">
        <v>124</v>
      </c>
      <c r="D563" t="s">
        <v>95</v>
      </c>
      <c r="E563">
        <v>153021390</v>
      </c>
      <c r="F563" t="s">
        <v>434</v>
      </c>
      <c r="G563" t="s">
        <v>435</v>
      </c>
      <c r="H563" t="s">
        <v>74</v>
      </c>
      <c r="I563" t="s">
        <v>334</v>
      </c>
      <c r="J563">
        <v>0</v>
      </c>
      <c r="L563" s="5">
        <v>0</v>
      </c>
      <c r="M563">
        <v>0</v>
      </c>
      <c r="N563" s="5">
        <v>0</v>
      </c>
      <c r="O563" s="5">
        <v>0</v>
      </c>
      <c r="P563">
        <v>4</v>
      </c>
      <c r="Q563" s="5">
        <v>1780</v>
      </c>
      <c r="R563" s="5">
        <v>1517.07</v>
      </c>
      <c r="S563" s="5">
        <v>445</v>
      </c>
    </row>
    <row r="564" spans="1:19">
      <c r="A564">
        <v>57</v>
      </c>
      <c r="B564" t="s">
        <v>94</v>
      </c>
      <c r="C564" t="s">
        <v>124</v>
      </c>
      <c r="D564" t="s">
        <v>95</v>
      </c>
      <c r="E564">
        <v>153021390</v>
      </c>
      <c r="F564" t="s">
        <v>434</v>
      </c>
      <c r="G564" t="s">
        <v>435</v>
      </c>
      <c r="H564" t="s">
        <v>74</v>
      </c>
      <c r="I564" t="s">
        <v>334</v>
      </c>
      <c r="J564">
        <v>0</v>
      </c>
      <c r="L564" s="5">
        <v>0</v>
      </c>
      <c r="M564">
        <v>0</v>
      </c>
      <c r="N564" s="5">
        <v>0</v>
      </c>
      <c r="O564" s="5">
        <v>0</v>
      </c>
      <c r="P564">
        <v>4</v>
      </c>
      <c r="Q564" s="5">
        <v>1780</v>
      </c>
      <c r="R564" s="5">
        <v>1674</v>
      </c>
      <c r="S564" s="5">
        <v>445</v>
      </c>
    </row>
    <row r="565" spans="1:19">
      <c r="A565">
        <v>57</v>
      </c>
      <c r="B565" t="s">
        <v>94</v>
      </c>
      <c r="C565" t="s">
        <v>124</v>
      </c>
      <c r="D565" t="s">
        <v>95</v>
      </c>
      <c r="E565">
        <v>153021390</v>
      </c>
      <c r="F565" t="s">
        <v>434</v>
      </c>
      <c r="G565" t="s">
        <v>435</v>
      </c>
      <c r="H565" t="s">
        <v>74</v>
      </c>
      <c r="I565" t="s">
        <v>334</v>
      </c>
      <c r="J565">
        <v>4</v>
      </c>
      <c r="K565" s="5">
        <v>2870.2</v>
      </c>
      <c r="L565" s="5">
        <v>1780</v>
      </c>
      <c r="M565">
        <v>0.37983415700000001</v>
      </c>
      <c r="N565" s="5">
        <v>1090.2</v>
      </c>
      <c r="O565" s="5">
        <v>272.55</v>
      </c>
      <c r="P565">
        <v>0</v>
      </c>
      <c r="Q565" s="5">
        <v>0</v>
      </c>
      <c r="R565" s="5">
        <v>0</v>
      </c>
      <c r="S565" s="5">
        <v>445</v>
      </c>
    </row>
    <row r="566" spans="1:19">
      <c r="A566">
        <v>57</v>
      </c>
      <c r="B566" t="s">
        <v>94</v>
      </c>
      <c r="C566" t="s">
        <v>124</v>
      </c>
      <c r="D566" t="s">
        <v>95</v>
      </c>
      <c r="E566">
        <v>153021390</v>
      </c>
      <c r="F566" t="s">
        <v>434</v>
      </c>
      <c r="G566" t="s">
        <v>435</v>
      </c>
      <c r="H566" t="s">
        <v>74</v>
      </c>
      <c r="I566" t="s">
        <v>343</v>
      </c>
      <c r="J566">
        <v>0</v>
      </c>
      <c r="L566" s="5">
        <v>0</v>
      </c>
      <c r="M566">
        <v>0</v>
      </c>
      <c r="N566" s="5">
        <v>0</v>
      </c>
      <c r="O566" s="5">
        <v>0</v>
      </c>
      <c r="P566">
        <v>2</v>
      </c>
      <c r="Q566" s="5">
        <v>800</v>
      </c>
      <c r="R566" s="5">
        <v>508.36</v>
      </c>
      <c r="S566" s="5">
        <v>400</v>
      </c>
    </row>
    <row r="567" spans="1:19">
      <c r="A567">
        <v>57</v>
      </c>
      <c r="B567" t="s">
        <v>94</v>
      </c>
      <c r="C567" t="s">
        <v>124</v>
      </c>
      <c r="D567" t="s">
        <v>95</v>
      </c>
      <c r="E567">
        <v>153021390</v>
      </c>
      <c r="F567" t="s">
        <v>434</v>
      </c>
      <c r="G567" t="s">
        <v>435</v>
      </c>
      <c r="H567" t="s">
        <v>74</v>
      </c>
      <c r="I567" t="s">
        <v>338</v>
      </c>
      <c r="J567">
        <v>0</v>
      </c>
      <c r="L567" s="5">
        <v>0</v>
      </c>
      <c r="M567">
        <v>0</v>
      </c>
      <c r="N567" s="5">
        <v>0</v>
      </c>
      <c r="O567" s="5">
        <v>0</v>
      </c>
      <c r="P567">
        <v>3</v>
      </c>
      <c r="Q567" s="5">
        <v>1500</v>
      </c>
      <c r="R567" s="5">
        <v>620.86</v>
      </c>
      <c r="S567" s="5">
        <v>500</v>
      </c>
    </row>
    <row r="568" spans="1:19">
      <c r="A568">
        <v>57</v>
      </c>
      <c r="B568" t="s">
        <v>94</v>
      </c>
      <c r="C568" t="s">
        <v>124</v>
      </c>
      <c r="D568" t="s">
        <v>95</v>
      </c>
      <c r="E568">
        <v>153021390</v>
      </c>
      <c r="F568" t="s">
        <v>434</v>
      </c>
      <c r="G568" t="s">
        <v>435</v>
      </c>
      <c r="H568" t="s">
        <v>74</v>
      </c>
      <c r="I568" t="s">
        <v>334</v>
      </c>
      <c r="J568">
        <v>0</v>
      </c>
      <c r="L568" s="5">
        <v>0</v>
      </c>
      <c r="M568">
        <v>0</v>
      </c>
      <c r="N568" s="5">
        <v>0</v>
      </c>
      <c r="O568" s="5">
        <v>0</v>
      </c>
      <c r="P568">
        <v>4</v>
      </c>
      <c r="Q568" s="5">
        <v>1780</v>
      </c>
      <c r="R568" s="5">
        <v>1365.6</v>
      </c>
      <c r="S568" s="5">
        <v>445</v>
      </c>
    </row>
    <row r="569" spans="1:19">
      <c r="A569">
        <v>58</v>
      </c>
      <c r="B569" t="s">
        <v>98</v>
      </c>
      <c r="C569" t="s">
        <v>93</v>
      </c>
      <c r="D569" t="s">
        <v>95</v>
      </c>
      <c r="E569">
        <v>153021390</v>
      </c>
      <c r="F569" t="s">
        <v>436</v>
      </c>
      <c r="G569" t="s">
        <v>435</v>
      </c>
      <c r="H569" t="s">
        <v>68</v>
      </c>
      <c r="I569" t="s">
        <v>334</v>
      </c>
      <c r="J569">
        <v>4</v>
      </c>
      <c r="K569" s="5">
        <v>3388.72</v>
      </c>
      <c r="L569" s="5">
        <v>1640</v>
      </c>
      <c r="M569">
        <v>0.51604145499999998</v>
      </c>
      <c r="N569" s="5">
        <v>1748.72</v>
      </c>
      <c r="O569" s="5">
        <v>437.18</v>
      </c>
      <c r="P569">
        <v>0</v>
      </c>
      <c r="Q569" s="5">
        <v>0</v>
      </c>
      <c r="R569" s="5">
        <v>0</v>
      </c>
      <c r="S569" s="5">
        <v>410</v>
      </c>
    </row>
    <row r="570" spans="1:19">
      <c r="A570">
        <v>58</v>
      </c>
      <c r="B570" t="s">
        <v>98</v>
      </c>
      <c r="C570" t="s">
        <v>93</v>
      </c>
      <c r="D570" t="s">
        <v>95</v>
      </c>
      <c r="E570">
        <v>153021563</v>
      </c>
      <c r="F570" t="s">
        <v>436</v>
      </c>
      <c r="G570" t="s">
        <v>435</v>
      </c>
      <c r="H570" t="s">
        <v>68</v>
      </c>
      <c r="I570" t="s">
        <v>337</v>
      </c>
      <c r="J570">
        <v>4</v>
      </c>
      <c r="K570" s="5">
        <v>1344.96</v>
      </c>
      <c r="L570" s="5">
        <v>560</v>
      </c>
      <c r="M570">
        <v>0.58363073899999995</v>
      </c>
      <c r="N570" s="5">
        <v>784.96</v>
      </c>
      <c r="O570" s="5">
        <v>196.24</v>
      </c>
      <c r="P570">
        <v>0</v>
      </c>
      <c r="Q570" s="5">
        <v>0</v>
      </c>
      <c r="R570" s="5">
        <v>0</v>
      </c>
      <c r="S570" s="5">
        <v>140</v>
      </c>
    </row>
    <row r="571" spans="1:19">
      <c r="A571">
        <v>58</v>
      </c>
      <c r="B571" t="s">
        <v>98</v>
      </c>
      <c r="C571" t="s">
        <v>93</v>
      </c>
      <c r="D571" t="s">
        <v>95</v>
      </c>
      <c r="E571">
        <v>153021563</v>
      </c>
      <c r="F571" t="s">
        <v>436</v>
      </c>
      <c r="G571" t="s">
        <v>435</v>
      </c>
      <c r="H571" t="s">
        <v>68</v>
      </c>
      <c r="I571" t="s">
        <v>334</v>
      </c>
      <c r="J571">
        <v>0</v>
      </c>
      <c r="L571" s="5">
        <v>0</v>
      </c>
      <c r="M571">
        <v>0</v>
      </c>
      <c r="N571" s="5">
        <v>0</v>
      </c>
      <c r="O571" s="5">
        <v>0</v>
      </c>
      <c r="P571">
        <v>4</v>
      </c>
      <c r="Q571" s="5">
        <v>2000</v>
      </c>
      <c r="R571" s="5">
        <v>681.97</v>
      </c>
      <c r="S571" s="5">
        <v>500</v>
      </c>
    </row>
    <row r="572" spans="1:19">
      <c r="A572">
        <v>58</v>
      </c>
      <c r="B572" t="s">
        <v>98</v>
      </c>
      <c r="C572" t="s">
        <v>93</v>
      </c>
      <c r="D572" t="s">
        <v>95</v>
      </c>
      <c r="E572">
        <v>153021563</v>
      </c>
      <c r="F572" t="s">
        <v>436</v>
      </c>
      <c r="G572" t="s">
        <v>435</v>
      </c>
      <c r="H572" t="s">
        <v>68</v>
      </c>
      <c r="I572" t="s">
        <v>337</v>
      </c>
      <c r="J572">
        <v>4</v>
      </c>
      <c r="K572" s="5">
        <v>1373.52</v>
      </c>
      <c r="L572" s="5">
        <v>560</v>
      </c>
      <c r="M572">
        <v>0.59228842599999998</v>
      </c>
      <c r="N572" s="5">
        <v>813.52</v>
      </c>
      <c r="O572" s="5">
        <v>203.38</v>
      </c>
      <c r="P572">
        <v>0</v>
      </c>
      <c r="Q572" s="5">
        <v>0</v>
      </c>
      <c r="R572" s="5">
        <v>0</v>
      </c>
      <c r="S572" s="5">
        <v>140</v>
      </c>
    </row>
    <row r="573" spans="1:19">
      <c r="A573">
        <v>58</v>
      </c>
      <c r="B573" t="s">
        <v>98</v>
      </c>
      <c r="C573" t="s">
        <v>93</v>
      </c>
      <c r="D573" t="s">
        <v>95</v>
      </c>
      <c r="E573">
        <v>153021563</v>
      </c>
      <c r="F573" t="s">
        <v>436</v>
      </c>
      <c r="G573" t="s">
        <v>435</v>
      </c>
      <c r="H573" t="s">
        <v>68</v>
      </c>
      <c r="I573" t="s">
        <v>337</v>
      </c>
      <c r="J573">
        <v>4</v>
      </c>
      <c r="K573" s="5">
        <v>1133.94</v>
      </c>
      <c r="L573" s="5">
        <v>560</v>
      </c>
      <c r="M573">
        <v>0.50614670900000003</v>
      </c>
      <c r="N573" s="5">
        <v>573.94000000000005</v>
      </c>
      <c r="O573" s="5">
        <v>143.47999999999999</v>
      </c>
      <c r="P573">
        <v>0</v>
      </c>
      <c r="Q573" s="5">
        <v>0</v>
      </c>
      <c r="R573" s="5">
        <v>0</v>
      </c>
      <c r="S573" s="5">
        <v>140</v>
      </c>
    </row>
    <row r="574" spans="1:19">
      <c r="A574">
        <v>58</v>
      </c>
      <c r="B574" t="s">
        <v>98</v>
      </c>
      <c r="C574" t="s">
        <v>93</v>
      </c>
      <c r="D574" t="s">
        <v>95</v>
      </c>
      <c r="E574">
        <v>153021563</v>
      </c>
      <c r="F574" t="s">
        <v>436</v>
      </c>
      <c r="G574" t="s">
        <v>435</v>
      </c>
      <c r="H574" t="s">
        <v>68</v>
      </c>
      <c r="I574" t="s">
        <v>334</v>
      </c>
      <c r="J574">
        <v>0</v>
      </c>
      <c r="L574" s="5">
        <v>0</v>
      </c>
      <c r="M574">
        <v>0</v>
      </c>
      <c r="N574" s="5">
        <v>0</v>
      </c>
      <c r="O574" s="5">
        <v>0</v>
      </c>
      <c r="P574">
        <v>4</v>
      </c>
      <c r="Q574" s="5">
        <v>1640</v>
      </c>
      <c r="R574" s="5">
        <v>1108.1500000000001</v>
      </c>
      <c r="S574" s="5">
        <v>410</v>
      </c>
    </row>
    <row r="575" spans="1:19">
      <c r="A575">
        <v>58</v>
      </c>
      <c r="B575" t="s">
        <v>98</v>
      </c>
      <c r="C575" t="s">
        <v>93</v>
      </c>
      <c r="D575" t="s">
        <v>95</v>
      </c>
      <c r="E575">
        <v>153021563</v>
      </c>
      <c r="F575" t="s">
        <v>436</v>
      </c>
      <c r="G575" t="s">
        <v>435</v>
      </c>
      <c r="H575" t="s">
        <v>68</v>
      </c>
      <c r="I575" t="s">
        <v>334</v>
      </c>
      <c r="J575">
        <v>4</v>
      </c>
      <c r="K575" s="5">
        <v>3279.52</v>
      </c>
      <c r="L575" s="5">
        <v>1640</v>
      </c>
      <c r="M575">
        <v>0.499926818</v>
      </c>
      <c r="N575" s="5">
        <v>1639.52</v>
      </c>
      <c r="O575" s="5">
        <v>409.88</v>
      </c>
      <c r="P575">
        <v>0</v>
      </c>
      <c r="Q575" s="5">
        <v>0</v>
      </c>
      <c r="R575" s="5">
        <v>0</v>
      </c>
      <c r="S575" s="5">
        <v>410</v>
      </c>
    </row>
    <row r="576" spans="1:19">
      <c r="A576">
        <v>58</v>
      </c>
      <c r="B576" t="s">
        <v>98</v>
      </c>
      <c r="C576" t="s">
        <v>93</v>
      </c>
      <c r="D576" t="s">
        <v>95</v>
      </c>
      <c r="E576">
        <v>153021563</v>
      </c>
      <c r="F576" t="s">
        <v>436</v>
      </c>
      <c r="G576" t="s">
        <v>435</v>
      </c>
      <c r="H576" t="s">
        <v>68</v>
      </c>
      <c r="I576" t="s">
        <v>334</v>
      </c>
      <c r="J576">
        <v>0</v>
      </c>
      <c r="L576" s="5">
        <v>0</v>
      </c>
      <c r="M576">
        <v>0</v>
      </c>
      <c r="N576" s="5">
        <v>0</v>
      </c>
      <c r="O576" s="5">
        <v>0</v>
      </c>
      <c r="P576">
        <v>4</v>
      </c>
      <c r="Q576" s="5">
        <v>1640</v>
      </c>
      <c r="R576" s="5">
        <v>1180.42</v>
      </c>
      <c r="S576" s="5">
        <v>410</v>
      </c>
    </row>
    <row r="577" spans="1:19">
      <c r="A577">
        <v>58</v>
      </c>
      <c r="B577" t="s">
        <v>98</v>
      </c>
      <c r="C577" t="s">
        <v>93</v>
      </c>
      <c r="D577" t="s">
        <v>95</v>
      </c>
      <c r="E577">
        <v>153021563</v>
      </c>
      <c r="F577" t="s">
        <v>436</v>
      </c>
      <c r="G577" t="s">
        <v>435</v>
      </c>
      <c r="H577" t="s">
        <v>68</v>
      </c>
      <c r="I577" t="s">
        <v>334</v>
      </c>
      <c r="J577">
        <v>0</v>
      </c>
      <c r="L577" s="5">
        <v>0</v>
      </c>
      <c r="M577">
        <v>0</v>
      </c>
      <c r="N577" s="5">
        <v>0</v>
      </c>
      <c r="O577" s="5">
        <v>0</v>
      </c>
      <c r="P577">
        <v>4</v>
      </c>
      <c r="Q577" s="5">
        <v>1640</v>
      </c>
      <c r="R577" s="5">
        <v>1035.8800000000001</v>
      </c>
      <c r="S577" s="5">
        <v>410</v>
      </c>
    </row>
    <row r="578" spans="1:19">
      <c r="A578">
        <v>58</v>
      </c>
      <c r="B578" t="s">
        <v>98</v>
      </c>
      <c r="C578" t="s">
        <v>93</v>
      </c>
      <c r="D578" t="s">
        <v>95</v>
      </c>
      <c r="E578">
        <v>153021563</v>
      </c>
      <c r="F578" t="s">
        <v>436</v>
      </c>
      <c r="G578" t="s">
        <v>435</v>
      </c>
      <c r="H578" t="s">
        <v>68</v>
      </c>
      <c r="I578" t="s">
        <v>333</v>
      </c>
      <c r="J578">
        <v>4</v>
      </c>
      <c r="K578" s="5">
        <v>2470.1999999999998</v>
      </c>
      <c r="L578" s="5">
        <v>1240</v>
      </c>
      <c r="M578">
        <v>0.49801635399999999</v>
      </c>
      <c r="N578" s="5">
        <v>1230.2</v>
      </c>
      <c r="O578" s="5">
        <v>307.55</v>
      </c>
      <c r="P578">
        <v>0</v>
      </c>
      <c r="Q578" s="5">
        <v>0</v>
      </c>
      <c r="R578" s="5">
        <v>0</v>
      </c>
      <c r="S578" s="5">
        <v>310</v>
      </c>
    </row>
    <row r="579" spans="1:19">
      <c r="A579">
        <v>58</v>
      </c>
      <c r="B579" t="s">
        <v>98</v>
      </c>
      <c r="C579" t="s">
        <v>93</v>
      </c>
      <c r="D579" t="s">
        <v>95</v>
      </c>
      <c r="E579">
        <v>153021563</v>
      </c>
      <c r="F579" t="s">
        <v>436</v>
      </c>
      <c r="G579" t="s">
        <v>435</v>
      </c>
      <c r="H579" t="s">
        <v>68</v>
      </c>
      <c r="I579" t="s">
        <v>333</v>
      </c>
      <c r="J579">
        <v>4</v>
      </c>
      <c r="K579" s="5">
        <v>1820.16</v>
      </c>
      <c r="L579" s="5">
        <v>1240</v>
      </c>
      <c r="M579">
        <v>0.31874120900000003</v>
      </c>
      <c r="N579" s="5">
        <v>580.16</v>
      </c>
      <c r="O579" s="5">
        <v>145.04</v>
      </c>
      <c r="P579">
        <v>0</v>
      </c>
      <c r="Q579" s="5">
        <v>0</v>
      </c>
      <c r="R579" s="5">
        <v>0</v>
      </c>
      <c r="S579" s="5">
        <v>310</v>
      </c>
    </row>
    <row r="580" spans="1:19">
      <c r="A580">
        <v>58</v>
      </c>
      <c r="B580" t="s">
        <v>98</v>
      </c>
      <c r="C580" t="s">
        <v>93</v>
      </c>
      <c r="D580" t="s">
        <v>95</v>
      </c>
      <c r="E580">
        <v>153021563</v>
      </c>
      <c r="F580" t="s">
        <v>436</v>
      </c>
      <c r="G580" t="s">
        <v>435</v>
      </c>
      <c r="H580" t="s">
        <v>68</v>
      </c>
      <c r="I580" t="s">
        <v>334</v>
      </c>
      <c r="J580">
        <v>0</v>
      </c>
      <c r="L580" s="5">
        <v>0</v>
      </c>
      <c r="M580">
        <v>0</v>
      </c>
      <c r="N580" s="5">
        <v>0</v>
      </c>
      <c r="O580" s="5">
        <v>0</v>
      </c>
      <c r="P580">
        <v>4</v>
      </c>
      <c r="Q580" s="5">
        <v>1640</v>
      </c>
      <c r="R580" s="5">
        <v>1252.69</v>
      </c>
      <c r="S580" s="5">
        <v>410</v>
      </c>
    </row>
    <row r="581" spans="1:19">
      <c r="A581">
        <v>58</v>
      </c>
      <c r="B581" t="s">
        <v>98</v>
      </c>
      <c r="C581" t="s">
        <v>93</v>
      </c>
      <c r="D581" t="s">
        <v>95</v>
      </c>
      <c r="E581">
        <v>153021563</v>
      </c>
      <c r="F581" t="s">
        <v>436</v>
      </c>
      <c r="G581" t="s">
        <v>435</v>
      </c>
      <c r="H581" t="s">
        <v>68</v>
      </c>
      <c r="I581" t="s">
        <v>337</v>
      </c>
      <c r="J581">
        <v>4</v>
      </c>
      <c r="K581" s="5">
        <v>1580.51</v>
      </c>
      <c r="L581" s="5">
        <v>560</v>
      </c>
      <c r="M581">
        <v>0.64568398800000004</v>
      </c>
      <c r="N581" s="5">
        <v>1020.51</v>
      </c>
      <c r="O581" s="5">
        <v>255.13</v>
      </c>
      <c r="P581">
        <v>0</v>
      </c>
      <c r="Q581" s="5">
        <v>0</v>
      </c>
      <c r="R581" s="5">
        <v>0</v>
      </c>
      <c r="S581" s="5">
        <v>140</v>
      </c>
    </row>
    <row r="582" spans="1:19">
      <c r="A582">
        <v>58</v>
      </c>
      <c r="B582" t="s">
        <v>98</v>
      </c>
      <c r="C582" t="s">
        <v>93</v>
      </c>
      <c r="D582" t="s">
        <v>95</v>
      </c>
      <c r="E582">
        <v>153021563</v>
      </c>
      <c r="F582" t="s">
        <v>436</v>
      </c>
      <c r="G582" t="s">
        <v>435</v>
      </c>
      <c r="H582" t="s">
        <v>68</v>
      </c>
      <c r="I582" t="s">
        <v>337</v>
      </c>
      <c r="J582">
        <v>4</v>
      </c>
      <c r="K582" s="5">
        <v>1415.16</v>
      </c>
      <c r="L582" s="5">
        <v>860</v>
      </c>
      <c r="M582">
        <v>0.39229486400000002</v>
      </c>
      <c r="N582" s="5">
        <v>555.16</v>
      </c>
      <c r="O582" s="5">
        <v>138.79</v>
      </c>
      <c r="P582">
        <v>0</v>
      </c>
      <c r="Q582" s="5">
        <v>0</v>
      </c>
      <c r="R582" s="5">
        <v>0</v>
      </c>
      <c r="S582" s="5">
        <v>215</v>
      </c>
    </row>
    <row r="583" spans="1:19">
      <c r="A583">
        <v>58</v>
      </c>
      <c r="B583" t="s">
        <v>98</v>
      </c>
      <c r="C583" t="s">
        <v>93</v>
      </c>
      <c r="D583" t="s">
        <v>95</v>
      </c>
      <c r="E583">
        <v>153021563</v>
      </c>
      <c r="F583" t="s">
        <v>436</v>
      </c>
      <c r="G583" t="s">
        <v>435</v>
      </c>
      <c r="H583" t="s">
        <v>68</v>
      </c>
      <c r="I583" t="s">
        <v>338</v>
      </c>
      <c r="J583">
        <v>0</v>
      </c>
      <c r="L583" s="5">
        <v>0</v>
      </c>
      <c r="M583">
        <v>0</v>
      </c>
      <c r="N583" s="5">
        <v>0</v>
      </c>
      <c r="O583" s="5">
        <v>0</v>
      </c>
      <c r="P583">
        <v>3</v>
      </c>
      <c r="Q583" s="5">
        <v>1500</v>
      </c>
      <c r="R583" s="5">
        <v>578.16999999999996</v>
      </c>
      <c r="S583" s="5">
        <v>500</v>
      </c>
    </row>
    <row r="584" spans="1:19">
      <c r="A584">
        <v>58</v>
      </c>
      <c r="B584" t="s">
        <v>98</v>
      </c>
      <c r="C584" t="s">
        <v>93</v>
      </c>
      <c r="D584" t="s">
        <v>95</v>
      </c>
      <c r="E584">
        <v>153021563</v>
      </c>
      <c r="F584" t="s">
        <v>436</v>
      </c>
      <c r="G584" t="s">
        <v>435</v>
      </c>
      <c r="H584" t="s">
        <v>68</v>
      </c>
      <c r="I584" t="s">
        <v>337</v>
      </c>
      <c r="J584">
        <v>4</v>
      </c>
      <c r="K584" s="5">
        <v>702.37</v>
      </c>
      <c r="L584" s="5">
        <v>560</v>
      </c>
      <c r="M584">
        <v>0.20269943100000001</v>
      </c>
      <c r="N584" s="5">
        <v>142.37</v>
      </c>
      <c r="O584" s="5">
        <v>35.590000000000003</v>
      </c>
      <c r="P584">
        <v>0</v>
      </c>
      <c r="Q584" s="5">
        <v>0</v>
      </c>
      <c r="R584" s="5">
        <v>0</v>
      </c>
      <c r="S584" s="5">
        <v>140</v>
      </c>
    </row>
    <row r="585" spans="1:19">
      <c r="A585">
        <v>58</v>
      </c>
      <c r="B585" t="s">
        <v>98</v>
      </c>
      <c r="C585" t="s">
        <v>93</v>
      </c>
      <c r="D585" t="s">
        <v>95</v>
      </c>
      <c r="E585">
        <v>153021563</v>
      </c>
      <c r="F585" t="s">
        <v>436</v>
      </c>
      <c r="G585" t="s">
        <v>435</v>
      </c>
      <c r="H585" t="s">
        <v>68</v>
      </c>
      <c r="I585" t="s">
        <v>334</v>
      </c>
      <c r="J585">
        <v>4</v>
      </c>
      <c r="K585" s="5">
        <v>2711.28</v>
      </c>
      <c r="L585" s="5">
        <v>1640</v>
      </c>
      <c r="M585">
        <v>0.39511964799999999</v>
      </c>
      <c r="N585" s="5">
        <v>1071.28</v>
      </c>
      <c r="O585" s="5">
        <v>267.82</v>
      </c>
      <c r="P585">
        <v>0</v>
      </c>
      <c r="Q585" s="5">
        <v>0</v>
      </c>
      <c r="R585" s="5">
        <v>0</v>
      </c>
      <c r="S585" s="5">
        <v>410</v>
      </c>
    </row>
    <row r="586" spans="1:19">
      <c r="A586">
        <v>58</v>
      </c>
      <c r="B586" t="s">
        <v>98</v>
      </c>
      <c r="C586" t="s">
        <v>93</v>
      </c>
      <c r="D586" t="s">
        <v>95</v>
      </c>
      <c r="E586">
        <v>153021563</v>
      </c>
      <c r="F586" t="s">
        <v>436</v>
      </c>
      <c r="G586" t="s">
        <v>435</v>
      </c>
      <c r="H586" t="s">
        <v>68</v>
      </c>
      <c r="I586" t="s">
        <v>334</v>
      </c>
      <c r="J586">
        <v>4</v>
      </c>
      <c r="K586" s="5">
        <v>2259.88</v>
      </c>
      <c r="L586" s="5">
        <v>1640</v>
      </c>
      <c r="M586">
        <v>0.27429775000000001</v>
      </c>
      <c r="N586" s="5">
        <v>619.88</v>
      </c>
      <c r="O586" s="5">
        <v>154.97</v>
      </c>
      <c r="P586">
        <v>0</v>
      </c>
      <c r="Q586" s="5">
        <v>0</v>
      </c>
      <c r="R586" s="5">
        <v>0</v>
      </c>
      <c r="S586" s="5">
        <v>410</v>
      </c>
    </row>
    <row r="587" spans="1:19">
      <c r="A587">
        <v>58</v>
      </c>
      <c r="B587" t="s">
        <v>98</v>
      </c>
      <c r="C587" t="s">
        <v>93</v>
      </c>
      <c r="D587" t="s">
        <v>95</v>
      </c>
      <c r="E587">
        <v>153021563</v>
      </c>
      <c r="F587" t="s">
        <v>436</v>
      </c>
      <c r="G587" t="s">
        <v>435</v>
      </c>
      <c r="H587" t="s">
        <v>68</v>
      </c>
      <c r="I587" t="s">
        <v>343</v>
      </c>
      <c r="J587">
        <v>0</v>
      </c>
      <c r="L587" s="5">
        <v>0</v>
      </c>
      <c r="M587">
        <v>0</v>
      </c>
      <c r="N587" s="5">
        <v>0</v>
      </c>
      <c r="O587" s="5">
        <v>0</v>
      </c>
      <c r="P587">
        <v>2</v>
      </c>
      <c r="Q587" s="5">
        <v>800</v>
      </c>
      <c r="R587" s="5">
        <v>425.9</v>
      </c>
      <c r="S587" s="5">
        <v>400</v>
      </c>
    </row>
    <row r="588" spans="1:19">
      <c r="A588">
        <v>58</v>
      </c>
      <c r="B588" t="s">
        <v>98</v>
      </c>
      <c r="C588" t="s">
        <v>93</v>
      </c>
      <c r="D588" t="s">
        <v>95</v>
      </c>
      <c r="E588">
        <v>153021563</v>
      </c>
      <c r="F588" t="s">
        <v>436</v>
      </c>
      <c r="G588" t="s">
        <v>435</v>
      </c>
      <c r="H588" t="s">
        <v>68</v>
      </c>
      <c r="I588" t="s">
        <v>337</v>
      </c>
      <c r="J588">
        <v>4</v>
      </c>
      <c r="K588" s="5">
        <v>1589</v>
      </c>
      <c r="L588" s="5">
        <v>560</v>
      </c>
      <c r="M588">
        <v>0.64757709200000002</v>
      </c>
      <c r="N588" s="5">
        <v>1029</v>
      </c>
      <c r="O588" s="5">
        <v>257.25</v>
      </c>
      <c r="P588">
        <v>0</v>
      </c>
      <c r="Q588" s="5">
        <v>0</v>
      </c>
      <c r="R588" s="5">
        <v>0</v>
      </c>
      <c r="S588" s="5">
        <v>140</v>
      </c>
    </row>
    <row r="589" spans="1:19">
      <c r="A589">
        <v>58</v>
      </c>
      <c r="B589" t="s">
        <v>98</v>
      </c>
      <c r="C589" t="s">
        <v>93</v>
      </c>
      <c r="D589" t="s">
        <v>95</v>
      </c>
      <c r="E589">
        <v>153021563</v>
      </c>
      <c r="F589" t="s">
        <v>436</v>
      </c>
      <c r="G589" t="s">
        <v>435</v>
      </c>
      <c r="H589" t="s">
        <v>68</v>
      </c>
      <c r="I589" t="s">
        <v>338</v>
      </c>
      <c r="J589">
        <v>0</v>
      </c>
      <c r="L589" s="5">
        <v>0</v>
      </c>
      <c r="M589">
        <v>0</v>
      </c>
      <c r="N589" s="5">
        <v>0</v>
      </c>
      <c r="O589" s="5">
        <v>0</v>
      </c>
      <c r="P589">
        <v>2</v>
      </c>
      <c r="Q589" s="5">
        <v>1000</v>
      </c>
      <c r="R589" s="5">
        <v>505.9</v>
      </c>
      <c r="S589" s="5">
        <v>500</v>
      </c>
    </row>
    <row r="590" spans="1:19">
      <c r="A590">
        <v>58</v>
      </c>
      <c r="B590" t="s">
        <v>98</v>
      </c>
      <c r="C590" t="s">
        <v>93</v>
      </c>
      <c r="D590" t="s">
        <v>95</v>
      </c>
      <c r="E590">
        <v>153021563</v>
      </c>
      <c r="F590" t="s">
        <v>436</v>
      </c>
      <c r="G590" t="s">
        <v>435</v>
      </c>
      <c r="H590" t="s">
        <v>68</v>
      </c>
      <c r="I590" t="s">
        <v>334</v>
      </c>
      <c r="J590">
        <v>4</v>
      </c>
      <c r="K590" s="5">
        <v>2832.19</v>
      </c>
      <c r="L590" s="5">
        <v>1640</v>
      </c>
      <c r="M590">
        <v>0.42094280299999998</v>
      </c>
      <c r="N590" s="5">
        <v>1192.19</v>
      </c>
      <c r="O590" s="5">
        <v>298.05</v>
      </c>
      <c r="P590">
        <v>0</v>
      </c>
      <c r="Q590" s="5">
        <v>0</v>
      </c>
      <c r="R590" s="5">
        <v>0</v>
      </c>
      <c r="S590" s="5">
        <v>410</v>
      </c>
    </row>
    <row r="591" spans="1:19">
      <c r="A591">
        <v>58</v>
      </c>
      <c r="B591" t="s">
        <v>98</v>
      </c>
      <c r="C591" t="s">
        <v>93</v>
      </c>
      <c r="D591" t="s">
        <v>95</v>
      </c>
      <c r="E591">
        <v>153021563</v>
      </c>
      <c r="F591" t="s">
        <v>436</v>
      </c>
      <c r="G591" t="s">
        <v>435</v>
      </c>
      <c r="H591" t="s">
        <v>68</v>
      </c>
      <c r="I591" t="s">
        <v>334</v>
      </c>
      <c r="J591">
        <v>0</v>
      </c>
      <c r="L591" s="5">
        <v>0</v>
      </c>
      <c r="M591">
        <v>0</v>
      </c>
      <c r="N591" s="5">
        <v>0</v>
      </c>
      <c r="O591" s="5">
        <v>0</v>
      </c>
      <c r="P591">
        <v>4</v>
      </c>
      <c r="Q591" s="5">
        <v>2000</v>
      </c>
      <c r="R591" s="5">
        <v>963.61</v>
      </c>
      <c r="S591" s="5">
        <v>500</v>
      </c>
    </row>
    <row r="592" spans="1:19">
      <c r="A592">
        <v>58</v>
      </c>
      <c r="B592" t="s">
        <v>98</v>
      </c>
      <c r="C592" t="s">
        <v>93</v>
      </c>
      <c r="D592" t="s">
        <v>95</v>
      </c>
      <c r="E592">
        <v>153021563</v>
      </c>
      <c r="F592" t="s">
        <v>436</v>
      </c>
      <c r="G592" t="s">
        <v>435</v>
      </c>
      <c r="H592" t="s">
        <v>68</v>
      </c>
      <c r="I592" t="s">
        <v>337</v>
      </c>
      <c r="J592">
        <v>4</v>
      </c>
      <c r="K592" s="5">
        <v>1064.8</v>
      </c>
      <c r="L592" s="5">
        <v>560</v>
      </c>
      <c r="M592">
        <v>0.474079639</v>
      </c>
      <c r="N592" s="5">
        <v>504.8</v>
      </c>
      <c r="O592" s="5">
        <v>126.2</v>
      </c>
      <c r="P592">
        <v>0</v>
      </c>
      <c r="Q592" s="5">
        <v>0</v>
      </c>
      <c r="R592" s="5">
        <v>0</v>
      </c>
      <c r="S592" s="5">
        <v>140</v>
      </c>
    </row>
    <row r="593" spans="1:19">
      <c r="A593">
        <v>58</v>
      </c>
      <c r="B593" t="s">
        <v>98</v>
      </c>
      <c r="C593" t="s">
        <v>93</v>
      </c>
      <c r="D593" t="s">
        <v>95</v>
      </c>
      <c r="E593">
        <v>153021563</v>
      </c>
      <c r="F593" t="s">
        <v>436</v>
      </c>
      <c r="G593" t="s">
        <v>435</v>
      </c>
      <c r="H593" t="s">
        <v>68</v>
      </c>
      <c r="I593" t="s">
        <v>334</v>
      </c>
      <c r="J593">
        <v>4</v>
      </c>
      <c r="K593" s="5">
        <v>2545.0500000000002</v>
      </c>
      <c r="L593" s="5">
        <v>1640</v>
      </c>
      <c r="M593">
        <v>0.35561187399999999</v>
      </c>
      <c r="N593" s="5">
        <v>905.05</v>
      </c>
      <c r="O593" s="5">
        <v>226.26</v>
      </c>
      <c r="P593">
        <v>0</v>
      </c>
      <c r="Q593" s="5">
        <v>0</v>
      </c>
      <c r="R593" s="5">
        <v>0</v>
      </c>
      <c r="S593" s="5">
        <v>410</v>
      </c>
    </row>
    <row r="594" spans="1:19">
      <c r="A594">
        <v>58</v>
      </c>
      <c r="B594" t="s">
        <v>98</v>
      </c>
      <c r="C594" t="s">
        <v>93</v>
      </c>
      <c r="D594" t="s">
        <v>95</v>
      </c>
      <c r="E594">
        <v>153021563</v>
      </c>
      <c r="F594" t="s">
        <v>436</v>
      </c>
      <c r="G594" t="s">
        <v>435</v>
      </c>
      <c r="H594" t="s">
        <v>68</v>
      </c>
      <c r="I594" t="s">
        <v>333</v>
      </c>
      <c r="J594">
        <v>0</v>
      </c>
      <c r="L594" s="5">
        <v>0</v>
      </c>
      <c r="M594">
        <v>0</v>
      </c>
      <c r="N594" s="5">
        <v>0</v>
      </c>
      <c r="O594" s="5">
        <v>0</v>
      </c>
      <c r="P594">
        <v>4</v>
      </c>
      <c r="Q594" s="5">
        <v>1600</v>
      </c>
      <c r="R594" s="5">
        <v>679.65</v>
      </c>
      <c r="S594" s="5">
        <v>400</v>
      </c>
    </row>
    <row r="595" spans="1:19">
      <c r="A595">
        <v>58</v>
      </c>
      <c r="B595" t="s">
        <v>98</v>
      </c>
      <c r="C595" t="s">
        <v>93</v>
      </c>
      <c r="D595" t="s">
        <v>95</v>
      </c>
      <c r="E595">
        <v>153021563</v>
      </c>
      <c r="F595" t="s">
        <v>436</v>
      </c>
      <c r="G595" t="s">
        <v>435</v>
      </c>
      <c r="H595" t="s">
        <v>68</v>
      </c>
      <c r="I595" t="s">
        <v>334</v>
      </c>
      <c r="J595">
        <v>4</v>
      </c>
      <c r="K595" s="5">
        <v>3063.08</v>
      </c>
      <c r="L595" s="5">
        <v>1640</v>
      </c>
      <c r="M595">
        <v>0.46459119500000001</v>
      </c>
      <c r="N595" s="5">
        <v>1423.08</v>
      </c>
      <c r="O595" s="5">
        <v>355.77</v>
      </c>
      <c r="P595">
        <v>0</v>
      </c>
      <c r="Q595" s="5">
        <v>0</v>
      </c>
      <c r="R595" s="5">
        <v>0</v>
      </c>
      <c r="S595" s="5">
        <v>410</v>
      </c>
    </row>
    <row r="596" spans="1:19">
      <c r="A596">
        <v>60</v>
      </c>
      <c r="B596" t="s">
        <v>177</v>
      </c>
      <c r="C596" t="s">
        <v>181</v>
      </c>
      <c r="D596" t="s">
        <v>178</v>
      </c>
      <c r="E596">
        <v>153021563</v>
      </c>
      <c r="F596" t="s">
        <v>437</v>
      </c>
      <c r="G596" t="s">
        <v>438</v>
      </c>
      <c r="H596" t="s">
        <v>140</v>
      </c>
      <c r="I596" t="s">
        <v>333</v>
      </c>
      <c r="J596">
        <v>0</v>
      </c>
      <c r="L596" s="5">
        <v>0</v>
      </c>
      <c r="M596">
        <v>0</v>
      </c>
      <c r="N596" s="5">
        <v>0</v>
      </c>
      <c r="O596" s="5">
        <v>0</v>
      </c>
      <c r="P596">
        <v>4</v>
      </c>
      <c r="Q596" s="5">
        <v>1860</v>
      </c>
      <c r="R596" s="5">
        <v>599.26</v>
      </c>
      <c r="S596" s="5">
        <v>465</v>
      </c>
    </row>
    <row r="597" spans="1:19">
      <c r="A597">
        <v>60</v>
      </c>
      <c r="B597" t="s">
        <v>177</v>
      </c>
      <c r="C597" t="s">
        <v>181</v>
      </c>
      <c r="D597" t="s">
        <v>178</v>
      </c>
      <c r="E597">
        <v>153020677</v>
      </c>
      <c r="F597" t="s">
        <v>437</v>
      </c>
      <c r="G597" t="s">
        <v>438</v>
      </c>
      <c r="H597" t="s">
        <v>140</v>
      </c>
      <c r="I597" t="s">
        <v>334</v>
      </c>
      <c r="J597">
        <v>4</v>
      </c>
      <c r="K597" s="5">
        <v>2537.7600000000002</v>
      </c>
      <c r="L597" s="5">
        <v>2480</v>
      </c>
      <c r="M597">
        <v>2.2760229E-2</v>
      </c>
      <c r="N597" s="5">
        <v>57.76</v>
      </c>
      <c r="O597" s="5">
        <v>14.44</v>
      </c>
      <c r="P597">
        <v>0</v>
      </c>
      <c r="Q597" s="5">
        <v>0</v>
      </c>
      <c r="R597" s="5">
        <v>0</v>
      </c>
      <c r="S597" s="5">
        <v>620</v>
      </c>
    </row>
    <row r="598" spans="1:19">
      <c r="A598">
        <v>60</v>
      </c>
      <c r="B598" t="s">
        <v>177</v>
      </c>
      <c r="C598" t="s">
        <v>181</v>
      </c>
      <c r="D598" t="s">
        <v>178</v>
      </c>
      <c r="E598">
        <v>153020677</v>
      </c>
      <c r="F598" t="s">
        <v>437</v>
      </c>
      <c r="G598" t="s">
        <v>438</v>
      </c>
      <c r="H598" t="s">
        <v>140</v>
      </c>
      <c r="I598" t="s">
        <v>334</v>
      </c>
      <c r="J598">
        <v>0</v>
      </c>
      <c r="L598" s="5">
        <v>0</v>
      </c>
      <c r="M598">
        <v>0</v>
      </c>
      <c r="N598" s="5">
        <v>0</v>
      </c>
      <c r="O598" s="5">
        <v>0</v>
      </c>
      <c r="P598">
        <v>4</v>
      </c>
      <c r="Q598" s="5">
        <v>2480</v>
      </c>
      <c r="R598" s="5">
        <v>1202.94</v>
      </c>
      <c r="S598" s="5">
        <v>620</v>
      </c>
    </row>
    <row r="599" spans="1:19">
      <c r="A599">
        <v>60</v>
      </c>
      <c r="B599" t="s">
        <v>177</v>
      </c>
      <c r="C599" t="s">
        <v>181</v>
      </c>
      <c r="D599" t="s">
        <v>178</v>
      </c>
      <c r="E599">
        <v>153020677</v>
      </c>
      <c r="F599" t="s">
        <v>437</v>
      </c>
      <c r="G599" t="s">
        <v>438</v>
      </c>
      <c r="H599" t="s">
        <v>140</v>
      </c>
      <c r="I599" t="s">
        <v>333</v>
      </c>
      <c r="J599">
        <v>4</v>
      </c>
      <c r="K599" s="5">
        <v>1546.48</v>
      </c>
      <c r="L599" s="5">
        <v>1520</v>
      </c>
      <c r="M599">
        <v>1.7122755999999999E-2</v>
      </c>
      <c r="N599" s="5">
        <v>26.48</v>
      </c>
      <c r="O599" s="5">
        <v>6.62</v>
      </c>
      <c r="P599">
        <v>0</v>
      </c>
      <c r="Q599" s="5">
        <v>0</v>
      </c>
      <c r="R599" s="5">
        <v>0</v>
      </c>
      <c r="S599" s="5">
        <v>380</v>
      </c>
    </row>
    <row r="600" spans="1:19">
      <c r="A600">
        <v>60</v>
      </c>
      <c r="B600" t="s">
        <v>177</v>
      </c>
      <c r="C600" t="s">
        <v>181</v>
      </c>
      <c r="D600" t="s">
        <v>178</v>
      </c>
      <c r="E600">
        <v>153020677</v>
      </c>
      <c r="F600" t="s">
        <v>437</v>
      </c>
      <c r="G600" t="s">
        <v>438</v>
      </c>
      <c r="H600" t="s">
        <v>140</v>
      </c>
      <c r="I600" t="s">
        <v>337</v>
      </c>
      <c r="J600">
        <v>4</v>
      </c>
      <c r="K600" s="5">
        <v>1308.72</v>
      </c>
      <c r="L600" s="5">
        <v>860</v>
      </c>
      <c r="M600">
        <v>0.34286936800000001</v>
      </c>
      <c r="N600" s="5">
        <v>448.72</v>
      </c>
      <c r="O600" s="5">
        <v>112.18</v>
      </c>
      <c r="P600">
        <v>0</v>
      </c>
      <c r="Q600" s="5">
        <v>0</v>
      </c>
      <c r="R600" s="5">
        <v>0</v>
      </c>
      <c r="S600" s="5">
        <v>215</v>
      </c>
    </row>
    <row r="601" spans="1:19">
      <c r="A601">
        <v>60</v>
      </c>
      <c r="B601" t="s">
        <v>177</v>
      </c>
      <c r="C601" t="s">
        <v>181</v>
      </c>
      <c r="D601" t="s">
        <v>178</v>
      </c>
      <c r="E601">
        <v>153020677</v>
      </c>
      <c r="F601" t="s">
        <v>437</v>
      </c>
      <c r="G601" t="s">
        <v>438</v>
      </c>
      <c r="H601" t="s">
        <v>140</v>
      </c>
      <c r="I601" t="s">
        <v>333</v>
      </c>
      <c r="J601">
        <v>4</v>
      </c>
      <c r="K601" s="5">
        <v>2694.34</v>
      </c>
      <c r="L601" s="5">
        <v>1860</v>
      </c>
      <c r="M601">
        <v>0.30966396200000001</v>
      </c>
      <c r="N601" s="5">
        <v>834.34</v>
      </c>
      <c r="O601" s="5">
        <v>208.58</v>
      </c>
      <c r="P601">
        <v>0</v>
      </c>
      <c r="Q601" s="5">
        <v>0</v>
      </c>
      <c r="R601" s="5">
        <v>0</v>
      </c>
      <c r="S601" s="5">
        <v>465</v>
      </c>
    </row>
    <row r="602" spans="1:19">
      <c r="A602">
        <v>60</v>
      </c>
      <c r="B602" t="s">
        <v>177</v>
      </c>
      <c r="C602" t="s">
        <v>181</v>
      </c>
      <c r="D602" t="s">
        <v>178</v>
      </c>
      <c r="E602">
        <v>153020677</v>
      </c>
      <c r="F602" t="s">
        <v>437</v>
      </c>
      <c r="G602" t="s">
        <v>438</v>
      </c>
      <c r="H602" t="s">
        <v>140</v>
      </c>
      <c r="I602" t="s">
        <v>334</v>
      </c>
      <c r="J602">
        <v>4</v>
      </c>
      <c r="K602" s="5">
        <v>1994.04</v>
      </c>
      <c r="L602" s="5">
        <v>1800</v>
      </c>
      <c r="M602">
        <v>9.7309983000000003E-2</v>
      </c>
      <c r="N602" s="5">
        <v>194.04</v>
      </c>
      <c r="O602" s="5">
        <v>48.51</v>
      </c>
      <c r="P602">
        <v>0</v>
      </c>
      <c r="Q602" s="5">
        <v>0</v>
      </c>
      <c r="R602" s="5">
        <v>0</v>
      </c>
      <c r="S602" s="5">
        <v>450</v>
      </c>
    </row>
    <row r="603" spans="1:19">
      <c r="A603">
        <v>60</v>
      </c>
      <c r="B603" t="s">
        <v>177</v>
      </c>
      <c r="C603" t="s">
        <v>181</v>
      </c>
      <c r="D603" t="s">
        <v>178</v>
      </c>
      <c r="E603">
        <v>153020677</v>
      </c>
      <c r="F603" t="s">
        <v>437</v>
      </c>
      <c r="G603" t="s">
        <v>438</v>
      </c>
      <c r="H603" t="s">
        <v>140</v>
      </c>
      <c r="I603" t="s">
        <v>333</v>
      </c>
      <c r="J603">
        <v>4</v>
      </c>
      <c r="K603" s="5">
        <v>2306.52</v>
      </c>
      <c r="L603" s="5">
        <v>1860</v>
      </c>
      <c r="M603">
        <v>0.193590343</v>
      </c>
      <c r="N603" s="5">
        <v>446.52</v>
      </c>
      <c r="O603" s="5">
        <v>111.63</v>
      </c>
      <c r="P603">
        <v>0</v>
      </c>
      <c r="Q603" s="5">
        <v>0</v>
      </c>
      <c r="R603" s="5">
        <v>0</v>
      </c>
      <c r="S603" s="5">
        <v>465</v>
      </c>
    </row>
    <row r="604" spans="1:19">
      <c r="A604">
        <v>60</v>
      </c>
      <c r="B604" t="s">
        <v>177</v>
      </c>
      <c r="C604" t="s">
        <v>181</v>
      </c>
      <c r="D604" t="s">
        <v>178</v>
      </c>
      <c r="E604">
        <v>153020677</v>
      </c>
      <c r="F604" t="s">
        <v>437</v>
      </c>
      <c r="G604" t="s">
        <v>438</v>
      </c>
      <c r="H604" t="s">
        <v>140</v>
      </c>
      <c r="I604" t="s">
        <v>334</v>
      </c>
      <c r="J604">
        <v>4</v>
      </c>
      <c r="K604" s="5">
        <v>1978.49</v>
      </c>
      <c r="L604" s="5">
        <v>1800</v>
      </c>
      <c r="M604">
        <v>9.0215265000000003E-2</v>
      </c>
      <c r="N604" s="5">
        <v>178.49</v>
      </c>
      <c r="O604" s="5">
        <v>44.62</v>
      </c>
      <c r="P604">
        <v>0</v>
      </c>
      <c r="Q604" s="5">
        <v>0</v>
      </c>
      <c r="R604" s="5">
        <v>0</v>
      </c>
      <c r="S604" s="5">
        <v>450</v>
      </c>
    </row>
    <row r="605" spans="1:19">
      <c r="A605">
        <v>60</v>
      </c>
      <c r="B605" t="s">
        <v>177</v>
      </c>
      <c r="C605" t="s">
        <v>181</v>
      </c>
      <c r="D605" t="s">
        <v>178</v>
      </c>
      <c r="E605">
        <v>153020677</v>
      </c>
      <c r="F605" t="s">
        <v>437</v>
      </c>
      <c r="G605" t="s">
        <v>438</v>
      </c>
      <c r="H605" t="s">
        <v>140</v>
      </c>
      <c r="I605" t="s">
        <v>334</v>
      </c>
      <c r="J605">
        <v>0</v>
      </c>
      <c r="L605" s="5">
        <v>0</v>
      </c>
      <c r="M605">
        <v>0</v>
      </c>
      <c r="N605" s="5">
        <v>0</v>
      </c>
      <c r="O605" s="5">
        <v>0</v>
      </c>
      <c r="P605">
        <v>4</v>
      </c>
      <c r="Q605" s="5">
        <v>1800</v>
      </c>
      <c r="R605" s="5">
        <v>769.62</v>
      </c>
      <c r="S605" s="5">
        <v>450</v>
      </c>
    </row>
    <row r="606" spans="1:19">
      <c r="A606">
        <v>60</v>
      </c>
      <c r="B606" t="s">
        <v>177</v>
      </c>
      <c r="C606" t="s">
        <v>181</v>
      </c>
      <c r="D606" t="s">
        <v>178</v>
      </c>
      <c r="E606">
        <v>153020677</v>
      </c>
      <c r="F606" t="s">
        <v>437</v>
      </c>
      <c r="G606" t="s">
        <v>438</v>
      </c>
      <c r="H606" t="s">
        <v>140</v>
      </c>
      <c r="I606" t="s">
        <v>334</v>
      </c>
      <c r="J606">
        <v>4</v>
      </c>
      <c r="K606" s="5">
        <v>1852.56</v>
      </c>
      <c r="L606" s="5">
        <v>1800</v>
      </c>
      <c r="M606">
        <v>2.8371549999999999E-2</v>
      </c>
      <c r="N606" s="5">
        <v>52.56</v>
      </c>
      <c r="O606" s="5">
        <v>13.14</v>
      </c>
      <c r="P606">
        <v>0</v>
      </c>
      <c r="Q606" s="5">
        <v>0</v>
      </c>
      <c r="R606" s="5">
        <v>0</v>
      </c>
      <c r="S606" s="5">
        <v>450</v>
      </c>
    </row>
    <row r="607" spans="1:19">
      <c r="A607">
        <v>60</v>
      </c>
      <c r="B607" t="s">
        <v>177</v>
      </c>
      <c r="C607" t="s">
        <v>181</v>
      </c>
      <c r="D607" t="s">
        <v>178</v>
      </c>
      <c r="E607">
        <v>153020677</v>
      </c>
      <c r="F607" t="s">
        <v>437</v>
      </c>
      <c r="G607" t="s">
        <v>438</v>
      </c>
      <c r="H607" t="s">
        <v>140</v>
      </c>
      <c r="I607" t="s">
        <v>334</v>
      </c>
      <c r="J607">
        <v>0</v>
      </c>
      <c r="L607" s="5">
        <v>0</v>
      </c>
      <c r="M607">
        <v>0</v>
      </c>
      <c r="N607" s="5">
        <v>0</v>
      </c>
      <c r="O607" s="5">
        <v>0</v>
      </c>
      <c r="P607">
        <v>4</v>
      </c>
      <c r="Q607" s="5">
        <v>1800</v>
      </c>
      <c r="R607" s="5">
        <v>998.19</v>
      </c>
      <c r="S607" s="5">
        <v>450</v>
      </c>
    </row>
    <row r="608" spans="1:19">
      <c r="A608">
        <v>60</v>
      </c>
      <c r="B608" t="s">
        <v>177</v>
      </c>
      <c r="C608" t="s">
        <v>181</v>
      </c>
      <c r="D608" t="s">
        <v>178</v>
      </c>
      <c r="E608">
        <v>153020677</v>
      </c>
      <c r="F608" t="s">
        <v>437</v>
      </c>
      <c r="G608" t="s">
        <v>438</v>
      </c>
      <c r="H608" t="s">
        <v>140</v>
      </c>
      <c r="I608" t="s">
        <v>334</v>
      </c>
      <c r="J608">
        <v>0</v>
      </c>
      <c r="L608" s="5">
        <v>0</v>
      </c>
      <c r="M608">
        <v>0</v>
      </c>
      <c r="N608" s="5">
        <v>0</v>
      </c>
      <c r="O608" s="5">
        <v>0</v>
      </c>
      <c r="P608">
        <v>4</v>
      </c>
      <c r="Q608" s="5">
        <v>1800</v>
      </c>
      <c r="R608" s="5">
        <v>1100.56</v>
      </c>
      <c r="S608" s="5">
        <v>450</v>
      </c>
    </row>
    <row r="609" spans="1:19">
      <c r="A609">
        <v>60</v>
      </c>
      <c r="B609" t="s">
        <v>177</v>
      </c>
      <c r="C609" t="s">
        <v>181</v>
      </c>
      <c r="D609" t="s">
        <v>178</v>
      </c>
      <c r="E609">
        <v>153020677</v>
      </c>
      <c r="F609" t="s">
        <v>437</v>
      </c>
      <c r="G609" t="s">
        <v>438</v>
      </c>
      <c r="H609" t="s">
        <v>140</v>
      </c>
      <c r="I609" t="s">
        <v>334</v>
      </c>
      <c r="J609">
        <v>4</v>
      </c>
      <c r="K609" s="5">
        <v>2680.81</v>
      </c>
      <c r="L609" s="5">
        <v>2480</v>
      </c>
      <c r="M609">
        <v>7.4906464000000006E-2</v>
      </c>
      <c r="N609" s="5">
        <v>200.81</v>
      </c>
      <c r="O609" s="5">
        <v>50.2</v>
      </c>
      <c r="P609">
        <v>0</v>
      </c>
      <c r="Q609" s="5">
        <v>0</v>
      </c>
      <c r="R609" s="5">
        <v>0</v>
      </c>
      <c r="S609" s="5">
        <v>620</v>
      </c>
    </row>
    <row r="610" spans="1:19">
      <c r="A610">
        <v>60</v>
      </c>
      <c r="B610" t="s">
        <v>177</v>
      </c>
      <c r="C610" t="s">
        <v>181</v>
      </c>
      <c r="D610" t="s">
        <v>178</v>
      </c>
      <c r="E610">
        <v>153020677</v>
      </c>
      <c r="F610" t="s">
        <v>437</v>
      </c>
      <c r="G610" t="s">
        <v>438</v>
      </c>
      <c r="H610" t="s">
        <v>140</v>
      </c>
      <c r="I610" t="s">
        <v>337</v>
      </c>
      <c r="J610">
        <v>4</v>
      </c>
      <c r="K610" s="5">
        <v>1077.4100000000001</v>
      </c>
      <c r="L610" s="5">
        <v>860</v>
      </c>
      <c r="M610">
        <v>0.201789476</v>
      </c>
      <c r="N610" s="5">
        <v>217.41</v>
      </c>
      <c r="O610" s="5">
        <v>54.35</v>
      </c>
      <c r="P610">
        <v>0</v>
      </c>
      <c r="Q610" s="5">
        <v>0</v>
      </c>
      <c r="R610" s="5">
        <v>0</v>
      </c>
      <c r="S610" s="5">
        <v>215</v>
      </c>
    </row>
    <row r="611" spans="1:19">
      <c r="A611">
        <v>60</v>
      </c>
      <c r="B611" t="s">
        <v>177</v>
      </c>
      <c r="C611" t="s">
        <v>181</v>
      </c>
      <c r="D611" t="s">
        <v>178</v>
      </c>
      <c r="E611">
        <v>153020677</v>
      </c>
      <c r="F611" t="s">
        <v>437</v>
      </c>
      <c r="G611" t="s">
        <v>438</v>
      </c>
      <c r="H611" t="s">
        <v>140</v>
      </c>
      <c r="I611" t="s">
        <v>334</v>
      </c>
      <c r="J611">
        <v>0</v>
      </c>
      <c r="L611" s="5">
        <v>0</v>
      </c>
      <c r="M611">
        <v>0</v>
      </c>
      <c r="N611" s="5">
        <v>0</v>
      </c>
      <c r="O611" s="5">
        <v>0</v>
      </c>
      <c r="P611">
        <v>4</v>
      </c>
      <c r="Q611" s="5">
        <v>1800</v>
      </c>
      <c r="R611" s="5">
        <v>563.08000000000004</v>
      </c>
      <c r="S611" s="5">
        <v>450</v>
      </c>
    </row>
    <row r="612" spans="1:19">
      <c r="A612">
        <v>60</v>
      </c>
      <c r="B612" t="s">
        <v>177</v>
      </c>
      <c r="C612" t="s">
        <v>181</v>
      </c>
      <c r="D612" t="s">
        <v>178</v>
      </c>
      <c r="E612">
        <v>153020677</v>
      </c>
      <c r="F612" t="s">
        <v>437</v>
      </c>
      <c r="G612" t="s">
        <v>438</v>
      </c>
      <c r="H612" t="s">
        <v>140</v>
      </c>
      <c r="I612" t="s">
        <v>337</v>
      </c>
      <c r="J612">
        <v>4</v>
      </c>
      <c r="K612" s="5">
        <v>1337.36</v>
      </c>
      <c r="L612" s="5">
        <v>860</v>
      </c>
      <c r="M612">
        <v>0.35694203499999999</v>
      </c>
      <c r="N612" s="5">
        <v>477.36</v>
      </c>
      <c r="O612" s="5">
        <v>119.34</v>
      </c>
      <c r="P612">
        <v>0</v>
      </c>
      <c r="Q612" s="5">
        <v>0</v>
      </c>
      <c r="R612" s="5">
        <v>0</v>
      </c>
      <c r="S612" s="5">
        <v>215</v>
      </c>
    </row>
    <row r="613" spans="1:19">
      <c r="A613">
        <v>60</v>
      </c>
      <c r="B613" t="s">
        <v>177</v>
      </c>
      <c r="C613" t="s">
        <v>181</v>
      </c>
      <c r="D613" t="s">
        <v>178</v>
      </c>
      <c r="E613">
        <v>153020677</v>
      </c>
      <c r="F613" t="s">
        <v>437</v>
      </c>
      <c r="G613" t="s">
        <v>438</v>
      </c>
      <c r="H613" t="s">
        <v>140</v>
      </c>
      <c r="I613" t="s">
        <v>333</v>
      </c>
      <c r="J613">
        <v>4</v>
      </c>
      <c r="K613" s="5">
        <v>1989.67</v>
      </c>
      <c r="L613" s="5">
        <v>1860</v>
      </c>
      <c r="M613">
        <v>6.5171611000000004E-2</v>
      </c>
      <c r="N613" s="5">
        <v>129.66999999999999</v>
      </c>
      <c r="O613" s="5">
        <v>32.42</v>
      </c>
      <c r="P613">
        <v>0</v>
      </c>
      <c r="Q613" s="5">
        <v>0</v>
      </c>
      <c r="R613" s="5">
        <v>0</v>
      </c>
      <c r="S613" s="5">
        <v>465</v>
      </c>
    </row>
    <row r="614" spans="1:19">
      <c r="A614">
        <v>59</v>
      </c>
      <c r="B614" t="s">
        <v>124</v>
      </c>
      <c r="C614" t="s">
        <v>180</v>
      </c>
      <c r="D614" t="s">
        <v>178</v>
      </c>
      <c r="E614">
        <v>153020677</v>
      </c>
      <c r="F614" t="s">
        <v>439</v>
      </c>
      <c r="G614" t="s">
        <v>438</v>
      </c>
      <c r="H614" t="s">
        <v>113</v>
      </c>
      <c r="I614" t="s">
        <v>333</v>
      </c>
      <c r="J614">
        <v>0</v>
      </c>
      <c r="L614" s="5">
        <v>0</v>
      </c>
      <c r="M614">
        <v>0</v>
      </c>
      <c r="N614" s="5">
        <v>0</v>
      </c>
      <c r="O614" s="5">
        <v>0</v>
      </c>
      <c r="P614">
        <v>4</v>
      </c>
      <c r="Q614" s="5">
        <v>3000</v>
      </c>
      <c r="R614" s="5">
        <v>2175.13</v>
      </c>
      <c r="S614" s="5">
        <v>750</v>
      </c>
    </row>
    <row r="615" spans="1:19">
      <c r="A615">
        <v>59</v>
      </c>
      <c r="B615" t="s">
        <v>124</v>
      </c>
      <c r="C615" t="s">
        <v>180</v>
      </c>
      <c r="D615" t="s">
        <v>178</v>
      </c>
      <c r="E615">
        <v>153020718</v>
      </c>
      <c r="F615" t="s">
        <v>439</v>
      </c>
      <c r="G615" t="s">
        <v>438</v>
      </c>
      <c r="H615" t="s">
        <v>113</v>
      </c>
      <c r="I615" t="s">
        <v>337</v>
      </c>
      <c r="J615">
        <v>4</v>
      </c>
      <c r="K615" s="5">
        <v>2949.12</v>
      </c>
      <c r="L615" s="5">
        <v>1360</v>
      </c>
      <c r="M615">
        <v>0.53884548600000004</v>
      </c>
      <c r="N615" s="5">
        <v>1589.12</v>
      </c>
      <c r="O615" s="5">
        <v>397.28</v>
      </c>
      <c r="P615">
        <v>0</v>
      </c>
      <c r="Q615" s="5">
        <v>0</v>
      </c>
      <c r="R615" s="5">
        <v>0</v>
      </c>
      <c r="S615" s="5">
        <v>340</v>
      </c>
    </row>
    <row r="616" spans="1:19">
      <c r="A616">
        <v>61</v>
      </c>
      <c r="B616" t="s">
        <v>125</v>
      </c>
      <c r="C616" t="s">
        <v>120</v>
      </c>
      <c r="D616" t="s">
        <v>122</v>
      </c>
      <c r="E616">
        <v>153020718</v>
      </c>
      <c r="F616" t="s">
        <v>440</v>
      </c>
      <c r="G616" t="s">
        <v>441</v>
      </c>
      <c r="H616" t="s">
        <v>127</v>
      </c>
      <c r="I616" t="s">
        <v>333</v>
      </c>
      <c r="J616">
        <v>0</v>
      </c>
      <c r="L616" s="5">
        <v>0</v>
      </c>
      <c r="M616">
        <v>0</v>
      </c>
      <c r="N616" s="5">
        <v>0</v>
      </c>
      <c r="O616" s="5">
        <v>0</v>
      </c>
      <c r="P616">
        <v>4</v>
      </c>
      <c r="Q616" s="5">
        <v>1240</v>
      </c>
      <c r="R616" s="5">
        <v>1929.16</v>
      </c>
      <c r="S616" s="5">
        <v>310</v>
      </c>
    </row>
    <row r="617" spans="1:19">
      <c r="A617">
        <v>61</v>
      </c>
      <c r="B617" t="s">
        <v>125</v>
      </c>
      <c r="C617" t="s">
        <v>120</v>
      </c>
      <c r="D617" t="s">
        <v>122</v>
      </c>
      <c r="E617">
        <v>153023735</v>
      </c>
      <c r="F617" t="s">
        <v>440</v>
      </c>
      <c r="G617" t="s">
        <v>441</v>
      </c>
      <c r="H617" t="s">
        <v>127</v>
      </c>
      <c r="I617" t="s">
        <v>333</v>
      </c>
      <c r="J617">
        <v>0</v>
      </c>
      <c r="L617" s="5">
        <v>0</v>
      </c>
      <c r="M617">
        <v>0</v>
      </c>
      <c r="N617" s="5">
        <v>0</v>
      </c>
      <c r="O617" s="5">
        <v>0</v>
      </c>
      <c r="P617">
        <v>4</v>
      </c>
      <c r="Q617" s="5">
        <v>1240</v>
      </c>
      <c r="R617" s="5">
        <v>1884.28</v>
      </c>
      <c r="S617" s="5">
        <v>310</v>
      </c>
    </row>
    <row r="618" spans="1:19">
      <c r="A618">
        <v>61</v>
      </c>
      <c r="B618" t="s">
        <v>125</v>
      </c>
      <c r="C618" t="s">
        <v>120</v>
      </c>
      <c r="D618" t="s">
        <v>122</v>
      </c>
      <c r="E618">
        <v>153023735</v>
      </c>
      <c r="F618" t="s">
        <v>440</v>
      </c>
      <c r="G618" t="s">
        <v>441</v>
      </c>
      <c r="H618" t="s">
        <v>127</v>
      </c>
      <c r="I618" t="s">
        <v>333</v>
      </c>
      <c r="J618">
        <v>4</v>
      </c>
      <c r="K618" s="5">
        <v>4553.0200000000004</v>
      </c>
      <c r="L618" s="5">
        <v>1240</v>
      </c>
      <c r="M618">
        <v>0.72765329300000003</v>
      </c>
      <c r="N618" s="5">
        <v>3313.02</v>
      </c>
      <c r="O618" s="5">
        <v>828.26</v>
      </c>
      <c r="P618">
        <v>0</v>
      </c>
      <c r="Q618" s="5">
        <v>0</v>
      </c>
      <c r="R618" s="5">
        <v>0</v>
      </c>
      <c r="S618" s="5">
        <v>310</v>
      </c>
    </row>
    <row r="619" spans="1:19">
      <c r="A619">
        <v>61</v>
      </c>
      <c r="B619" t="s">
        <v>125</v>
      </c>
      <c r="C619" t="s">
        <v>120</v>
      </c>
      <c r="D619" t="s">
        <v>122</v>
      </c>
      <c r="E619">
        <v>153023735</v>
      </c>
      <c r="F619" t="s">
        <v>440</v>
      </c>
      <c r="G619" t="s">
        <v>441</v>
      </c>
      <c r="H619" t="s">
        <v>127</v>
      </c>
      <c r="I619" t="s">
        <v>333</v>
      </c>
      <c r="J619">
        <v>4</v>
      </c>
      <c r="K619" s="5">
        <v>3629.11</v>
      </c>
      <c r="L619" s="5">
        <v>1240</v>
      </c>
      <c r="M619">
        <v>0.65831843000000001</v>
      </c>
      <c r="N619" s="5">
        <v>2389.11</v>
      </c>
      <c r="O619" s="5">
        <v>597.28</v>
      </c>
      <c r="P619">
        <v>0</v>
      </c>
      <c r="Q619" s="5">
        <v>0</v>
      </c>
      <c r="R619" s="5">
        <v>0</v>
      </c>
      <c r="S619" s="5">
        <v>310</v>
      </c>
    </row>
    <row r="620" spans="1:19">
      <c r="A620">
        <v>61</v>
      </c>
      <c r="B620" t="s">
        <v>125</v>
      </c>
      <c r="C620" t="s">
        <v>120</v>
      </c>
      <c r="D620" t="s">
        <v>122</v>
      </c>
      <c r="E620">
        <v>153023735</v>
      </c>
      <c r="F620" t="s">
        <v>440</v>
      </c>
      <c r="G620" t="s">
        <v>441</v>
      </c>
      <c r="H620" t="s">
        <v>127</v>
      </c>
      <c r="I620" t="s">
        <v>333</v>
      </c>
      <c r="J620">
        <v>4</v>
      </c>
      <c r="K620" s="5">
        <v>4435.43</v>
      </c>
      <c r="L620" s="5">
        <v>1240</v>
      </c>
      <c r="M620">
        <v>0.72043296800000001</v>
      </c>
      <c r="N620" s="5">
        <v>3195.43</v>
      </c>
      <c r="O620" s="5">
        <v>798.86</v>
      </c>
      <c r="P620">
        <v>0</v>
      </c>
      <c r="Q620" s="5">
        <v>0</v>
      </c>
      <c r="R620" s="5">
        <v>0</v>
      </c>
      <c r="S620" s="5">
        <v>310</v>
      </c>
    </row>
    <row r="621" spans="1:19">
      <c r="A621">
        <v>61</v>
      </c>
      <c r="B621" t="s">
        <v>125</v>
      </c>
      <c r="C621" t="s">
        <v>120</v>
      </c>
      <c r="D621" t="s">
        <v>122</v>
      </c>
      <c r="E621">
        <v>153023735</v>
      </c>
      <c r="F621" t="s">
        <v>440</v>
      </c>
      <c r="G621" t="s">
        <v>441</v>
      </c>
      <c r="H621" t="s">
        <v>127</v>
      </c>
      <c r="I621" t="s">
        <v>333</v>
      </c>
      <c r="J621">
        <v>0</v>
      </c>
      <c r="L621" s="5">
        <v>0</v>
      </c>
      <c r="M621">
        <v>0</v>
      </c>
      <c r="N621" s="5">
        <v>0</v>
      </c>
      <c r="O621" s="5">
        <v>0</v>
      </c>
      <c r="P621">
        <v>4</v>
      </c>
      <c r="Q621" s="5">
        <v>1240</v>
      </c>
      <c r="R621" s="5">
        <v>1031.4100000000001</v>
      </c>
      <c r="S621" s="5">
        <v>310</v>
      </c>
    </row>
    <row r="622" spans="1:19">
      <c r="A622">
        <v>61</v>
      </c>
      <c r="B622" t="s">
        <v>125</v>
      </c>
      <c r="C622" t="s">
        <v>120</v>
      </c>
      <c r="D622" t="s">
        <v>122</v>
      </c>
      <c r="E622">
        <v>153023735</v>
      </c>
      <c r="F622" t="s">
        <v>440</v>
      </c>
      <c r="G622" t="s">
        <v>441</v>
      </c>
      <c r="H622" t="s">
        <v>127</v>
      </c>
      <c r="I622" t="s">
        <v>334</v>
      </c>
      <c r="J622">
        <v>4</v>
      </c>
      <c r="K622" s="5">
        <v>5796.34</v>
      </c>
      <c r="L622" s="5">
        <v>1640</v>
      </c>
      <c r="M622">
        <v>0.71706283599999998</v>
      </c>
      <c r="N622" s="5">
        <v>4156.34</v>
      </c>
      <c r="O622" s="5">
        <v>1039.08</v>
      </c>
      <c r="P622">
        <v>0</v>
      </c>
      <c r="Q622" s="5">
        <v>0</v>
      </c>
      <c r="R622" s="5">
        <v>0</v>
      </c>
      <c r="S622" s="5">
        <v>410</v>
      </c>
    </row>
    <row r="623" spans="1:19">
      <c r="A623">
        <v>61</v>
      </c>
      <c r="B623" t="s">
        <v>125</v>
      </c>
      <c r="C623" t="s">
        <v>120</v>
      </c>
      <c r="D623" t="s">
        <v>122</v>
      </c>
      <c r="E623">
        <v>153023735</v>
      </c>
      <c r="F623" t="s">
        <v>440</v>
      </c>
      <c r="G623" t="s">
        <v>441</v>
      </c>
      <c r="H623" t="s">
        <v>127</v>
      </c>
      <c r="I623" t="s">
        <v>333</v>
      </c>
      <c r="J623">
        <v>4</v>
      </c>
      <c r="K623" s="5">
        <v>4220.5200000000004</v>
      </c>
      <c r="L623" s="5">
        <v>1240</v>
      </c>
      <c r="M623">
        <v>0.70619734000000001</v>
      </c>
      <c r="N623" s="5">
        <v>2980.52</v>
      </c>
      <c r="O623" s="5">
        <v>745.13</v>
      </c>
      <c r="P623">
        <v>0</v>
      </c>
      <c r="Q623" s="5">
        <v>0</v>
      </c>
      <c r="R623" s="5">
        <v>0</v>
      </c>
      <c r="S623" s="5">
        <v>310</v>
      </c>
    </row>
    <row r="624" spans="1:19">
      <c r="A624">
        <v>61</v>
      </c>
      <c r="B624" t="s">
        <v>125</v>
      </c>
      <c r="C624" t="s">
        <v>120</v>
      </c>
      <c r="D624" t="s">
        <v>122</v>
      </c>
      <c r="E624">
        <v>153023735</v>
      </c>
      <c r="F624" t="s">
        <v>440</v>
      </c>
      <c r="G624" t="s">
        <v>441</v>
      </c>
      <c r="H624" t="s">
        <v>127</v>
      </c>
      <c r="I624" t="s">
        <v>334</v>
      </c>
      <c r="J624">
        <v>4</v>
      </c>
      <c r="K624" s="5">
        <v>6074.1</v>
      </c>
      <c r="L624" s="5">
        <v>1640</v>
      </c>
      <c r="M624">
        <v>0.73000115200000004</v>
      </c>
      <c r="N624" s="5">
        <v>4434.1000000000004</v>
      </c>
      <c r="O624" s="5">
        <v>1108.52</v>
      </c>
      <c r="P624">
        <v>0</v>
      </c>
      <c r="Q624" s="5">
        <v>0</v>
      </c>
      <c r="R624" s="5">
        <v>0</v>
      </c>
      <c r="S624" s="5">
        <v>410</v>
      </c>
    </row>
    <row r="625" spans="1:19">
      <c r="A625">
        <v>61</v>
      </c>
      <c r="B625" t="s">
        <v>125</v>
      </c>
      <c r="C625" t="s">
        <v>120</v>
      </c>
      <c r="D625" t="s">
        <v>122</v>
      </c>
      <c r="E625">
        <v>153023735</v>
      </c>
      <c r="F625" t="s">
        <v>440</v>
      </c>
      <c r="G625" t="s">
        <v>441</v>
      </c>
      <c r="H625" t="s">
        <v>127</v>
      </c>
      <c r="I625" t="s">
        <v>333</v>
      </c>
      <c r="J625">
        <v>4</v>
      </c>
      <c r="K625" s="5">
        <v>3732.04</v>
      </c>
      <c r="L625" s="5">
        <v>1240</v>
      </c>
      <c r="M625">
        <v>0.66774203899999995</v>
      </c>
      <c r="N625" s="5">
        <v>2492.04</v>
      </c>
      <c r="O625" s="5">
        <v>623.01</v>
      </c>
      <c r="P625">
        <v>0</v>
      </c>
      <c r="Q625" s="5">
        <v>0</v>
      </c>
      <c r="R625" s="5">
        <v>0</v>
      </c>
      <c r="S625" s="5">
        <v>310</v>
      </c>
    </row>
    <row r="626" spans="1:19">
      <c r="A626">
        <v>61</v>
      </c>
      <c r="B626" t="s">
        <v>125</v>
      </c>
      <c r="C626" t="s">
        <v>120</v>
      </c>
      <c r="D626" t="s">
        <v>122</v>
      </c>
      <c r="E626">
        <v>153023735</v>
      </c>
      <c r="F626" t="s">
        <v>440</v>
      </c>
      <c r="G626" t="s">
        <v>441</v>
      </c>
      <c r="H626" t="s">
        <v>127</v>
      </c>
      <c r="I626" t="s">
        <v>333</v>
      </c>
      <c r="J626">
        <v>0</v>
      </c>
      <c r="L626" s="5">
        <v>0</v>
      </c>
      <c r="M626">
        <v>0</v>
      </c>
      <c r="N626" s="5">
        <v>0</v>
      </c>
      <c r="O626" s="5">
        <v>0</v>
      </c>
      <c r="P626">
        <v>4</v>
      </c>
      <c r="Q626" s="5">
        <v>1240</v>
      </c>
      <c r="R626" s="5">
        <v>1076.3</v>
      </c>
      <c r="S626" s="5">
        <v>310</v>
      </c>
    </row>
    <row r="627" spans="1:19">
      <c r="A627">
        <v>61</v>
      </c>
      <c r="B627" t="s">
        <v>125</v>
      </c>
      <c r="C627" t="s">
        <v>120</v>
      </c>
      <c r="D627" t="s">
        <v>122</v>
      </c>
      <c r="E627">
        <v>153023735</v>
      </c>
      <c r="F627" t="s">
        <v>440</v>
      </c>
      <c r="G627" t="s">
        <v>441</v>
      </c>
      <c r="H627" t="s">
        <v>127</v>
      </c>
      <c r="I627" t="s">
        <v>333</v>
      </c>
      <c r="J627">
        <v>4</v>
      </c>
      <c r="K627" s="5">
        <v>4197.5600000000004</v>
      </c>
      <c r="L627" s="5">
        <v>1240</v>
      </c>
      <c r="M627">
        <v>0.70459028499999998</v>
      </c>
      <c r="N627" s="5">
        <v>2957.56</v>
      </c>
      <c r="O627" s="5">
        <v>739.39</v>
      </c>
      <c r="P627">
        <v>0</v>
      </c>
      <c r="Q627" s="5">
        <v>0</v>
      </c>
      <c r="R627" s="5">
        <v>0</v>
      </c>
      <c r="S627" s="5">
        <v>310</v>
      </c>
    </row>
    <row r="628" spans="1:19">
      <c r="A628">
        <v>61</v>
      </c>
      <c r="B628" t="s">
        <v>125</v>
      </c>
      <c r="C628" t="s">
        <v>120</v>
      </c>
      <c r="D628" t="s">
        <v>122</v>
      </c>
      <c r="E628">
        <v>153023735</v>
      </c>
      <c r="F628" t="s">
        <v>440</v>
      </c>
      <c r="G628" t="s">
        <v>441</v>
      </c>
      <c r="H628" t="s">
        <v>127</v>
      </c>
      <c r="I628" t="s">
        <v>333</v>
      </c>
      <c r="J628">
        <v>4</v>
      </c>
      <c r="K628" s="5">
        <v>4239.32</v>
      </c>
      <c r="L628" s="5">
        <v>1240</v>
      </c>
      <c r="M628">
        <v>0.70750025900000002</v>
      </c>
      <c r="N628" s="5">
        <v>2999.32</v>
      </c>
      <c r="O628" s="5">
        <v>749.83</v>
      </c>
      <c r="P628">
        <v>0</v>
      </c>
      <c r="Q628" s="5">
        <v>0</v>
      </c>
      <c r="R628" s="5">
        <v>0</v>
      </c>
      <c r="S628" s="5">
        <v>310</v>
      </c>
    </row>
    <row r="629" spans="1:19">
      <c r="A629">
        <v>61</v>
      </c>
      <c r="B629" t="s">
        <v>125</v>
      </c>
      <c r="C629" t="s">
        <v>120</v>
      </c>
      <c r="D629" t="s">
        <v>122</v>
      </c>
      <c r="E629">
        <v>153023735</v>
      </c>
      <c r="F629" t="s">
        <v>440</v>
      </c>
      <c r="G629" t="s">
        <v>441</v>
      </c>
      <c r="H629" t="s">
        <v>127</v>
      </c>
      <c r="I629" t="s">
        <v>333</v>
      </c>
      <c r="J629">
        <v>4</v>
      </c>
      <c r="K629" s="5">
        <v>3617.52</v>
      </c>
      <c r="L629" s="5">
        <v>1240</v>
      </c>
      <c r="M629">
        <v>0.65722373300000003</v>
      </c>
      <c r="N629" s="5">
        <v>2377.52</v>
      </c>
      <c r="O629" s="5">
        <v>594.38</v>
      </c>
      <c r="P629">
        <v>0</v>
      </c>
      <c r="Q629" s="5">
        <v>0</v>
      </c>
      <c r="R629" s="5">
        <v>0</v>
      </c>
      <c r="S629" s="5">
        <v>310</v>
      </c>
    </row>
    <row r="630" spans="1:19">
      <c r="A630">
        <v>62</v>
      </c>
      <c r="B630" t="s">
        <v>121</v>
      </c>
      <c r="C630" t="s">
        <v>124</v>
      </c>
      <c r="D630" t="s">
        <v>122</v>
      </c>
      <c r="E630">
        <v>153023735</v>
      </c>
      <c r="F630" t="s">
        <v>442</v>
      </c>
      <c r="G630" t="s">
        <v>441</v>
      </c>
      <c r="H630" t="s">
        <v>146</v>
      </c>
      <c r="I630" t="s">
        <v>334</v>
      </c>
      <c r="J630">
        <v>0</v>
      </c>
      <c r="L630" s="5">
        <v>0</v>
      </c>
      <c r="M630">
        <v>0</v>
      </c>
      <c r="N630" s="5">
        <v>0</v>
      </c>
      <c r="O630" s="5">
        <v>0</v>
      </c>
      <c r="P630">
        <v>4</v>
      </c>
      <c r="Q630" s="5">
        <v>1800</v>
      </c>
      <c r="R630" s="5">
        <v>777.82</v>
      </c>
      <c r="S630" s="5">
        <v>450</v>
      </c>
    </row>
    <row r="631" spans="1:19">
      <c r="A631">
        <v>62</v>
      </c>
      <c r="B631" t="s">
        <v>121</v>
      </c>
      <c r="C631" t="s">
        <v>124</v>
      </c>
      <c r="D631" t="s">
        <v>122</v>
      </c>
      <c r="E631">
        <v>153023734</v>
      </c>
      <c r="F631" t="s">
        <v>442</v>
      </c>
      <c r="G631" t="s">
        <v>441</v>
      </c>
      <c r="H631" t="s">
        <v>146</v>
      </c>
      <c r="I631" t="s">
        <v>343</v>
      </c>
      <c r="J631">
        <v>0</v>
      </c>
      <c r="L631" s="5">
        <v>0</v>
      </c>
      <c r="M631">
        <v>0</v>
      </c>
      <c r="N631" s="5">
        <v>0</v>
      </c>
      <c r="O631" s="5">
        <v>0</v>
      </c>
      <c r="P631">
        <v>2</v>
      </c>
      <c r="Q631" s="5">
        <v>760</v>
      </c>
      <c r="R631" s="5">
        <v>911.34</v>
      </c>
      <c r="S631" s="5">
        <v>380</v>
      </c>
    </row>
    <row r="632" spans="1:19">
      <c r="A632">
        <v>62</v>
      </c>
      <c r="B632" t="s">
        <v>121</v>
      </c>
      <c r="C632" t="s">
        <v>124</v>
      </c>
      <c r="D632" t="s">
        <v>122</v>
      </c>
      <c r="E632">
        <v>153023734</v>
      </c>
      <c r="F632" t="s">
        <v>442</v>
      </c>
      <c r="G632" t="s">
        <v>441</v>
      </c>
      <c r="H632" t="s">
        <v>146</v>
      </c>
      <c r="I632" t="s">
        <v>338</v>
      </c>
      <c r="J632">
        <v>0</v>
      </c>
      <c r="L632" s="5">
        <v>0</v>
      </c>
      <c r="M632">
        <v>0</v>
      </c>
      <c r="N632" s="5">
        <v>0</v>
      </c>
      <c r="O632" s="5">
        <v>0</v>
      </c>
      <c r="P632">
        <v>3</v>
      </c>
      <c r="Q632" s="5">
        <v>1350</v>
      </c>
      <c r="R632" s="5">
        <v>717.3</v>
      </c>
      <c r="S632" s="5">
        <v>450</v>
      </c>
    </row>
    <row r="633" spans="1:19">
      <c r="A633">
        <v>62</v>
      </c>
      <c r="B633" t="s">
        <v>121</v>
      </c>
      <c r="C633" t="s">
        <v>124</v>
      </c>
      <c r="D633" t="s">
        <v>122</v>
      </c>
      <c r="E633">
        <v>153023734</v>
      </c>
      <c r="F633" t="s">
        <v>442</v>
      </c>
      <c r="G633" t="s">
        <v>441</v>
      </c>
      <c r="H633" t="s">
        <v>146</v>
      </c>
      <c r="I633" t="s">
        <v>343</v>
      </c>
      <c r="J633">
        <v>0</v>
      </c>
      <c r="L633" s="5">
        <v>0</v>
      </c>
      <c r="M633">
        <v>0</v>
      </c>
      <c r="N633" s="5">
        <v>0</v>
      </c>
      <c r="O633" s="5">
        <v>0</v>
      </c>
      <c r="P633">
        <v>2</v>
      </c>
      <c r="Q633" s="5">
        <v>760</v>
      </c>
      <c r="R633" s="5">
        <v>491.33</v>
      </c>
      <c r="S633" s="5">
        <v>380</v>
      </c>
    </row>
    <row r="634" spans="1:19">
      <c r="A634">
        <v>62</v>
      </c>
      <c r="B634" t="s">
        <v>121</v>
      </c>
      <c r="C634" t="s">
        <v>124</v>
      </c>
      <c r="D634" t="s">
        <v>122</v>
      </c>
      <c r="E634">
        <v>153023734</v>
      </c>
      <c r="F634" t="s">
        <v>442</v>
      </c>
      <c r="G634" t="s">
        <v>441</v>
      </c>
      <c r="H634" t="s">
        <v>146</v>
      </c>
      <c r="I634" t="s">
        <v>343</v>
      </c>
      <c r="J634">
        <v>0</v>
      </c>
      <c r="L634" s="5">
        <v>0</v>
      </c>
      <c r="M634">
        <v>0</v>
      </c>
      <c r="N634" s="5">
        <v>0</v>
      </c>
      <c r="O634" s="5">
        <v>0</v>
      </c>
      <c r="P634">
        <v>2</v>
      </c>
      <c r="Q634" s="5">
        <v>760</v>
      </c>
      <c r="R634" s="5">
        <v>769.03</v>
      </c>
      <c r="S634" s="5">
        <v>380</v>
      </c>
    </row>
    <row r="635" spans="1:19">
      <c r="A635">
        <v>65</v>
      </c>
      <c r="B635" t="s">
        <v>107</v>
      </c>
      <c r="C635" t="s">
        <v>102</v>
      </c>
      <c r="D635" t="s">
        <v>104</v>
      </c>
      <c r="E635">
        <v>153023734</v>
      </c>
      <c r="F635" t="s">
        <v>443</v>
      </c>
      <c r="G635" t="s">
        <v>444</v>
      </c>
      <c r="H635" t="s">
        <v>355</v>
      </c>
      <c r="I635" t="s">
        <v>334</v>
      </c>
      <c r="J635">
        <v>4</v>
      </c>
      <c r="K635" s="5">
        <v>1584</v>
      </c>
      <c r="L635" s="5">
        <v>1640</v>
      </c>
      <c r="M635">
        <v>-3.5353534999999998E-2</v>
      </c>
      <c r="N635" s="5">
        <v>-56</v>
      </c>
      <c r="O635" s="5">
        <v>-14</v>
      </c>
      <c r="P635">
        <v>0</v>
      </c>
      <c r="Q635" s="5">
        <v>0</v>
      </c>
      <c r="R635" s="5">
        <v>0</v>
      </c>
      <c r="S635" s="5">
        <v>410</v>
      </c>
    </row>
    <row r="636" spans="1:19">
      <c r="A636">
        <v>65</v>
      </c>
      <c r="B636" t="s">
        <v>107</v>
      </c>
      <c r="C636" t="s">
        <v>102</v>
      </c>
      <c r="D636" t="s">
        <v>104</v>
      </c>
      <c r="E636">
        <v>153020962</v>
      </c>
      <c r="F636" t="s">
        <v>443</v>
      </c>
      <c r="G636" t="s">
        <v>444</v>
      </c>
      <c r="H636" t="s">
        <v>355</v>
      </c>
      <c r="I636" t="s">
        <v>333</v>
      </c>
      <c r="J636">
        <v>4</v>
      </c>
      <c r="K636" s="5">
        <v>1041.6500000000001</v>
      </c>
      <c r="L636" s="5">
        <v>1240</v>
      </c>
      <c r="M636">
        <v>-0.19041904600000001</v>
      </c>
      <c r="N636" s="5">
        <v>-198.35</v>
      </c>
      <c r="O636" s="5">
        <v>-49.59</v>
      </c>
      <c r="P636">
        <v>0</v>
      </c>
      <c r="Q636" s="5">
        <v>0</v>
      </c>
      <c r="R636" s="5">
        <v>0</v>
      </c>
      <c r="S636" s="5">
        <v>310</v>
      </c>
    </row>
    <row r="637" spans="1:19">
      <c r="A637">
        <v>65</v>
      </c>
      <c r="B637" t="s">
        <v>107</v>
      </c>
      <c r="C637" t="s">
        <v>102</v>
      </c>
      <c r="D637" t="s">
        <v>104</v>
      </c>
      <c r="E637">
        <v>153020962</v>
      </c>
      <c r="F637" t="s">
        <v>443</v>
      </c>
      <c r="G637" t="s">
        <v>444</v>
      </c>
      <c r="H637" t="s">
        <v>355</v>
      </c>
      <c r="I637" t="s">
        <v>334</v>
      </c>
      <c r="J637">
        <v>4</v>
      </c>
      <c r="K637" s="5">
        <v>1957.72</v>
      </c>
      <c r="L637" s="5">
        <v>1640</v>
      </c>
      <c r="M637">
        <v>0.162290828</v>
      </c>
      <c r="N637" s="5">
        <v>317.72000000000003</v>
      </c>
      <c r="O637" s="5">
        <v>79.430000000000007</v>
      </c>
      <c r="P637">
        <v>0</v>
      </c>
      <c r="Q637" s="5">
        <v>0</v>
      </c>
      <c r="R637" s="5">
        <v>0</v>
      </c>
      <c r="S637" s="5">
        <v>410</v>
      </c>
    </row>
    <row r="638" spans="1:19">
      <c r="A638">
        <v>65</v>
      </c>
      <c r="B638" t="s">
        <v>107</v>
      </c>
      <c r="C638" t="s">
        <v>102</v>
      </c>
      <c r="D638" t="s">
        <v>104</v>
      </c>
      <c r="E638">
        <v>153020962</v>
      </c>
      <c r="F638" t="s">
        <v>443</v>
      </c>
      <c r="G638" t="s">
        <v>444</v>
      </c>
      <c r="H638" t="s">
        <v>355</v>
      </c>
      <c r="I638" t="s">
        <v>334</v>
      </c>
      <c r="J638">
        <v>2</v>
      </c>
      <c r="K638" s="5">
        <v>840.3</v>
      </c>
      <c r="L638" s="5">
        <v>820</v>
      </c>
      <c r="M638">
        <v>2.4158038E-2</v>
      </c>
      <c r="N638" s="5">
        <v>20.3</v>
      </c>
      <c r="O638" s="5">
        <v>10.15</v>
      </c>
      <c r="P638">
        <v>0</v>
      </c>
      <c r="Q638" s="5">
        <v>0</v>
      </c>
      <c r="R638" s="5">
        <v>0</v>
      </c>
      <c r="S638" s="5">
        <v>410</v>
      </c>
    </row>
    <row r="639" spans="1:19">
      <c r="A639">
        <v>65</v>
      </c>
      <c r="B639" t="s">
        <v>107</v>
      </c>
      <c r="C639" t="s">
        <v>102</v>
      </c>
      <c r="D639" t="s">
        <v>104</v>
      </c>
      <c r="E639">
        <v>153020962</v>
      </c>
      <c r="F639" t="s">
        <v>443</v>
      </c>
      <c r="G639" t="s">
        <v>444</v>
      </c>
      <c r="H639" t="s">
        <v>355</v>
      </c>
      <c r="I639" t="s">
        <v>334</v>
      </c>
      <c r="J639">
        <v>0</v>
      </c>
      <c r="L639" s="5">
        <v>0</v>
      </c>
      <c r="M639">
        <v>0</v>
      </c>
      <c r="N639" s="5">
        <v>0</v>
      </c>
      <c r="O639" s="5">
        <v>0</v>
      </c>
      <c r="P639">
        <v>4</v>
      </c>
      <c r="Q639" s="5">
        <v>1640</v>
      </c>
      <c r="R639" s="5">
        <v>435.23</v>
      </c>
      <c r="S639" s="5">
        <v>410</v>
      </c>
    </row>
    <row r="640" spans="1:19">
      <c r="A640">
        <v>65</v>
      </c>
      <c r="B640" t="s">
        <v>107</v>
      </c>
      <c r="C640" t="s">
        <v>102</v>
      </c>
      <c r="D640" t="s">
        <v>104</v>
      </c>
      <c r="E640">
        <v>153020962</v>
      </c>
      <c r="F640" t="s">
        <v>443</v>
      </c>
      <c r="G640" t="s">
        <v>444</v>
      </c>
      <c r="H640" t="s">
        <v>355</v>
      </c>
      <c r="I640" t="s">
        <v>337</v>
      </c>
      <c r="J640">
        <v>4</v>
      </c>
      <c r="K640" s="5">
        <v>885.08</v>
      </c>
      <c r="L640" s="5">
        <v>560</v>
      </c>
      <c r="M640">
        <v>0.36728883200000001</v>
      </c>
      <c r="N640" s="5">
        <v>325.08</v>
      </c>
      <c r="O640" s="5">
        <v>81.27</v>
      </c>
      <c r="P640">
        <v>0</v>
      </c>
      <c r="Q640" s="5">
        <v>0</v>
      </c>
      <c r="R640" s="5">
        <v>0</v>
      </c>
      <c r="S640" s="5">
        <v>140</v>
      </c>
    </row>
    <row r="641" spans="1:19">
      <c r="A641">
        <v>65</v>
      </c>
      <c r="B641" t="s">
        <v>107</v>
      </c>
      <c r="C641" t="s">
        <v>102</v>
      </c>
      <c r="D641" t="s">
        <v>104</v>
      </c>
      <c r="E641">
        <v>153020962</v>
      </c>
      <c r="F641" t="s">
        <v>443</v>
      </c>
      <c r="G641" t="s">
        <v>444</v>
      </c>
      <c r="H641" t="s">
        <v>355</v>
      </c>
      <c r="I641" t="s">
        <v>333</v>
      </c>
      <c r="J641">
        <v>4</v>
      </c>
      <c r="K641" s="5">
        <v>1224.1199999999999</v>
      </c>
      <c r="L641" s="5">
        <v>1240</v>
      </c>
      <c r="M641">
        <v>-1.2972584000000001E-2</v>
      </c>
      <c r="N641" s="5">
        <v>-15.88</v>
      </c>
      <c r="O641" s="5">
        <v>-3.97</v>
      </c>
      <c r="P641">
        <v>0</v>
      </c>
      <c r="Q641" s="5">
        <v>0</v>
      </c>
      <c r="R641" s="5">
        <v>0</v>
      </c>
      <c r="S641" s="5">
        <v>310</v>
      </c>
    </row>
    <row r="642" spans="1:19">
      <c r="A642">
        <v>65</v>
      </c>
      <c r="B642" t="s">
        <v>107</v>
      </c>
      <c r="C642" t="s">
        <v>102</v>
      </c>
      <c r="D642" t="s">
        <v>104</v>
      </c>
      <c r="E642">
        <v>153020962</v>
      </c>
      <c r="F642" t="s">
        <v>443</v>
      </c>
      <c r="G642" t="s">
        <v>444</v>
      </c>
      <c r="H642" t="s">
        <v>355</v>
      </c>
      <c r="I642" t="s">
        <v>334</v>
      </c>
      <c r="J642">
        <v>4</v>
      </c>
      <c r="K642" s="5">
        <v>1139.52</v>
      </c>
      <c r="L642" s="5">
        <v>1640</v>
      </c>
      <c r="M642">
        <v>-0.43920247099999998</v>
      </c>
      <c r="N642" s="5">
        <v>-500.48</v>
      </c>
      <c r="O642" s="5">
        <v>-125.12</v>
      </c>
      <c r="P642">
        <v>0</v>
      </c>
      <c r="Q642" s="5">
        <v>0</v>
      </c>
      <c r="R642" s="5">
        <v>0</v>
      </c>
      <c r="S642" s="5">
        <v>410</v>
      </c>
    </row>
    <row r="643" spans="1:19">
      <c r="A643">
        <v>65</v>
      </c>
      <c r="B643" t="s">
        <v>107</v>
      </c>
      <c r="C643" t="s">
        <v>102</v>
      </c>
      <c r="D643" t="s">
        <v>104</v>
      </c>
      <c r="E643">
        <v>153020962</v>
      </c>
      <c r="F643" t="s">
        <v>443</v>
      </c>
      <c r="G643" t="s">
        <v>444</v>
      </c>
      <c r="H643" t="s">
        <v>355</v>
      </c>
      <c r="I643" t="s">
        <v>334</v>
      </c>
      <c r="J643">
        <v>4</v>
      </c>
      <c r="K643" s="5">
        <v>1426.56</v>
      </c>
      <c r="L643" s="5">
        <v>1640</v>
      </c>
      <c r="M643">
        <v>-0.14961866300000001</v>
      </c>
      <c r="N643" s="5">
        <v>-213.44</v>
      </c>
      <c r="O643" s="5">
        <v>-53.36</v>
      </c>
      <c r="P643">
        <v>0</v>
      </c>
      <c r="Q643" s="5">
        <v>0</v>
      </c>
      <c r="R643" s="5">
        <v>0</v>
      </c>
      <c r="S643" s="5">
        <v>410</v>
      </c>
    </row>
    <row r="644" spans="1:19">
      <c r="A644">
        <v>65</v>
      </c>
      <c r="B644" t="s">
        <v>107</v>
      </c>
      <c r="C644" t="s">
        <v>102</v>
      </c>
      <c r="D644" t="s">
        <v>104</v>
      </c>
      <c r="E644">
        <v>153020962</v>
      </c>
      <c r="F644" t="s">
        <v>443</v>
      </c>
      <c r="G644" t="s">
        <v>444</v>
      </c>
      <c r="H644" t="s">
        <v>355</v>
      </c>
      <c r="I644" t="s">
        <v>334</v>
      </c>
      <c r="J644">
        <v>4</v>
      </c>
      <c r="K644" s="5">
        <v>1111.28</v>
      </c>
      <c r="L644" s="5">
        <v>1640</v>
      </c>
      <c r="M644">
        <v>-0.47577568199999998</v>
      </c>
      <c r="N644" s="5">
        <v>-528.72</v>
      </c>
      <c r="O644" s="5">
        <v>-132.18</v>
      </c>
      <c r="P644">
        <v>0</v>
      </c>
      <c r="Q644" s="5">
        <v>0</v>
      </c>
      <c r="R644" s="5">
        <v>0</v>
      </c>
      <c r="S644" s="5">
        <v>410</v>
      </c>
    </row>
    <row r="645" spans="1:19">
      <c r="A645">
        <v>65</v>
      </c>
      <c r="B645" t="s">
        <v>107</v>
      </c>
      <c r="C645" t="s">
        <v>102</v>
      </c>
      <c r="D645" t="s">
        <v>104</v>
      </c>
      <c r="E645">
        <v>153020962</v>
      </c>
      <c r="F645" t="s">
        <v>443</v>
      </c>
      <c r="G645" t="s">
        <v>444</v>
      </c>
      <c r="H645" t="s">
        <v>355</v>
      </c>
      <c r="I645" t="s">
        <v>334</v>
      </c>
      <c r="J645">
        <v>4</v>
      </c>
      <c r="K645" s="5">
        <v>1608.48</v>
      </c>
      <c r="L645" s="5">
        <v>1640</v>
      </c>
      <c r="M645">
        <v>-1.9596140000000001E-2</v>
      </c>
      <c r="N645" s="5">
        <v>-31.52</v>
      </c>
      <c r="O645" s="5">
        <v>-7.88</v>
      </c>
      <c r="P645">
        <v>0</v>
      </c>
      <c r="Q645" s="5">
        <v>0</v>
      </c>
      <c r="R645" s="5">
        <v>0</v>
      </c>
      <c r="S645" s="5">
        <v>410</v>
      </c>
    </row>
    <row r="646" spans="1:19">
      <c r="A646">
        <v>65</v>
      </c>
      <c r="B646" t="s">
        <v>107</v>
      </c>
      <c r="C646" t="s">
        <v>102</v>
      </c>
      <c r="D646" t="s">
        <v>104</v>
      </c>
      <c r="E646">
        <v>153020962</v>
      </c>
      <c r="F646" t="s">
        <v>443</v>
      </c>
      <c r="G646" t="s">
        <v>444</v>
      </c>
      <c r="H646" t="s">
        <v>355</v>
      </c>
      <c r="I646" t="s">
        <v>334</v>
      </c>
      <c r="J646">
        <v>4</v>
      </c>
      <c r="K646" s="5">
        <v>1134.5999999999999</v>
      </c>
      <c r="L646" s="5">
        <v>1640</v>
      </c>
      <c r="M646">
        <v>-0.44544332800000003</v>
      </c>
      <c r="N646" s="5">
        <v>-505.4</v>
      </c>
      <c r="O646" s="5">
        <v>-126.35</v>
      </c>
      <c r="P646">
        <v>0</v>
      </c>
      <c r="Q646" s="5">
        <v>0</v>
      </c>
      <c r="R646" s="5">
        <v>0</v>
      </c>
      <c r="S646" s="5">
        <v>410</v>
      </c>
    </row>
    <row r="647" spans="1:19">
      <c r="A647">
        <v>65</v>
      </c>
      <c r="B647" t="s">
        <v>107</v>
      </c>
      <c r="C647" t="s">
        <v>102</v>
      </c>
      <c r="D647" t="s">
        <v>104</v>
      </c>
      <c r="E647">
        <v>153020962</v>
      </c>
      <c r="F647" t="s">
        <v>443</v>
      </c>
      <c r="G647" t="s">
        <v>444</v>
      </c>
      <c r="H647" t="s">
        <v>355</v>
      </c>
      <c r="I647" t="s">
        <v>334</v>
      </c>
      <c r="J647">
        <v>2</v>
      </c>
      <c r="K647" s="5">
        <v>507.64</v>
      </c>
      <c r="L647" s="5">
        <v>820</v>
      </c>
      <c r="M647">
        <v>-0.61531794100000003</v>
      </c>
      <c r="N647" s="5">
        <v>-312.36</v>
      </c>
      <c r="O647" s="5">
        <v>-156.18</v>
      </c>
      <c r="P647">
        <v>2</v>
      </c>
      <c r="Q647" s="5">
        <v>820</v>
      </c>
      <c r="R647" s="5">
        <v>477.76</v>
      </c>
      <c r="S647" s="5">
        <v>410</v>
      </c>
    </row>
    <row r="648" spans="1:19">
      <c r="A648">
        <v>65</v>
      </c>
      <c r="B648" t="s">
        <v>107</v>
      </c>
      <c r="C648" t="s">
        <v>102</v>
      </c>
      <c r="D648" t="s">
        <v>104</v>
      </c>
      <c r="E648">
        <v>153020962</v>
      </c>
      <c r="F648" t="s">
        <v>443</v>
      </c>
      <c r="G648" t="s">
        <v>444</v>
      </c>
      <c r="H648" t="s">
        <v>355</v>
      </c>
      <c r="I648" t="s">
        <v>334</v>
      </c>
      <c r="J648">
        <v>4</v>
      </c>
      <c r="K648" s="5">
        <v>1526.32</v>
      </c>
      <c r="L648" s="5">
        <v>1640</v>
      </c>
      <c r="M648">
        <v>-7.4479794000000002E-2</v>
      </c>
      <c r="N648" s="5">
        <v>-113.68</v>
      </c>
      <c r="O648" s="5">
        <v>-28.42</v>
      </c>
      <c r="P648">
        <v>0</v>
      </c>
      <c r="Q648" s="5">
        <v>0</v>
      </c>
      <c r="R648" s="5">
        <v>0</v>
      </c>
      <c r="S648" s="5">
        <v>410</v>
      </c>
    </row>
    <row r="649" spans="1:19">
      <c r="A649">
        <v>65</v>
      </c>
      <c r="B649" t="s">
        <v>107</v>
      </c>
      <c r="C649" t="s">
        <v>102</v>
      </c>
      <c r="D649" t="s">
        <v>104</v>
      </c>
      <c r="E649">
        <v>153020962</v>
      </c>
      <c r="F649" t="s">
        <v>443</v>
      </c>
      <c r="G649" t="s">
        <v>444</v>
      </c>
      <c r="H649" t="s">
        <v>355</v>
      </c>
      <c r="I649" t="s">
        <v>334</v>
      </c>
      <c r="J649">
        <v>0</v>
      </c>
      <c r="L649" s="5">
        <v>0</v>
      </c>
      <c r="M649">
        <v>0</v>
      </c>
      <c r="N649" s="5">
        <v>0</v>
      </c>
      <c r="O649" s="5">
        <v>0</v>
      </c>
      <c r="P649">
        <v>4</v>
      </c>
      <c r="Q649" s="5">
        <v>1640</v>
      </c>
      <c r="R649" s="5">
        <v>385.01</v>
      </c>
      <c r="S649" s="5">
        <v>410</v>
      </c>
    </row>
    <row r="650" spans="1:19">
      <c r="A650">
        <v>65</v>
      </c>
      <c r="B650" t="s">
        <v>107</v>
      </c>
      <c r="C650" t="s">
        <v>102</v>
      </c>
      <c r="D650" t="s">
        <v>104</v>
      </c>
      <c r="E650">
        <v>153020962</v>
      </c>
      <c r="F650" t="s">
        <v>443</v>
      </c>
      <c r="G650" t="s">
        <v>444</v>
      </c>
      <c r="H650" t="s">
        <v>355</v>
      </c>
      <c r="I650" t="s">
        <v>334</v>
      </c>
      <c r="J650">
        <v>4</v>
      </c>
      <c r="K650" s="5">
        <v>1324.15</v>
      </c>
      <c r="L650" s="5">
        <v>1640</v>
      </c>
      <c r="M650">
        <v>-0.23853037699999999</v>
      </c>
      <c r="N650" s="5">
        <v>-315.85000000000002</v>
      </c>
      <c r="O650" s="5">
        <v>-78.959999999999994</v>
      </c>
      <c r="P650">
        <v>0</v>
      </c>
      <c r="Q650" s="5">
        <v>0</v>
      </c>
      <c r="R650" s="5">
        <v>0</v>
      </c>
      <c r="S650" s="5">
        <v>410</v>
      </c>
    </row>
    <row r="651" spans="1:19">
      <c r="A651">
        <v>65</v>
      </c>
      <c r="B651" t="s">
        <v>107</v>
      </c>
      <c r="C651" t="s">
        <v>102</v>
      </c>
      <c r="D651" t="s">
        <v>104</v>
      </c>
      <c r="E651">
        <v>153020962</v>
      </c>
      <c r="F651" t="s">
        <v>443</v>
      </c>
      <c r="G651" t="s">
        <v>444</v>
      </c>
      <c r="H651" t="s">
        <v>355</v>
      </c>
      <c r="I651" t="s">
        <v>334</v>
      </c>
      <c r="J651">
        <v>4</v>
      </c>
      <c r="K651" s="5">
        <v>1419.96</v>
      </c>
      <c r="L651" s="5">
        <v>1640</v>
      </c>
      <c r="M651">
        <v>-0.15496211100000001</v>
      </c>
      <c r="N651" s="5">
        <v>-220.04</v>
      </c>
      <c r="O651" s="5">
        <v>-55.01</v>
      </c>
      <c r="P651">
        <v>0</v>
      </c>
      <c r="Q651" s="5">
        <v>0</v>
      </c>
      <c r="R651" s="5">
        <v>0</v>
      </c>
      <c r="S651" s="5">
        <v>410</v>
      </c>
    </row>
    <row r="652" spans="1:19">
      <c r="A652">
        <v>65</v>
      </c>
      <c r="B652" t="s">
        <v>107</v>
      </c>
      <c r="C652" t="s">
        <v>102</v>
      </c>
      <c r="D652" t="s">
        <v>104</v>
      </c>
      <c r="E652">
        <v>153020962</v>
      </c>
      <c r="F652" t="s">
        <v>443</v>
      </c>
      <c r="G652" t="s">
        <v>444</v>
      </c>
      <c r="H652" t="s">
        <v>355</v>
      </c>
      <c r="I652" t="s">
        <v>334</v>
      </c>
      <c r="J652">
        <v>4</v>
      </c>
      <c r="K652" s="5">
        <v>1085.82</v>
      </c>
      <c r="L652" s="5">
        <v>1640</v>
      </c>
      <c r="M652">
        <v>-0.51037925200000001</v>
      </c>
      <c r="N652" s="5">
        <v>-554.17999999999995</v>
      </c>
      <c r="O652" s="5">
        <v>-138.54</v>
      </c>
      <c r="P652">
        <v>0</v>
      </c>
      <c r="Q652" s="5">
        <v>0</v>
      </c>
      <c r="R652" s="5">
        <v>0</v>
      </c>
      <c r="S652" s="5">
        <v>410</v>
      </c>
    </row>
    <row r="653" spans="1:19">
      <c r="A653">
        <v>65</v>
      </c>
      <c r="B653" t="s">
        <v>107</v>
      </c>
      <c r="C653" t="s">
        <v>102</v>
      </c>
      <c r="D653" t="s">
        <v>104</v>
      </c>
      <c r="E653">
        <v>153020962</v>
      </c>
      <c r="F653" t="s">
        <v>443</v>
      </c>
      <c r="G653" t="s">
        <v>444</v>
      </c>
      <c r="H653" t="s">
        <v>355</v>
      </c>
      <c r="I653" t="s">
        <v>334</v>
      </c>
      <c r="J653">
        <v>0</v>
      </c>
      <c r="L653" s="5">
        <v>0</v>
      </c>
      <c r="M653">
        <v>0</v>
      </c>
      <c r="N653" s="5">
        <v>0</v>
      </c>
      <c r="O653" s="5">
        <v>0</v>
      </c>
      <c r="P653">
        <v>4</v>
      </c>
      <c r="Q653" s="5">
        <v>1640</v>
      </c>
      <c r="R653" s="5">
        <v>486.55</v>
      </c>
      <c r="S653" s="5">
        <v>410</v>
      </c>
    </row>
    <row r="654" spans="1:19">
      <c r="A654">
        <v>66</v>
      </c>
      <c r="B654" t="s">
        <v>103</v>
      </c>
      <c r="C654" t="s">
        <v>106</v>
      </c>
      <c r="D654" t="s">
        <v>104</v>
      </c>
      <c r="E654">
        <v>153020962</v>
      </c>
      <c r="F654" t="s">
        <v>445</v>
      </c>
      <c r="G654" t="s">
        <v>444</v>
      </c>
      <c r="H654" t="s">
        <v>135</v>
      </c>
      <c r="I654" t="s">
        <v>422</v>
      </c>
      <c r="J654">
        <v>2</v>
      </c>
      <c r="K654" s="5">
        <v>1871.8</v>
      </c>
      <c r="L654" s="5">
        <v>618</v>
      </c>
      <c r="M654">
        <v>0.66983652000000005</v>
      </c>
      <c r="N654" s="5">
        <v>1253.8</v>
      </c>
      <c r="O654" s="5">
        <v>626.9</v>
      </c>
      <c r="P654">
        <v>0</v>
      </c>
      <c r="Q654" s="5">
        <v>0</v>
      </c>
      <c r="R654" s="5">
        <v>0</v>
      </c>
      <c r="S654" s="5">
        <v>309</v>
      </c>
    </row>
    <row r="655" spans="1:19">
      <c r="A655">
        <v>63</v>
      </c>
      <c r="B655" t="s">
        <v>116</v>
      </c>
      <c r="C655" t="s">
        <v>109</v>
      </c>
      <c r="D655" t="s">
        <v>111</v>
      </c>
      <c r="E655">
        <v>156535642</v>
      </c>
      <c r="F655" t="s">
        <v>446</v>
      </c>
      <c r="G655" t="s">
        <v>447</v>
      </c>
      <c r="H655" t="s">
        <v>365</v>
      </c>
      <c r="I655" t="s">
        <v>333</v>
      </c>
      <c r="J655">
        <v>4</v>
      </c>
      <c r="K655" s="5">
        <v>1429.1</v>
      </c>
      <c r="L655" s="5">
        <v>1240</v>
      </c>
      <c r="M655">
        <v>0.132321041</v>
      </c>
      <c r="N655" s="5">
        <v>189.1</v>
      </c>
      <c r="O655" s="5">
        <v>47.28</v>
      </c>
      <c r="P655">
        <v>0</v>
      </c>
      <c r="Q655" s="5">
        <v>0</v>
      </c>
      <c r="R655" s="5">
        <v>0</v>
      </c>
      <c r="S655" s="5">
        <v>310</v>
      </c>
    </row>
    <row r="656" spans="1:19">
      <c r="A656">
        <v>63</v>
      </c>
      <c r="B656" t="s">
        <v>116</v>
      </c>
      <c r="C656" t="s">
        <v>109</v>
      </c>
      <c r="D656" t="s">
        <v>111</v>
      </c>
      <c r="E656">
        <v>153020570</v>
      </c>
      <c r="F656" t="s">
        <v>446</v>
      </c>
      <c r="G656" t="s">
        <v>447</v>
      </c>
      <c r="H656" t="s">
        <v>365</v>
      </c>
      <c r="I656" t="s">
        <v>337</v>
      </c>
      <c r="J656">
        <v>4</v>
      </c>
      <c r="K656" s="5">
        <v>1265.6600000000001</v>
      </c>
      <c r="L656" s="5">
        <v>560</v>
      </c>
      <c r="M656">
        <v>0.55754309999999996</v>
      </c>
      <c r="N656" s="5">
        <v>705.66</v>
      </c>
      <c r="O656" s="5">
        <v>176.42</v>
      </c>
      <c r="P656">
        <v>0</v>
      </c>
      <c r="Q656" s="5">
        <v>0</v>
      </c>
      <c r="R656" s="5">
        <v>0</v>
      </c>
      <c r="S656" s="5">
        <v>140</v>
      </c>
    </row>
    <row r="657" spans="1:19">
      <c r="A657">
        <v>63</v>
      </c>
      <c r="B657" t="s">
        <v>116</v>
      </c>
      <c r="C657" t="s">
        <v>109</v>
      </c>
      <c r="D657" t="s">
        <v>111</v>
      </c>
      <c r="E657">
        <v>153020570</v>
      </c>
      <c r="F657" t="s">
        <v>446</v>
      </c>
      <c r="G657" t="s">
        <v>447</v>
      </c>
      <c r="H657" t="s">
        <v>365</v>
      </c>
      <c r="I657" t="s">
        <v>333</v>
      </c>
      <c r="J657">
        <v>4</v>
      </c>
      <c r="K657" s="5">
        <v>1614</v>
      </c>
      <c r="L657" s="5">
        <v>1240</v>
      </c>
      <c r="M657">
        <v>0.23172242800000001</v>
      </c>
      <c r="N657" s="5">
        <v>374</v>
      </c>
      <c r="O657" s="5">
        <v>93.5</v>
      </c>
      <c r="P657">
        <v>0</v>
      </c>
      <c r="Q657" s="5">
        <v>0</v>
      </c>
      <c r="R657" s="5">
        <v>0</v>
      </c>
      <c r="S657" s="5">
        <v>310</v>
      </c>
    </row>
    <row r="658" spans="1:19">
      <c r="A658">
        <v>63</v>
      </c>
      <c r="B658" t="s">
        <v>116</v>
      </c>
      <c r="C658" t="s">
        <v>109</v>
      </c>
      <c r="D658" t="s">
        <v>111</v>
      </c>
      <c r="E658">
        <v>153020570</v>
      </c>
      <c r="F658" t="s">
        <v>446</v>
      </c>
      <c r="G658" t="s">
        <v>447</v>
      </c>
      <c r="H658" t="s">
        <v>365</v>
      </c>
      <c r="I658" t="s">
        <v>333</v>
      </c>
      <c r="J658">
        <v>4</v>
      </c>
      <c r="K658" s="5">
        <v>2949.43</v>
      </c>
      <c r="L658" s="5">
        <v>1240</v>
      </c>
      <c r="M658">
        <v>0.57957978300000002</v>
      </c>
      <c r="N658" s="5">
        <v>1709.43</v>
      </c>
      <c r="O658" s="5">
        <v>427.36</v>
      </c>
      <c r="P658">
        <v>0</v>
      </c>
      <c r="Q658" s="5">
        <v>0</v>
      </c>
      <c r="R658" s="5">
        <v>0</v>
      </c>
      <c r="S658" s="5">
        <v>310</v>
      </c>
    </row>
    <row r="659" spans="1:19">
      <c r="A659">
        <v>63</v>
      </c>
      <c r="B659" t="s">
        <v>116</v>
      </c>
      <c r="C659" t="s">
        <v>109</v>
      </c>
      <c r="D659" t="s">
        <v>111</v>
      </c>
      <c r="E659">
        <v>153020570</v>
      </c>
      <c r="F659" t="s">
        <v>446</v>
      </c>
      <c r="G659" t="s">
        <v>447</v>
      </c>
      <c r="H659" t="s">
        <v>365</v>
      </c>
      <c r="I659" t="s">
        <v>337</v>
      </c>
      <c r="J659">
        <v>4</v>
      </c>
      <c r="K659" s="5">
        <v>1061.75</v>
      </c>
      <c r="L659" s="5">
        <v>560</v>
      </c>
      <c r="M659">
        <v>0.47256887199999997</v>
      </c>
      <c r="N659" s="5">
        <v>501.75</v>
      </c>
      <c r="O659" s="5">
        <v>125.44</v>
      </c>
      <c r="P659">
        <v>0</v>
      </c>
      <c r="Q659" s="5">
        <v>0</v>
      </c>
      <c r="R659" s="5">
        <v>0</v>
      </c>
      <c r="S659" s="5">
        <v>140</v>
      </c>
    </row>
    <row r="660" spans="1:19">
      <c r="A660">
        <v>63</v>
      </c>
      <c r="B660" t="s">
        <v>116</v>
      </c>
      <c r="C660" t="s">
        <v>109</v>
      </c>
      <c r="D660" t="s">
        <v>111</v>
      </c>
      <c r="E660">
        <v>153020570</v>
      </c>
      <c r="F660" t="s">
        <v>446</v>
      </c>
      <c r="G660" t="s">
        <v>447</v>
      </c>
      <c r="H660" t="s">
        <v>365</v>
      </c>
      <c r="I660" t="s">
        <v>333</v>
      </c>
      <c r="J660">
        <v>0</v>
      </c>
      <c r="L660" s="5">
        <v>0</v>
      </c>
      <c r="M660">
        <v>0</v>
      </c>
      <c r="N660" s="5">
        <v>0</v>
      </c>
      <c r="O660" s="5">
        <v>0</v>
      </c>
      <c r="P660">
        <v>4</v>
      </c>
      <c r="Q660" s="5">
        <v>1240</v>
      </c>
      <c r="R660" s="5">
        <v>655.37</v>
      </c>
      <c r="S660" s="5">
        <v>310</v>
      </c>
    </row>
    <row r="661" spans="1:19">
      <c r="A661">
        <v>63</v>
      </c>
      <c r="B661" t="s">
        <v>116</v>
      </c>
      <c r="C661" t="s">
        <v>109</v>
      </c>
      <c r="D661" t="s">
        <v>111</v>
      </c>
      <c r="E661">
        <v>153020570</v>
      </c>
      <c r="F661" t="s">
        <v>446</v>
      </c>
      <c r="G661" t="s">
        <v>447</v>
      </c>
      <c r="H661" t="s">
        <v>365</v>
      </c>
      <c r="I661" t="s">
        <v>333</v>
      </c>
      <c r="J661">
        <v>4</v>
      </c>
      <c r="K661" s="5">
        <v>1530</v>
      </c>
      <c r="L661" s="5">
        <v>1240</v>
      </c>
      <c r="M661">
        <v>0.18954248300000001</v>
      </c>
      <c r="N661" s="5">
        <v>290</v>
      </c>
      <c r="O661" s="5">
        <v>72.5</v>
      </c>
      <c r="P661">
        <v>0</v>
      </c>
      <c r="Q661" s="5">
        <v>0</v>
      </c>
      <c r="R661" s="5">
        <v>0</v>
      </c>
      <c r="S661" s="5">
        <v>310</v>
      </c>
    </row>
    <row r="662" spans="1:19">
      <c r="A662">
        <v>63</v>
      </c>
      <c r="B662" t="s">
        <v>116</v>
      </c>
      <c r="C662" t="s">
        <v>109</v>
      </c>
      <c r="D662" t="s">
        <v>111</v>
      </c>
      <c r="E662">
        <v>153020570</v>
      </c>
      <c r="F662" t="s">
        <v>446</v>
      </c>
      <c r="G662" t="s">
        <v>447</v>
      </c>
      <c r="H662" t="s">
        <v>365</v>
      </c>
      <c r="I662" t="s">
        <v>333</v>
      </c>
      <c r="J662">
        <v>4</v>
      </c>
      <c r="K662" s="5">
        <v>1366.16</v>
      </c>
      <c r="L662" s="5">
        <v>1240</v>
      </c>
      <c r="M662">
        <v>9.2346429999999993E-2</v>
      </c>
      <c r="N662" s="5">
        <v>126.16</v>
      </c>
      <c r="O662" s="5">
        <v>31.54</v>
      </c>
      <c r="P662">
        <v>0</v>
      </c>
      <c r="Q662" s="5">
        <v>0</v>
      </c>
      <c r="R662" s="5">
        <v>0</v>
      </c>
      <c r="S662" s="5">
        <v>310</v>
      </c>
    </row>
    <row r="663" spans="1:19">
      <c r="A663">
        <v>63</v>
      </c>
      <c r="B663" t="s">
        <v>116</v>
      </c>
      <c r="C663" t="s">
        <v>109</v>
      </c>
      <c r="D663" t="s">
        <v>111</v>
      </c>
      <c r="E663">
        <v>153020570</v>
      </c>
      <c r="F663" t="s">
        <v>446</v>
      </c>
      <c r="G663" t="s">
        <v>447</v>
      </c>
      <c r="H663" t="s">
        <v>365</v>
      </c>
      <c r="I663" t="s">
        <v>337</v>
      </c>
      <c r="J663">
        <v>4</v>
      </c>
      <c r="K663" s="5">
        <v>1231.58</v>
      </c>
      <c r="L663" s="5">
        <v>620</v>
      </c>
      <c r="M663">
        <v>0.496581626</v>
      </c>
      <c r="N663" s="5">
        <v>611.58000000000004</v>
      </c>
      <c r="O663" s="5">
        <v>152.9</v>
      </c>
      <c r="P663">
        <v>0</v>
      </c>
      <c r="Q663" s="5">
        <v>0</v>
      </c>
      <c r="R663" s="5">
        <v>0</v>
      </c>
      <c r="S663" s="5">
        <v>155</v>
      </c>
    </row>
    <row r="664" spans="1:19">
      <c r="A664">
        <v>63</v>
      </c>
      <c r="B664" t="s">
        <v>116</v>
      </c>
      <c r="C664" t="s">
        <v>109</v>
      </c>
      <c r="D664" t="s">
        <v>111</v>
      </c>
      <c r="E664">
        <v>153020570</v>
      </c>
      <c r="F664" t="s">
        <v>446</v>
      </c>
      <c r="G664" t="s">
        <v>447</v>
      </c>
      <c r="H664" t="s">
        <v>365</v>
      </c>
      <c r="I664" t="s">
        <v>333</v>
      </c>
      <c r="J664">
        <v>1</v>
      </c>
      <c r="K664" s="5">
        <v>374.94</v>
      </c>
      <c r="L664" s="5">
        <v>310</v>
      </c>
      <c r="M664">
        <v>0.173201045</v>
      </c>
      <c r="N664" s="5">
        <v>64.94</v>
      </c>
      <c r="O664" s="5">
        <v>64.94</v>
      </c>
      <c r="P664">
        <v>3</v>
      </c>
      <c r="Q664" s="5">
        <v>930</v>
      </c>
      <c r="R664" s="5">
        <v>447.6</v>
      </c>
      <c r="S664" s="5">
        <v>310</v>
      </c>
    </row>
    <row r="665" spans="1:19">
      <c r="A665">
        <v>63</v>
      </c>
      <c r="B665" t="s">
        <v>116</v>
      </c>
      <c r="C665" t="s">
        <v>109</v>
      </c>
      <c r="D665" t="s">
        <v>111</v>
      </c>
      <c r="E665">
        <v>153020570</v>
      </c>
      <c r="F665" t="s">
        <v>446</v>
      </c>
      <c r="G665" t="s">
        <v>447</v>
      </c>
      <c r="H665" t="s">
        <v>365</v>
      </c>
      <c r="I665" t="s">
        <v>333</v>
      </c>
      <c r="J665">
        <v>0</v>
      </c>
      <c r="L665" s="5">
        <v>0</v>
      </c>
      <c r="M665">
        <v>0</v>
      </c>
      <c r="N665" s="5">
        <v>0</v>
      </c>
      <c r="O665" s="5">
        <v>0</v>
      </c>
      <c r="P665">
        <v>4</v>
      </c>
      <c r="Q665" s="5">
        <v>1240</v>
      </c>
      <c r="R665" s="5">
        <v>625.54</v>
      </c>
      <c r="S665" s="5">
        <v>310</v>
      </c>
    </row>
    <row r="666" spans="1:19">
      <c r="A666">
        <v>63</v>
      </c>
      <c r="B666" t="s">
        <v>116</v>
      </c>
      <c r="C666" t="s">
        <v>109</v>
      </c>
      <c r="D666" t="s">
        <v>111</v>
      </c>
      <c r="E666">
        <v>153020570</v>
      </c>
      <c r="F666" t="s">
        <v>446</v>
      </c>
      <c r="G666" t="s">
        <v>447</v>
      </c>
      <c r="H666" t="s">
        <v>365</v>
      </c>
      <c r="I666" t="s">
        <v>333</v>
      </c>
      <c r="J666">
        <v>4</v>
      </c>
      <c r="K666" s="5">
        <v>2031.12</v>
      </c>
      <c r="L666" s="5">
        <v>1240</v>
      </c>
      <c r="M666">
        <v>0.38949938899999997</v>
      </c>
      <c r="N666" s="5">
        <v>791.12</v>
      </c>
      <c r="O666" s="5">
        <v>197.78</v>
      </c>
      <c r="P666">
        <v>0</v>
      </c>
      <c r="Q666" s="5">
        <v>0</v>
      </c>
      <c r="R666" s="5">
        <v>0</v>
      </c>
      <c r="S666" s="5">
        <v>310</v>
      </c>
    </row>
    <row r="667" spans="1:19">
      <c r="A667">
        <v>63</v>
      </c>
      <c r="B667" t="s">
        <v>116</v>
      </c>
      <c r="C667" t="s">
        <v>109</v>
      </c>
      <c r="D667" t="s">
        <v>111</v>
      </c>
      <c r="E667">
        <v>153020570</v>
      </c>
      <c r="F667" t="s">
        <v>446</v>
      </c>
      <c r="G667" t="s">
        <v>447</v>
      </c>
      <c r="H667" t="s">
        <v>365</v>
      </c>
      <c r="I667" t="s">
        <v>333</v>
      </c>
      <c r="J667">
        <v>0</v>
      </c>
      <c r="L667" s="5">
        <v>0</v>
      </c>
      <c r="M667">
        <v>0</v>
      </c>
      <c r="N667" s="5">
        <v>0</v>
      </c>
      <c r="O667" s="5">
        <v>0</v>
      </c>
      <c r="P667">
        <v>4</v>
      </c>
      <c r="Q667" s="5">
        <v>1240</v>
      </c>
      <c r="R667" s="5">
        <v>698.26</v>
      </c>
      <c r="S667" s="5">
        <v>310</v>
      </c>
    </row>
    <row r="668" spans="1:19">
      <c r="A668">
        <v>63</v>
      </c>
      <c r="B668" t="s">
        <v>116</v>
      </c>
      <c r="C668" t="s">
        <v>109</v>
      </c>
      <c r="D668" t="s">
        <v>111</v>
      </c>
      <c r="E668">
        <v>153020570</v>
      </c>
      <c r="F668" t="s">
        <v>446</v>
      </c>
      <c r="G668" t="s">
        <v>447</v>
      </c>
      <c r="H668" t="s">
        <v>365</v>
      </c>
      <c r="I668" t="s">
        <v>333</v>
      </c>
      <c r="J668">
        <v>4</v>
      </c>
      <c r="K668" s="5">
        <v>2114.88</v>
      </c>
      <c r="L668" s="5">
        <v>1240</v>
      </c>
      <c r="M668">
        <v>0.41367831700000002</v>
      </c>
      <c r="N668" s="5">
        <v>874.88</v>
      </c>
      <c r="O668" s="5">
        <v>218.72</v>
      </c>
      <c r="P668">
        <v>0</v>
      </c>
      <c r="Q668" s="5">
        <v>0</v>
      </c>
      <c r="R668" s="5">
        <v>0</v>
      </c>
      <c r="S668" s="5">
        <v>310</v>
      </c>
    </row>
    <row r="669" spans="1:19">
      <c r="A669">
        <v>63</v>
      </c>
      <c r="B669" t="s">
        <v>116</v>
      </c>
      <c r="C669" t="s">
        <v>109</v>
      </c>
      <c r="D669" t="s">
        <v>111</v>
      </c>
      <c r="E669">
        <v>153020570</v>
      </c>
      <c r="F669" t="s">
        <v>446</v>
      </c>
      <c r="G669" t="s">
        <v>447</v>
      </c>
      <c r="H669" t="s">
        <v>365</v>
      </c>
      <c r="I669" t="s">
        <v>337</v>
      </c>
      <c r="J669">
        <v>4</v>
      </c>
      <c r="K669" s="5">
        <v>1075.6099999999999</v>
      </c>
      <c r="L669" s="5">
        <v>560</v>
      </c>
      <c r="M669">
        <v>0.47936519700000002</v>
      </c>
      <c r="N669" s="5">
        <v>515.61</v>
      </c>
      <c r="O669" s="5">
        <v>128.9</v>
      </c>
      <c r="P669">
        <v>0</v>
      </c>
      <c r="Q669" s="5">
        <v>0</v>
      </c>
      <c r="R669" s="5">
        <v>0</v>
      </c>
      <c r="S669" s="5">
        <v>140</v>
      </c>
    </row>
    <row r="670" spans="1:19">
      <c r="A670">
        <v>63</v>
      </c>
      <c r="B670" t="s">
        <v>116</v>
      </c>
      <c r="C670" t="s">
        <v>109</v>
      </c>
      <c r="D670" t="s">
        <v>111</v>
      </c>
      <c r="E670">
        <v>153020570</v>
      </c>
      <c r="F670" t="s">
        <v>446</v>
      </c>
      <c r="G670" t="s">
        <v>447</v>
      </c>
      <c r="H670" t="s">
        <v>365</v>
      </c>
      <c r="I670" t="s">
        <v>333</v>
      </c>
      <c r="J670">
        <v>4</v>
      </c>
      <c r="K670" s="5">
        <v>2140.3200000000002</v>
      </c>
      <c r="L670" s="5">
        <v>1240</v>
      </c>
      <c r="M670">
        <v>0.42064737899999999</v>
      </c>
      <c r="N670" s="5">
        <v>900.32</v>
      </c>
      <c r="O670" s="5">
        <v>225.08</v>
      </c>
      <c r="P670">
        <v>0</v>
      </c>
      <c r="Q670" s="5">
        <v>0</v>
      </c>
      <c r="R670" s="5">
        <v>0</v>
      </c>
      <c r="S670" s="5">
        <v>310</v>
      </c>
    </row>
    <row r="671" spans="1:19">
      <c r="A671">
        <v>64</v>
      </c>
      <c r="B671" t="s">
        <v>110</v>
      </c>
      <c r="C671" t="s">
        <v>115</v>
      </c>
      <c r="D671" t="s">
        <v>111</v>
      </c>
      <c r="E671">
        <v>153020570</v>
      </c>
      <c r="F671" t="s">
        <v>448</v>
      </c>
      <c r="G671" t="s">
        <v>447</v>
      </c>
      <c r="H671" t="s">
        <v>164</v>
      </c>
      <c r="I671" t="s">
        <v>338</v>
      </c>
      <c r="J671">
        <v>0</v>
      </c>
      <c r="L671" s="5">
        <v>0</v>
      </c>
      <c r="M671">
        <v>0</v>
      </c>
      <c r="N671" s="5">
        <v>0</v>
      </c>
      <c r="O671" s="5">
        <v>0</v>
      </c>
      <c r="P671">
        <v>3</v>
      </c>
      <c r="Q671" s="5">
        <v>1500</v>
      </c>
      <c r="R671" s="5">
        <v>622.33000000000004</v>
      </c>
      <c r="S671" s="5">
        <v>500</v>
      </c>
    </row>
    <row r="672" spans="1:19">
      <c r="A672">
        <v>64</v>
      </c>
      <c r="B672" t="s">
        <v>110</v>
      </c>
      <c r="C672" t="s">
        <v>115</v>
      </c>
      <c r="D672" t="s">
        <v>111</v>
      </c>
      <c r="E672">
        <v>153020469</v>
      </c>
      <c r="F672" t="s">
        <v>448</v>
      </c>
      <c r="G672" t="s">
        <v>447</v>
      </c>
      <c r="H672" t="s">
        <v>164</v>
      </c>
      <c r="I672" t="s">
        <v>333</v>
      </c>
      <c r="J672">
        <v>0</v>
      </c>
      <c r="L672" s="5">
        <v>0</v>
      </c>
      <c r="M672">
        <v>0</v>
      </c>
      <c r="N672" s="5">
        <v>0</v>
      </c>
      <c r="O672" s="5">
        <v>0</v>
      </c>
      <c r="P672">
        <v>4</v>
      </c>
      <c r="Q672" s="5">
        <v>1600</v>
      </c>
      <c r="R672" s="5">
        <v>591.20000000000005</v>
      </c>
      <c r="S672" s="5">
        <v>400</v>
      </c>
    </row>
    <row r="673" spans="1:19">
      <c r="A673">
        <v>64</v>
      </c>
      <c r="B673" t="s">
        <v>110</v>
      </c>
      <c r="C673" t="s">
        <v>115</v>
      </c>
      <c r="D673" t="s">
        <v>111</v>
      </c>
      <c r="E673">
        <v>153020469</v>
      </c>
      <c r="F673" t="s">
        <v>448</v>
      </c>
      <c r="G673" t="s">
        <v>447</v>
      </c>
      <c r="H673" t="s">
        <v>164</v>
      </c>
      <c r="I673" t="s">
        <v>338</v>
      </c>
      <c r="J673">
        <v>0</v>
      </c>
      <c r="L673" s="5">
        <v>0</v>
      </c>
      <c r="M673">
        <v>0</v>
      </c>
      <c r="N673" s="5">
        <v>0</v>
      </c>
      <c r="O673" s="5">
        <v>0</v>
      </c>
      <c r="P673">
        <v>2</v>
      </c>
      <c r="Q673" s="5">
        <v>1000</v>
      </c>
      <c r="R673" s="5">
        <v>660.17</v>
      </c>
      <c r="S673" s="5">
        <v>500</v>
      </c>
    </row>
    <row r="674" spans="1:19">
      <c r="A674">
        <v>64</v>
      </c>
      <c r="B674" t="s">
        <v>110</v>
      </c>
      <c r="C674" t="s">
        <v>115</v>
      </c>
      <c r="D674" t="s">
        <v>111</v>
      </c>
      <c r="E674">
        <v>153020469</v>
      </c>
      <c r="F674" t="s">
        <v>448</v>
      </c>
      <c r="G674" t="s">
        <v>447</v>
      </c>
      <c r="H674" t="s">
        <v>164</v>
      </c>
      <c r="I674" t="s">
        <v>343</v>
      </c>
      <c r="J674">
        <v>0</v>
      </c>
      <c r="L674" s="5">
        <v>0</v>
      </c>
      <c r="M674">
        <v>0</v>
      </c>
      <c r="N674" s="5">
        <v>0</v>
      </c>
      <c r="O674" s="5">
        <v>0</v>
      </c>
      <c r="P674">
        <v>2</v>
      </c>
      <c r="Q674" s="5">
        <v>800</v>
      </c>
      <c r="R674" s="5">
        <v>567.29</v>
      </c>
      <c r="S674" s="5">
        <v>400</v>
      </c>
    </row>
    <row r="675" spans="1:19">
      <c r="A675">
        <v>64</v>
      </c>
      <c r="B675" t="s">
        <v>110</v>
      </c>
      <c r="C675" t="s">
        <v>115</v>
      </c>
      <c r="D675" t="s">
        <v>111</v>
      </c>
      <c r="E675">
        <v>153020469</v>
      </c>
      <c r="F675" t="s">
        <v>448</v>
      </c>
      <c r="G675" t="s">
        <v>447</v>
      </c>
      <c r="H675" t="s">
        <v>164</v>
      </c>
      <c r="I675" t="s">
        <v>337</v>
      </c>
      <c r="J675">
        <v>2</v>
      </c>
      <c r="K675" s="5">
        <v>686.68</v>
      </c>
      <c r="L675" s="5">
        <v>615.94000000000005</v>
      </c>
      <c r="M675">
        <v>0.103017417</v>
      </c>
      <c r="N675" s="5">
        <v>70.739999999999995</v>
      </c>
      <c r="O675" s="5">
        <v>35.369999999999997</v>
      </c>
      <c r="P675">
        <v>0</v>
      </c>
      <c r="Q675" s="5">
        <v>0</v>
      </c>
      <c r="R675" s="5">
        <v>0</v>
      </c>
      <c r="S675" s="5">
        <v>307.97000000000003</v>
      </c>
    </row>
    <row r="676" spans="1:19">
      <c r="A676">
        <v>68</v>
      </c>
      <c r="B676" t="s">
        <v>149</v>
      </c>
      <c r="C676" t="s">
        <v>142</v>
      </c>
      <c r="D676" t="s">
        <v>144</v>
      </c>
      <c r="E676">
        <v>153020469</v>
      </c>
      <c r="F676" t="s">
        <v>449</v>
      </c>
      <c r="G676" t="s">
        <v>450</v>
      </c>
      <c r="H676" t="s">
        <v>171</v>
      </c>
      <c r="I676" t="s">
        <v>337</v>
      </c>
      <c r="J676">
        <v>4</v>
      </c>
      <c r="K676" s="5">
        <v>2047.17</v>
      </c>
      <c r="L676" s="5">
        <v>620</v>
      </c>
      <c r="M676">
        <v>0.69714288499999999</v>
      </c>
      <c r="N676" s="5">
        <v>1427.17</v>
      </c>
      <c r="O676" s="5">
        <v>356.79</v>
      </c>
      <c r="P676">
        <v>0</v>
      </c>
      <c r="Q676" s="5">
        <v>0</v>
      </c>
      <c r="R676" s="5">
        <v>0</v>
      </c>
      <c r="S676" s="5">
        <v>155</v>
      </c>
    </row>
    <row r="677" spans="1:19">
      <c r="A677">
        <v>68</v>
      </c>
      <c r="B677" t="s">
        <v>149</v>
      </c>
      <c r="C677" t="s">
        <v>142</v>
      </c>
      <c r="D677" t="s">
        <v>144</v>
      </c>
      <c r="E677">
        <v>153023766</v>
      </c>
      <c r="F677" t="s">
        <v>449</v>
      </c>
      <c r="G677" t="s">
        <v>450</v>
      </c>
      <c r="H677" t="s">
        <v>171</v>
      </c>
      <c r="I677" t="s">
        <v>333</v>
      </c>
      <c r="J677">
        <v>0</v>
      </c>
      <c r="L677" s="5">
        <v>0</v>
      </c>
      <c r="M677">
        <v>0</v>
      </c>
      <c r="N677" s="5">
        <v>0</v>
      </c>
      <c r="O677" s="5">
        <v>0</v>
      </c>
      <c r="P677">
        <v>4</v>
      </c>
      <c r="Q677" s="5">
        <v>1440</v>
      </c>
      <c r="R677" s="5">
        <v>543.77</v>
      </c>
      <c r="S677" s="5">
        <v>360</v>
      </c>
    </row>
    <row r="678" spans="1:19">
      <c r="A678">
        <v>68</v>
      </c>
      <c r="B678" t="s">
        <v>149</v>
      </c>
      <c r="C678" t="s">
        <v>142</v>
      </c>
      <c r="D678" t="s">
        <v>144</v>
      </c>
      <c r="E678">
        <v>153023766</v>
      </c>
      <c r="F678" t="s">
        <v>449</v>
      </c>
      <c r="G678" t="s">
        <v>450</v>
      </c>
      <c r="H678" t="s">
        <v>171</v>
      </c>
      <c r="I678" t="s">
        <v>333</v>
      </c>
      <c r="J678">
        <v>4</v>
      </c>
      <c r="K678" s="5">
        <v>2656.72</v>
      </c>
      <c r="L678" s="5">
        <v>1440</v>
      </c>
      <c r="M678">
        <v>0.45797825800000003</v>
      </c>
      <c r="N678" s="5">
        <v>1216.72</v>
      </c>
      <c r="O678" s="5">
        <v>304.18</v>
      </c>
      <c r="P678">
        <v>0</v>
      </c>
      <c r="Q678" s="5">
        <v>0</v>
      </c>
      <c r="R678" s="5">
        <v>0</v>
      </c>
      <c r="S678" s="5">
        <v>360</v>
      </c>
    </row>
    <row r="679" spans="1:19">
      <c r="A679">
        <v>68</v>
      </c>
      <c r="B679" t="s">
        <v>149</v>
      </c>
      <c r="C679" t="s">
        <v>142</v>
      </c>
      <c r="D679" t="s">
        <v>144</v>
      </c>
      <c r="E679">
        <v>153023766</v>
      </c>
      <c r="F679" t="s">
        <v>449</v>
      </c>
      <c r="G679" t="s">
        <v>450</v>
      </c>
      <c r="H679" t="s">
        <v>171</v>
      </c>
      <c r="I679" t="s">
        <v>334</v>
      </c>
      <c r="J679">
        <v>0</v>
      </c>
      <c r="L679" s="5">
        <v>0</v>
      </c>
      <c r="M679">
        <v>0</v>
      </c>
      <c r="N679" s="5">
        <v>0</v>
      </c>
      <c r="O679" s="5">
        <v>0</v>
      </c>
      <c r="P679">
        <v>4</v>
      </c>
      <c r="Q679" s="5">
        <v>2000</v>
      </c>
      <c r="R679" s="5">
        <v>599.41</v>
      </c>
      <c r="S679" s="5">
        <v>500</v>
      </c>
    </row>
    <row r="680" spans="1:19">
      <c r="A680">
        <v>68</v>
      </c>
      <c r="B680" t="s">
        <v>149</v>
      </c>
      <c r="C680" t="s">
        <v>142</v>
      </c>
      <c r="D680" t="s">
        <v>144</v>
      </c>
      <c r="E680">
        <v>153023766</v>
      </c>
      <c r="F680" t="s">
        <v>449</v>
      </c>
      <c r="G680" t="s">
        <v>450</v>
      </c>
      <c r="H680" t="s">
        <v>171</v>
      </c>
      <c r="I680" t="s">
        <v>333</v>
      </c>
      <c r="J680">
        <v>0</v>
      </c>
      <c r="L680" s="5">
        <v>0</v>
      </c>
      <c r="M680">
        <v>0</v>
      </c>
      <c r="N680" s="5">
        <v>0</v>
      </c>
      <c r="O680" s="5">
        <v>0</v>
      </c>
      <c r="P680">
        <v>4</v>
      </c>
      <c r="Q680" s="5">
        <v>1440</v>
      </c>
      <c r="R680" s="5">
        <v>732.9</v>
      </c>
      <c r="S680" s="5">
        <v>360</v>
      </c>
    </row>
    <row r="681" spans="1:19">
      <c r="A681">
        <v>68</v>
      </c>
      <c r="B681" t="s">
        <v>149</v>
      </c>
      <c r="C681" t="s">
        <v>142</v>
      </c>
      <c r="D681" t="s">
        <v>144</v>
      </c>
      <c r="E681">
        <v>153023766</v>
      </c>
      <c r="F681" t="s">
        <v>449</v>
      </c>
      <c r="G681" t="s">
        <v>450</v>
      </c>
      <c r="H681" t="s">
        <v>171</v>
      </c>
      <c r="I681" t="s">
        <v>333</v>
      </c>
      <c r="J681">
        <v>0</v>
      </c>
      <c r="L681" s="5">
        <v>0</v>
      </c>
      <c r="M681">
        <v>0</v>
      </c>
      <c r="N681" s="5">
        <v>0</v>
      </c>
      <c r="O681" s="5">
        <v>0</v>
      </c>
      <c r="P681">
        <v>4</v>
      </c>
      <c r="Q681" s="5">
        <v>1600</v>
      </c>
      <c r="R681" s="5">
        <v>732.9</v>
      </c>
      <c r="S681" s="5">
        <v>400</v>
      </c>
    </row>
    <row r="682" spans="1:19">
      <c r="A682">
        <v>67</v>
      </c>
      <c r="B682" t="s">
        <v>143</v>
      </c>
      <c r="C682" t="s">
        <v>148</v>
      </c>
      <c r="D682" t="s">
        <v>144</v>
      </c>
      <c r="E682">
        <v>153023766</v>
      </c>
      <c r="F682" t="s">
        <v>451</v>
      </c>
      <c r="G682" t="s">
        <v>450</v>
      </c>
      <c r="H682" t="s">
        <v>91</v>
      </c>
      <c r="I682" t="s">
        <v>334</v>
      </c>
      <c r="J682">
        <v>4</v>
      </c>
      <c r="K682" s="5">
        <v>4903.78</v>
      </c>
      <c r="L682" s="5">
        <v>2480</v>
      </c>
      <c r="M682">
        <v>0.49426768700000001</v>
      </c>
      <c r="N682" s="5">
        <v>2423.7800000000002</v>
      </c>
      <c r="O682" s="5">
        <v>605.94000000000005</v>
      </c>
      <c r="P682">
        <v>0</v>
      </c>
      <c r="Q682" s="5">
        <v>0</v>
      </c>
      <c r="R682" s="5">
        <v>0</v>
      </c>
      <c r="S682" s="5">
        <v>620</v>
      </c>
    </row>
    <row r="683" spans="1:19">
      <c r="A683">
        <v>67</v>
      </c>
      <c r="B683" t="s">
        <v>143</v>
      </c>
      <c r="C683" t="s">
        <v>148</v>
      </c>
      <c r="D683" t="s">
        <v>144</v>
      </c>
      <c r="E683">
        <v>153023828</v>
      </c>
      <c r="F683" t="s">
        <v>451</v>
      </c>
      <c r="G683" t="s">
        <v>450</v>
      </c>
      <c r="H683" t="s">
        <v>91</v>
      </c>
      <c r="I683" t="s">
        <v>333</v>
      </c>
      <c r="J683">
        <v>0</v>
      </c>
      <c r="L683" s="5">
        <v>0</v>
      </c>
      <c r="M683">
        <v>0</v>
      </c>
      <c r="N683" s="5">
        <v>0</v>
      </c>
      <c r="O683" s="5">
        <v>0</v>
      </c>
      <c r="P683">
        <v>4</v>
      </c>
      <c r="Q683" s="5">
        <v>1860</v>
      </c>
      <c r="R683" s="5">
        <v>1626.53</v>
      </c>
      <c r="S683" s="5">
        <v>465</v>
      </c>
    </row>
    <row r="684" spans="1:19">
      <c r="A684">
        <v>67</v>
      </c>
      <c r="B684" t="s">
        <v>143</v>
      </c>
      <c r="C684" t="s">
        <v>148</v>
      </c>
      <c r="D684" t="s">
        <v>144</v>
      </c>
      <c r="E684">
        <v>153023828</v>
      </c>
      <c r="F684" t="s">
        <v>451</v>
      </c>
      <c r="G684" t="s">
        <v>450</v>
      </c>
      <c r="H684" t="s">
        <v>91</v>
      </c>
      <c r="I684" t="s">
        <v>333</v>
      </c>
      <c r="J684">
        <v>4</v>
      </c>
      <c r="K684" s="5">
        <v>3152.88</v>
      </c>
      <c r="L684" s="5">
        <v>1860</v>
      </c>
      <c r="M684">
        <v>0.41006318000000003</v>
      </c>
      <c r="N684" s="5">
        <v>1292.8800000000001</v>
      </c>
      <c r="O684" s="5">
        <v>323.22000000000003</v>
      </c>
      <c r="P684">
        <v>0</v>
      </c>
      <c r="Q684" s="5">
        <v>0</v>
      </c>
      <c r="R684" s="5">
        <v>0</v>
      </c>
      <c r="S684" s="5">
        <v>465</v>
      </c>
    </row>
    <row r="685" spans="1:19">
      <c r="A685">
        <v>67</v>
      </c>
      <c r="B685" t="s">
        <v>143</v>
      </c>
      <c r="C685" t="s">
        <v>148</v>
      </c>
      <c r="D685" t="s">
        <v>144</v>
      </c>
      <c r="E685">
        <v>153023828</v>
      </c>
      <c r="F685" t="s">
        <v>451</v>
      </c>
      <c r="G685" t="s">
        <v>450</v>
      </c>
      <c r="H685" t="s">
        <v>91</v>
      </c>
      <c r="I685" t="s">
        <v>333</v>
      </c>
      <c r="J685">
        <v>4</v>
      </c>
      <c r="K685" s="5">
        <v>3283.58</v>
      </c>
      <c r="L685" s="5">
        <v>1860</v>
      </c>
      <c r="M685">
        <v>0.43354509400000002</v>
      </c>
      <c r="N685" s="5">
        <v>1423.58</v>
      </c>
      <c r="O685" s="5">
        <v>355.9</v>
      </c>
      <c r="P685">
        <v>0</v>
      </c>
      <c r="Q685" s="5">
        <v>0</v>
      </c>
      <c r="R685" s="5">
        <v>0</v>
      </c>
      <c r="S685" s="5">
        <v>465</v>
      </c>
    </row>
    <row r="686" spans="1:19">
      <c r="A686">
        <v>67</v>
      </c>
      <c r="B686" t="s">
        <v>143</v>
      </c>
      <c r="C686" t="s">
        <v>148</v>
      </c>
      <c r="D686" t="s">
        <v>144</v>
      </c>
      <c r="E686">
        <v>153023828</v>
      </c>
      <c r="F686" t="s">
        <v>451</v>
      </c>
      <c r="G686" t="s">
        <v>450</v>
      </c>
      <c r="H686" t="s">
        <v>91</v>
      </c>
      <c r="I686" t="s">
        <v>333</v>
      </c>
      <c r="J686">
        <v>4</v>
      </c>
      <c r="K686" s="5">
        <v>3544.25</v>
      </c>
      <c r="L686" s="5">
        <v>1860</v>
      </c>
      <c r="M686">
        <v>0.47520632000000002</v>
      </c>
      <c r="N686" s="5">
        <v>1684.25</v>
      </c>
      <c r="O686" s="5">
        <v>421.06</v>
      </c>
      <c r="P686">
        <v>0</v>
      </c>
      <c r="Q686" s="5">
        <v>0</v>
      </c>
      <c r="R686" s="5">
        <v>0</v>
      </c>
      <c r="S686" s="5">
        <v>465</v>
      </c>
    </row>
    <row r="687" spans="1:19">
      <c r="A687">
        <v>67</v>
      </c>
      <c r="B687" t="s">
        <v>143</v>
      </c>
      <c r="C687" t="s">
        <v>148</v>
      </c>
      <c r="D687" t="s">
        <v>144</v>
      </c>
      <c r="E687">
        <v>153023828</v>
      </c>
      <c r="F687" t="s">
        <v>451</v>
      </c>
      <c r="G687" t="s">
        <v>450</v>
      </c>
      <c r="H687" t="s">
        <v>91</v>
      </c>
      <c r="I687" t="s">
        <v>333</v>
      </c>
      <c r="J687">
        <v>4</v>
      </c>
      <c r="K687" s="5">
        <v>3815.48</v>
      </c>
      <c r="L687" s="5">
        <v>1860</v>
      </c>
      <c r="M687">
        <v>0.51251218700000001</v>
      </c>
      <c r="N687" s="5">
        <v>1955.48</v>
      </c>
      <c r="O687" s="5">
        <v>488.87</v>
      </c>
      <c r="P687">
        <v>0</v>
      </c>
      <c r="Q687" s="5">
        <v>0</v>
      </c>
      <c r="R687" s="5">
        <v>0</v>
      </c>
      <c r="S687" s="5">
        <v>465</v>
      </c>
    </row>
    <row r="688" spans="1:19">
      <c r="A688">
        <v>67</v>
      </c>
      <c r="B688" t="s">
        <v>143</v>
      </c>
      <c r="C688" t="s">
        <v>148</v>
      </c>
      <c r="D688" t="s">
        <v>144</v>
      </c>
      <c r="E688">
        <v>153023828</v>
      </c>
      <c r="F688" t="s">
        <v>451</v>
      </c>
      <c r="G688" t="s">
        <v>450</v>
      </c>
      <c r="H688" t="s">
        <v>91</v>
      </c>
      <c r="I688" t="s">
        <v>333</v>
      </c>
      <c r="J688">
        <v>4</v>
      </c>
      <c r="K688" s="5">
        <v>2989.16</v>
      </c>
      <c r="L688" s="5">
        <v>1860</v>
      </c>
      <c r="M688">
        <v>0.37775160899999999</v>
      </c>
      <c r="N688" s="5">
        <v>1129.1600000000001</v>
      </c>
      <c r="O688" s="5">
        <v>282.29000000000002</v>
      </c>
      <c r="P688">
        <v>0</v>
      </c>
      <c r="Q688" s="5">
        <v>0</v>
      </c>
      <c r="R688" s="5">
        <v>0</v>
      </c>
      <c r="S688" s="5">
        <v>465</v>
      </c>
    </row>
    <row r="689" spans="1:19">
      <c r="A689">
        <v>67</v>
      </c>
      <c r="B689" t="s">
        <v>143</v>
      </c>
      <c r="C689" t="s">
        <v>148</v>
      </c>
      <c r="D689" t="s">
        <v>144</v>
      </c>
      <c r="E689">
        <v>153023828</v>
      </c>
      <c r="F689" t="s">
        <v>451</v>
      </c>
      <c r="G689" t="s">
        <v>450</v>
      </c>
      <c r="H689" t="s">
        <v>91</v>
      </c>
      <c r="I689" t="s">
        <v>334</v>
      </c>
      <c r="J689">
        <v>4</v>
      </c>
      <c r="K689" s="5">
        <v>4670.55</v>
      </c>
      <c r="L689" s="5">
        <v>2480</v>
      </c>
      <c r="M689">
        <v>0.469013285</v>
      </c>
      <c r="N689" s="5">
        <v>2190.5500000000002</v>
      </c>
      <c r="O689" s="5">
        <v>547.64</v>
      </c>
      <c r="P689">
        <v>0</v>
      </c>
      <c r="Q689" s="5">
        <v>0</v>
      </c>
      <c r="R689" s="5">
        <v>0</v>
      </c>
      <c r="S689" s="5">
        <v>620</v>
      </c>
    </row>
    <row r="690" spans="1:19">
      <c r="A690">
        <v>67</v>
      </c>
      <c r="B690" t="s">
        <v>143</v>
      </c>
      <c r="C690" t="s">
        <v>148</v>
      </c>
      <c r="D690" t="s">
        <v>144</v>
      </c>
      <c r="E690">
        <v>153023828</v>
      </c>
      <c r="F690" t="s">
        <v>451</v>
      </c>
      <c r="G690" t="s">
        <v>450</v>
      </c>
      <c r="H690" t="s">
        <v>91</v>
      </c>
      <c r="I690" t="s">
        <v>333</v>
      </c>
      <c r="J690">
        <v>4</v>
      </c>
      <c r="K690" s="5">
        <v>3634.22</v>
      </c>
      <c r="L690" s="5">
        <v>1860</v>
      </c>
      <c r="M690">
        <v>0.48819829199999998</v>
      </c>
      <c r="N690" s="5">
        <v>1774.22</v>
      </c>
      <c r="O690" s="5">
        <v>443.56</v>
      </c>
      <c r="P690">
        <v>0</v>
      </c>
      <c r="Q690" s="5">
        <v>0</v>
      </c>
      <c r="R690" s="5">
        <v>0</v>
      </c>
      <c r="S690" s="5">
        <v>465</v>
      </c>
    </row>
    <row r="691" spans="1:19">
      <c r="A691">
        <v>67</v>
      </c>
      <c r="B691" t="s">
        <v>143</v>
      </c>
      <c r="C691" t="s">
        <v>148</v>
      </c>
      <c r="D691" t="s">
        <v>144</v>
      </c>
      <c r="E691">
        <v>153023828</v>
      </c>
      <c r="F691" t="s">
        <v>451</v>
      </c>
      <c r="G691" t="s">
        <v>450</v>
      </c>
      <c r="H691" t="s">
        <v>91</v>
      </c>
      <c r="I691" t="s">
        <v>334</v>
      </c>
      <c r="J691">
        <v>0</v>
      </c>
      <c r="L691" s="5">
        <v>0</v>
      </c>
      <c r="M691">
        <v>0</v>
      </c>
      <c r="N691" s="5">
        <v>0</v>
      </c>
      <c r="O691" s="5">
        <v>0</v>
      </c>
      <c r="P691">
        <v>4</v>
      </c>
      <c r="Q691" s="5">
        <v>2480</v>
      </c>
      <c r="R691" s="5">
        <v>1954.6</v>
      </c>
      <c r="S691" s="5">
        <v>620</v>
      </c>
    </row>
    <row r="692" spans="1:19">
      <c r="A692">
        <v>71</v>
      </c>
      <c r="B692" t="s">
        <v>155</v>
      </c>
      <c r="C692" t="s">
        <v>151</v>
      </c>
      <c r="D692" t="s">
        <v>152</v>
      </c>
      <c r="E692">
        <v>153023828</v>
      </c>
      <c r="F692" t="s">
        <v>452</v>
      </c>
      <c r="G692" t="s">
        <v>453</v>
      </c>
      <c r="H692" t="s">
        <v>370</v>
      </c>
      <c r="I692" t="s">
        <v>343</v>
      </c>
      <c r="J692">
        <v>2</v>
      </c>
      <c r="K692" s="5">
        <v>4436.04</v>
      </c>
      <c r="L692" s="5">
        <v>3800</v>
      </c>
      <c r="M692">
        <v>0.14338013099999999</v>
      </c>
      <c r="N692" s="5">
        <v>636.04</v>
      </c>
      <c r="O692" s="5">
        <v>318.02</v>
      </c>
      <c r="P692">
        <v>0</v>
      </c>
      <c r="Q692" s="5">
        <v>0</v>
      </c>
      <c r="R692" s="5">
        <v>0</v>
      </c>
      <c r="S692" s="5">
        <v>1900</v>
      </c>
    </row>
    <row r="693" spans="1:19">
      <c r="A693">
        <v>71</v>
      </c>
      <c r="B693" t="s">
        <v>155</v>
      </c>
      <c r="C693" t="s">
        <v>151</v>
      </c>
      <c r="D693" t="s">
        <v>152</v>
      </c>
      <c r="E693">
        <v>153023764</v>
      </c>
      <c r="F693" t="s">
        <v>452</v>
      </c>
      <c r="G693" t="s">
        <v>453</v>
      </c>
      <c r="H693" t="s">
        <v>370</v>
      </c>
      <c r="I693" t="s">
        <v>334</v>
      </c>
      <c r="J693">
        <v>0</v>
      </c>
      <c r="L693" s="5">
        <v>0</v>
      </c>
      <c r="M693">
        <v>0</v>
      </c>
      <c r="N693" s="5">
        <v>0</v>
      </c>
      <c r="O693" s="5">
        <v>0</v>
      </c>
      <c r="P693">
        <v>4</v>
      </c>
      <c r="Q693" s="5">
        <v>1780</v>
      </c>
      <c r="R693" s="5">
        <v>5077</v>
      </c>
      <c r="S693" s="5">
        <v>445</v>
      </c>
    </row>
    <row r="694" spans="1:19">
      <c r="A694">
        <v>71</v>
      </c>
      <c r="B694" t="s">
        <v>155</v>
      </c>
      <c r="C694" t="s">
        <v>151</v>
      </c>
      <c r="D694" t="s">
        <v>152</v>
      </c>
      <c r="E694">
        <v>153023764</v>
      </c>
      <c r="F694" t="s">
        <v>452</v>
      </c>
      <c r="G694" t="s">
        <v>453</v>
      </c>
      <c r="H694" t="s">
        <v>370</v>
      </c>
      <c r="I694" t="s">
        <v>333</v>
      </c>
      <c r="J694">
        <v>4</v>
      </c>
      <c r="K694" s="5">
        <v>9966.11</v>
      </c>
      <c r="L694" s="5">
        <v>1540</v>
      </c>
      <c r="M694">
        <v>0.84547631899999998</v>
      </c>
      <c r="N694" s="5">
        <v>8426.11</v>
      </c>
      <c r="O694" s="5">
        <v>2106.5300000000002</v>
      </c>
      <c r="P694">
        <v>0</v>
      </c>
      <c r="Q694" s="5">
        <v>0</v>
      </c>
      <c r="R694" s="5">
        <v>0</v>
      </c>
      <c r="S694" s="5">
        <v>385</v>
      </c>
    </row>
    <row r="695" spans="1:19">
      <c r="A695">
        <v>71</v>
      </c>
      <c r="B695" t="s">
        <v>155</v>
      </c>
      <c r="C695" t="s">
        <v>151</v>
      </c>
      <c r="D695" t="s">
        <v>152</v>
      </c>
      <c r="E695">
        <v>153023764</v>
      </c>
      <c r="F695" t="s">
        <v>452</v>
      </c>
      <c r="G695" t="s">
        <v>453</v>
      </c>
      <c r="H695" t="s">
        <v>370</v>
      </c>
      <c r="I695" t="s">
        <v>333</v>
      </c>
      <c r="J695">
        <v>0</v>
      </c>
      <c r="L695" s="5">
        <v>0</v>
      </c>
      <c r="M695">
        <v>0</v>
      </c>
      <c r="N695" s="5">
        <v>0</v>
      </c>
      <c r="O695" s="5">
        <v>0</v>
      </c>
      <c r="P695">
        <v>4</v>
      </c>
      <c r="Q695" s="5">
        <v>1940</v>
      </c>
      <c r="R695" s="5">
        <v>2565.3200000000002</v>
      </c>
      <c r="S695" s="5">
        <v>485</v>
      </c>
    </row>
    <row r="696" spans="1:19">
      <c r="A696">
        <v>72</v>
      </c>
      <c r="B696" t="s">
        <v>124</v>
      </c>
      <c r="C696" t="s">
        <v>154</v>
      </c>
      <c r="D696" t="s">
        <v>152</v>
      </c>
      <c r="E696">
        <v>153023764</v>
      </c>
      <c r="F696" t="s">
        <v>454</v>
      </c>
      <c r="G696" t="s">
        <v>453</v>
      </c>
      <c r="H696" t="s">
        <v>79</v>
      </c>
      <c r="I696" t="s">
        <v>343</v>
      </c>
      <c r="J696">
        <v>0</v>
      </c>
      <c r="L696" s="5">
        <v>0</v>
      </c>
      <c r="M696">
        <v>0</v>
      </c>
      <c r="N696" s="5">
        <v>0</v>
      </c>
      <c r="O696" s="5">
        <v>0</v>
      </c>
      <c r="P696">
        <v>3</v>
      </c>
      <c r="Q696" s="5">
        <v>1140</v>
      </c>
      <c r="R696" s="5">
        <v>777.88</v>
      </c>
      <c r="S696" s="5">
        <v>380</v>
      </c>
    </row>
    <row r="697" spans="1:19">
      <c r="A697">
        <v>72</v>
      </c>
      <c r="B697" t="s">
        <v>124</v>
      </c>
      <c r="C697" t="s">
        <v>154</v>
      </c>
      <c r="D697" t="s">
        <v>152</v>
      </c>
      <c r="E697">
        <v>153023736</v>
      </c>
      <c r="F697" t="s">
        <v>454</v>
      </c>
      <c r="G697" t="s">
        <v>453</v>
      </c>
      <c r="H697" t="s">
        <v>79</v>
      </c>
      <c r="I697" t="s">
        <v>333</v>
      </c>
      <c r="J697">
        <v>0</v>
      </c>
      <c r="L697" s="5">
        <v>0</v>
      </c>
      <c r="M697">
        <v>0</v>
      </c>
      <c r="N697" s="5">
        <v>0</v>
      </c>
      <c r="O697" s="5">
        <v>0</v>
      </c>
      <c r="P697">
        <v>2</v>
      </c>
      <c r="Q697" s="5">
        <v>760</v>
      </c>
      <c r="R697" s="5">
        <v>309.18</v>
      </c>
      <c r="S697" s="5">
        <v>380</v>
      </c>
    </row>
    <row r="698" spans="1:19">
      <c r="A698">
        <v>72</v>
      </c>
      <c r="B698" t="s">
        <v>124</v>
      </c>
      <c r="C698" t="s">
        <v>154</v>
      </c>
      <c r="D698" t="s">
        <v>152</v>
      </c>
      <c r="E698">
        <v>153023736</v>
      </c>
      <c r="F698" t="s">
        <v>454</v>
      </c>
      <c r="G698" t="s">
        <v>453</v>
      </c>
      <c r="H698" t="s">
        <v>79</v>
      </c>
      <c r="I698" t="s">
        <v>334</v>
      </c>
      <c r="J698">
        <v>0</v>
      </c>
      <c r="L698" s="5">
        <v>0</v>
      </c>
      <c r="M698">
        <v>0</v>
      </c>
      <c r="N698" s="5">
        <v>0</v>
      </c>
      <c r="O698" s="5">
        <v>0</v>
      </c>
      <c r="P698">
        <v>4</v>
      </c>
      <c r="Q698" s="5">
        <v>1800</v>
      </c>
      <c r="R698" s="5">
        <v>569.54999999999995</v>
      </c>
      <c r="S698" s="5">
        <v>450</v>
      </c>
    </row>
    <row r="699" spans="1:19">
      <c r="A699">
        <v>72</v>
      </c>
      <c r="B699" t="s">
        <v>124</v>
      </c>
      <c r="C699" t="s">
        <v>154</v>
      </c>
      <c r="D699" t="s">
        <v>152</v>
      </c>
      <c r="E699">
        <v>153023736</v>
      </c>
      <c r="F699" t="s">
        <v>454</v>
      </c>
      <c r="G699" t="s">
        <v>453</v>
      </c>
      <c r="H699" t="s">
        <v>79</v>
      </c>
      <c r="I699" t="s">
        <v>337</v>
      </c>
      <c r="J699">
        <v>0</v>
      </c>
      <c r="L699" s="5">
        <v>0</v>
      </c>
      <c r="M699">
        <v>0</v>
      </c>
      <c r="N699" s="5">
        <v>0</v>
      </c>
      <c r="O699" s="5">
        <v>0</v>
      </c>
      <c r="P699">
        <v>4</v>
      </c>
      <c r="Q699" s="5">
        <v>560</v>
      </c>
      <c r="R699" s="5">
        <v>345.45</v>
      </c>
      <c r="S699" s="5">
        <v>140</v>
      </c>
    </row>
    <row r="700" spans="1:19">
      <c r="A700">
        <v>72</v>
      </c>
      <c r="B700" t="s">
        <v>124</v>
      </c>
      <c r="C700" t="s">
        <v>154</v>
      </c>
      <c r="D700" t="s">
        <v>152</v>
      </c>
      <c r="E700">
        <v>153023736</v>
      </c>
      <c r="F700" t="s">
        <v>454</v>
      </c>
      <c r="G700" t="s">
        <v>453</v>
      </c>
      <c r="H700" t="s">
        <v>79</v>
      </c>
      <c r="I700" t="s">
        <v>337</v>
      </c>
      <c r="J700">
        <v>4</v>
      </c>
      <c r="K700" s="5">
        <v>656.06</v>
      </c>
      <c r="L700" s="5">
        <v>560</v>
      </c>
      <c r="M700">
        <v>0.14641953399999999</v>
      </c>
      <c r="N700" s="5">
        <v>96.06</v>
      </c>
      <c r="O700" s="5">
        <v>24.02</v>
      </c>
      <c r="P700">
        <v>0</v>
      </c>
      <c r="Q700" s="5">
        <v>0</v>
      </c>
      <c r="R700" s="5">
        <v>0</v>
      </c>
      <c r="S700" s="5">
        <v>140</v>
      </c>
    </row>
    <row r="701" spans="1:19">
      <c r="A701">
        <v>72</v>
      </c>
      <c r="B701" t="s">
        <v>124</v>
      </c>
      <c r="C701" t="s">
        <v>154</v>
      </c>
      <c r="D701" t="s">
        <v>152</v>
      </c>
      <c r="E701">
        <v>153023736</v>
      </c>
      <c r="F701" t="s">
        <v>454</v>
      </c>
      <c r="G701" t="s">
        <v>453</v>
      </c>
      <c r="H701" t="s">
        <v>79</v>
      </c>
      <c r="I701" t="s">
        <v>337</v>
      </c>
      <c r="J701">
        <v>4</v>
      </c>
      <c r="K701" s="5">
        <v>688.28</v>
      </c>
      <c r="L701" s="5">
        <v>560</v>
      </c>
      <c r="M701">
        <v>0.18637763700000001</v>
      </c>
      <c r="N701" s="5">
        <v>128.28</v>
      </c>
      <c r="O701" s="5">
        <v>32.07</v>
      </c>
      <c r="P701">
        <v>0</v>
      </c>
      <c r="Q701" s="5">
        <v>0</v>
      </c>
      <c r="R701" s="5">
        <v>0</v>
      </c>
      <c r="S701" s="5">
        <v>140</v>
      </c>
    </row>
    <row r="702" spans="1:19">
      <c r="A702">
        <v>72</v>
      </c>
      <c r="B702" t="s">
        <v>124</v>
      </c>
      <c r="C702" t="s">
        <v>154</v>
      </c>
      <c r="D702" t="s">
        <v>152</v>
      </c>
      <c r="E702">
        <v>153023736</v>
      </c>
      <c r="F702" t="s">
        <v>454</v>
      </c>
      <c r="G702" t="s">
        <v>453</v>
      </c>
      <c r="H702" t="s">
        <v>79</v>
      </c>
      <c r="I702" t="s">
        <v>337</v>
      </c>
      <c r="J702">
        <v>4</v>
      </c>
      <c r="K702" s="5">
        <v>715.32</v>
      </c>
      <c r="L702" s="5">
        <v>560</v>
      </c>
      <c r="M702">
        <v>0.21713358999999999</v>
      </c>
      <c r="N702" s="5">
        <v>155.32</v>
      </c>
      <c r="O702" s="5">
        <v>38.83</v>
      </c>
      <c r="P702">
        <v>0</v>
      </c>
      <c r="Q702" s="5">
        <v>0</v>
      </c>
      <c r="R702" s="5">
        <v>0</v>
      </c>
      <c r="S702" s="5">
        <v>140</v>
      </c>
    </row>
    <row r="703" spans="1:19">
      <c r="A703">
        <v>72</v>
      </c>
      <c r="B703" t="s">
        <v>124</v>
      </c>
      <c r="C703" t="s">
        <v>154</v>
      </c>
      <c r="D703" t="s">
        <v>152</v>
      </c>
      <c r="E703">
        <v>153023736</v>
      </c>
      <c r="F703" t="s">
        <v>454</v>
      </c>
      <c r="G703" t="s">
        <v>453</v>
      </c>
      <c r="H703" t="s">
        <v>79</v>
      </c>
      <c r="I703" t="s">
        <v>333</v>
      </c>
      <c r="J703">
        <v>4</v>
      </c>
      <c r="K703" s="5">
        <v>1239.5999999999999</v>
      </c>
      <c r="L703" s="5">
        <v>1240</v>
      </c>
      <c r="M703">
        <v>-3.22684E-4</v>
      </c>
      <c r="N703" s="5">
        <v>-0.4</v>
      </c>
      <c r="O703" s="5">
        <v>-0.1</v>
      </c>
      <c r="P703">
        <v>0</v>
      </c>
      <c r="Q703" s="5">
        <v>0</v>
      </c>
      <c r="R703" s="5">
        <v>0</v>
      </c>
      <c r="S703" s="5">
        <v>310</v>
      </c>
    </row>
    <row r="704" spans="1:19">
      <c r="A704">
        <v>72</v>
      </c>
      <c r="B704" t="s">
        <v>124</v>
      </c>
      <c r="C704" t="s">
        <v>154</v>
      </c>
      <c r="D704" t="s">
        <v>152</v>
      </c>
      <c r="E704">
        <v>153023736</v>
      </c>
      <c r="F704" t="s">
        <v>454</v>
      </c>
      <c r="G704" t="s">
        <v>453</v>
      </c>
      <c r="H704" t="s">
        <v>79</v>
      </c>
      <c r="I704" t="s">
        <v>334</v>
      </c>
      <c r="J704">
        <v>0</v>
      </c>
      <c r="L704" s="5">
        <v>0</v>
      </c>
      <c r="M704">
        <v>0</v>
      </c>
      <c r="N704" s="5">
        <v>0</v>
      </c>
      <c r="O704" s="5">
        <v>0</v>
      </c>
      <c r="P704">
        <v>2</v>
      </c>
      <c r="Q704" s="5">
        <v>900</v>
      </c>
      <c r="R704" s="5">
        <v>569.54999999999995</v>
      </c>
      <c r="S704" s="5">
        <v>450</v>
      </c>
    </row>
    <row r="705" spans="1:19">
      <c r="A705">
        <v>72</v>
      </c>
      <c r="B705" t="s">
        <v>124</v>
      </c>
      <c r="C705" t="s">
        <v>154</v>
      </c>
      <c r="D705" t="s">
        <v>152</v>
      </c>
      <c r="E705">
        <v>153023736</v>
      </c>
      <c r="F705" t="s">
        <v>454</v>
      </c>
      <c r="G705" t="s">
        <v>453</v>
      </c>
      <c r="H705" t="s">
        <v>79</v>
      </c>
      <c r="I705" t="s">
        <v>337</v>
      </c>
      <c r="J705">
        <v>4</v>
      </c>
      <c r="K705" s="5">
        <v>1006.04</v>
      </c>
      <c r="L705" s="5">
        <v>560</v>
      </c>
      <c r="M705">
        <v>0.44336209199999999</v>
      </c>
      <c r="N705" s="5">
        <v>446.04</v>
      </c>
      <c r="O705" s="5">
        <v>111.51</v>
      </c>
      <c r="P705">
        <v>0</v>
      </c>
      <c r="Q705" s="5">
        <v>0</v>
      </c>
      <c r="R705" s="5">
        <v>0</v>
      </c>
      <c r="S705" s="5">
        <v>140</v>
      </c>
    </row>
    <row r="706" spans="1:19">
      <c r="A706">
        <v>69</v>
      </c>
      <c r="B706" t="s">
        <v>130</v>
      </c>
      <c r="C706" t="s">
        <v>137</v>
      </c>
      <c r="D706" t="s">
        <v>131</v>
      </c>
      <c r="E706">
        <v>153023736</v>
      </c>
      <c r="F706" t="s">
        <v>455</v>
      </c>
      <c r="G706" t="s">
        <v>456</v>
      </c>
      <c r="H706" t="s">
        <v>68</v>
      </c>
      <c r="I706" t="s">
        <v>334</v>
      </c>
      <c r="J706">
        <v>0</v>
      </c>
      <c r="L706" s="5">
        <v>0</v>
      </c>
      <c r="M706">
        <v>0</v>
      </c>
      <c r="N706" s="5">
        <v>0</v>
      </c>
      <c r="O706" s="5">
        <v>0</v>
      </c>
      <c r="P706">
        <v>4</v>
      </c>
      <c r="Q706" s="5">
        <v>1640</v>
      </c>
      <c r="R706" s="5">
        <v>1115.3699999999999</v>
      </c>
      <c r="S706" s="5">
        <v>410</v>
      </c>
    </row>
    <row r="707" spans="1:19">
      <c r="A707">
        <v>69</v>
      </c>
      <c r="B707" t="s">
        <v>130</v>
      </c>
      <c r="C707" t="s">
        <v>137</v>
      </c>
      <c r="D707" t="s">
        <v>131</v>
      </c>
      <c r="E707">
        <v>153021572</v>
      </c>
      <c r="F707" t="s">
        <v>455</v>
      </c>
      <c r="G707" t="s">
        <v>456</v>
      </c>
      <c r="H707" t="s">
        <v>68</v>
      </c>
      <c r="I707" t="s">
        <v>337</v>
      </c>
      <c r="J707">
        <v>4</v>
      </c>
      <c r="K707" s="5">
        <v>742.13</v>
      </c>
      <c r="L707" s="5">
        <v>560</v>
      </c>
      <c r="M707">
        <v>0.24541522299999999</v>
      </c>
      <c r="N707" s="5">
        <v>182.13</v>
      </c>
      <c r="O707" s="5">
        <v>45.53</v>
      </c>
      <c r="P707">
        <v>0</v>
      </c>
      <c r="Q707" s="5">
        <v>0</v>
      </c>
      <c r="R707" s="5">
        <v>0</v>
      </c>
      <c r="S707" s="5">
        <v>140</v>
      </c>
    </row>
    <row r="708" spans="1:19">
      <c r="A708">
        <v>69</v>
      </c>
      <c r="B708" t="s">
        <v>130</v>
      </c>
      <c r="C708" t="s">
        <v>137</v>
      </c>
      <c r="D708" t="s">
        <v>131</v>
      </c>
      <c r="E708">
        <v>153021572</v>
      </c>
      <c r="F708" t="s">
        <v>455</v>
      </c>
      <c r="G708" t="s">
        <v>456</v>
      </c>
      <c r="H708" t="s">
        <v>68</v>
      </c>
      <c r="I708" t="s">
        <v>334</v>
      </c>
      <c r="J708">
        <v>4</v>
      </c>
      <c r="K708" s="5">
        <v>1916.72</v>
      </c>
      <c r="L708" s="5">
        <v>1640</v>
      </c>
      <c r="M708">
        <v>0.144371634</v>
      </c>
      <c r="N708" s="5">
        <v>276.72000000000003</v>
      </c>
      <c r="O708" s="5">
        <v>69.180000000000007</v>
      </c>
      <c r="P708">
        <v>0</v>
      </c>
      <c r="Q708" s="5">
        <v>0</v>
      </c>
      <c r="R708" s="5">
        <v>0</v>
      </c>
      <c r="S708" s="5">
        <v>410</v>
      </c>
    </row>
    <row r="709" spans="1:19">
      <c r="A709">
        <v>69</v>
      </c>
      <c r="B709" t="s">
        <v>130</v>
      </c>
      <c r="C709" t="s">
        <v>137</v>
      </c>
      <c r="D709" t="s">
        <v>131</v>
      </c>
      <c r="E709">
        <v>153021572</v>
      </c>
      <c r="F709" t="s">
        <v>455</v>
      </c>
      <c r="G709" t="s">
        <v>456</v>
      </c>
      <c r="H709" t="s">
        <v>68</v>
      </c>
      <c r="I709" t="s">
        <v>333</v>
      </c>
      <c r="J709">
        <v>4</v>
      </c>
      <c r="K709" s="5">
        <v>1745.04</v>
      </c>
      <c r="L709" s="5">
        <v>1240</v>
      </c>
      <c r="M709">
        <v>0.28941456900000001</v>
      </c>
      <c r="N709" s="5">
        <v>505.04</v>
      </c>
      <c r="O709" s="5">
        <v>126.26</v>
      </c>
      <c r="P709">
        <v>0</v>
      </c>
      <c r="Q709" s="5">
        <v>0</v>
      </c>
      <c r="R709" s="5">
        <v>0</v>
      </c>
      <c r="S709" s="5">
        <v>310</v>
      </c>
    </row>
    <row r="710" spans="1:19">
      <c r="A710">
        <v>69</v>
      </c>
      <c r="B710" t="s">
        <v>130</v>
      </c>
      <c r="C710" t="s">
        <v>137</v>
      </c>
      <c r="D710" t="s">
        <v>131</v>
      </c>
      <c r="E710">
        <v>153021572</v>
      </c>
      <c r="F710" t="s">
        <v>455</v>
      </c>
      <c r="G710" t="s">
        <v>456</v>
      </c>
      <c r="H710" t="s">
        <v>68</v>
      </c>
      <c r="I710" t="s">
        <v>337</v>
      </c>
      <c r="J710">
        <v>4</v>
      </c>
      <c r="K710" s="5">
        <v>1018.27</v>
      </c>
      <c r="L710" s="5">
        <v>560</v>
      </c>
      <c r="M710">
        <v>0.450047629</v>
      </c>
      <c r="N710" s="5">
        <v>458.27</v>
      </c>
      <c r="O710" s="5">
        <v>114.57</v>
      </c>
      <c r="P710">
        <v>0</v>
      </c>
      <c r="Q710" s="5">
        <v>0</v>
      </c>
      <c r="R710" s="5">
        <v>0</v>
      </c>
      <c r="S710" s="5">
        <v>140</v>
      </c>
    </row>
    <row r="711" spans="1:19">
      <c r="A711">
        <v>69</v>
      </c>
      <c r="B711" t="s">
        <v>130</v>
      </c>
      <c r="C711" t="s">
        <v>137</v>
      </c>
      <c r="D711" t="s">
        <v>131</v>
      </c>
      <c r="E711">
        <v>153021572</v>
      </c>
      <c r="F711" t="s">
        <v>455</v>
      </c>
      <c r="G711" t="s">
        <v>456</v>
      </c>
      <c r="H711" t="s">
        <v>68</v>
      </c>
      <c r="I711" t="s">
        <v>334</v>
      </c>
      <c r="J711">
        <v>0</v>
      </c>
      <c r="L711" s="5">
        <v>0</v>
      </c>
      <c r="M711">
        <v>0</v>
      </c>
      <c r="N711" s="5">
        <v>0</v>
      </c>
      <c r="O711" s="5">
        <v>0</v>
      </c>
      <c r="P711">
        <v>4</v>
      </c>
      <c r="Q711" s="5">
        <v>1800</v>
      </c>
      <c r="R711" s="5">
        <v>950.13</v>
      </c>
      <c r="S711" s="5">
        <v>450</v>
      </c>
    </row>
    <row r="712" spans="1:19">
      <c r="A712">
        <v>69</v>
      </c>
      <c r="B712" t="s">
        <v>130</v>
      </c>
      <c r="C712" t="s">
        <v>137</v>
      </c>
      <c r="D712" t="s">
        <v>131</v>
      </c>
      <c r="E712">
        <v>153021572</v>
      </c>
      <c r="F712" t="s">
        <v>455</v>
      </c>
      <c r="G712" t="s">
        <v>456</v>
      </c>
      <c r="H712" t="s">
        <v>68</v>
      </c>
      <c r="I712" t="s">
        <v>334</v>
      </c>
      <c r="J712">
        <v>0</v>
      </c>
      <c r="L712" s="5">
        <v>0</v>
      </c>
      <c r="M712">
        <v>0</v>
      </c>
      <c r="N712" s="5">
        <v>0</v>
      </c>
      <c r="O712" s="5">
        <v>0</v>
      </c>
      <c r="P712">
        <v>4</v>
      </c>
      <c r="Q712" s="5">
        <v>1640</v>
      </c>
      <c r="R712" s="5">
        <v>991.44</v>
      </c>
      <c r="S712" s="5">
        <v>410</v>
      </c>
    </row>
    <row r="713" spans="1:19">
      <c r="A713">
        <v>69</v>
      </c>
      <c r="B713" t="s">
        <v>130</v>
      </c>
      <c r="C713" t="s">
        <v>137</v>
      </c>
      <c r="D713" t="s">
        <v>131</v>
      </c>
      <c r="E713">
        <v>153021572</v>
      </c>
      <c r="F713" t="s">
        <v>455</v>
      </c>
      <c r="G713" t="s">
        <v>456</v>
      </c>
      <c r="H713" t="s">
        <v>68</v>
      </c>
      <c r="I713" t="s">
        <v>338</v>
      </c>
      <c r="J713">
        <v>0</v>
      </c>
      <c r="L713" s="5">
        <v>0</v>
      </c>
      <c r="M713">
        <v>0</v>
      </c>
      <c r="N713" s="5">
        <v>0</v>
      </c>
      <c r="O713" s="5">
        <v>0</v>
      </c>
      <c r="P713">
        <v>2</v>
      </c>
      <c r="Q713" s="5">
        <v>900</v>
      </c>
      <c r="R713" s="5">
        <v>415.23</v>
      </c>
      <c r="S713" s="5">
        <v>450</v>
      </c>
    </row>
    <row r="714" spans="1:19">
      <c r="A714">
        <v>69</v>
      </c>
      <c r="B714" t="s">
        <v>130</v>
      </c>
      <c r="C714" t="s">
        <v>137</v>
      </c>
      <c r="D714" t="s">
        <v>131</v>
      </c>
      <c r="E714">
        <v>153021572</v>
      </c>
      <c r="F714" t="s">
        <v>455</v>
      </c>
      <c r="G714" t="s">
        <v>456</v>
      </c>
      <c r="H714" t="s">
        <v>68</v>
      </c>
      <c r="I714" t="s">
        <v>337</v>
      </c>
      <c r="J714">
        <v>4</v>
      </c>
      <c r="K714" s="5">
        <v>959.05</v>
      </c>
      <c r="L714" s="5">
        <v>560</v>
      </c>
      <c r="M714">
        <v>0.41608883699999999</v>
      </c>
      <c r="N714" s="5">
        <v>399.05</v>
      </c>
      <c r="O714" s="5">
        <v>99.76</v>
      </c>
      <c r="P714">
        <v>0</v>
      </c>
      <c r="Q714" s="5">
        <v>0</v>
      </c>
      <c r="R714" s="5">
        <v>0</v>
      </c>
      <c r="S714" s="5">
        <v>140</v>
      </c>
    </row>
    <row r="715" spans="1:19">
      <c r="A715">
        <v>69</v>
      </c>
      <c r="B715" t="s">
        <v>130</v>
      </c>
      <c r="C715" t="s">
        <v>137</v>
      </c>
      <c r="D715" t="s">
        <v>131</v>
      </c>
      <c r="E715">
        <v>153021572</v>
      </c>
      <c r="F715" t="s">
        <v>455</v>
      </c>
      <c r="G715" t="s">
        <v>456</v>
      </c>
      <c r="H715" t="s">
        <v>68</v>
      </c>
      <c r="I715" t="s">
        <v>334</v>
      </c>
      <c r="J715">
        <v>0</v>
      </c>
      <c r="L715" s="5">
        <v>0</v>
      </c>
      <c r="M715">
        <v>0</v>
      </c>
      <c r="N715" s="5">
        <v>0</v>
      </c>
      <c r="O715" s="5">
        <v>0</v>
      </c>
      <c r="P715">
        <v>4</v>
      </c>
      <c r="Q715" s="5">
        <v>1640</v>
      </c>
      <c r="R715" s="5">
        <v>1074.06</v>
      </c>
      <c r="S715" s="5">
        <v>410</v>
      </c>
    </row>
    <row r="716" spans="1:19">
      <c r="A716">
        <v>69</v>
      </c>
      <c r="B716" t="s">
        <v>130</v>
      </c>
      <c r="C716" t="s">
        <v>137</v>
      </c>
      <c r="D716" t="s">
        <v>131</v>
      </c>
      <c r="E716">
        <v>153021572</v>
      </c>
      <c r="F716" t="s">
        <v>455</v>
      </c>
      <c r="G716" t="s">
        <v>456</v>
      </c>
      <c r="H716" t="s">
        <v>68</v>
      </c>
      <c r="I716" t="s">
        <v>333</v>
      </c>
      <c r="J716">
        <v>4</v>
      </c>
      <c r="K716" s="5">
        <v>1067.18</v>
      </c>
      <c r="L716" s="5">
        <v>1240</v>
      </c>
      <c r="M716">
        <v>-0.16194081499999999</v>
      </c>
      <c r="N716" s="5">
        <v>-172.82</v>
      </c>
      <c r="O716" s="5">
        <v>-43.2</v>
      </c>
      <c r="P716">
        <v>0</v>
      </c>
      <c r="Q716" s="5">
        <v>0</v>
      </c>
      <c r="R716" s="5">
        <v>0</v>
      </c>
      <c r="S716" s="5">
        <v>310</v>
      </c>
    </row>
    <row r="717" spans="1:19">
      <c r="A717">
        <v>69</v>
      </c>
      <c r="B717" t="s">
        <v>130</v>
      </c>
      <c r="C717" t="s">
        <v>137</v>
      </c>
      <c r="D717" t="s">
        <v>131</v>
      </c>
      <c r="E717">
        <v>153021572</v>
      </c>
      <c r="F717" t="s">
        <v>455</v>
      </c>
      <c r="G717" t="s">
        <v>456</v>
      </c>
      <c r="H717" t="s">
        <v>68</v>
      </c>
      <c r="I717" t="s">
        <v>333</v>
      </c>
      <c r="J717">
        <v>0</v>
      </c>
      <c r="L717" s="5">
        <v>0</v>
      </c>
      <c r="M717">
        <v>0</v>
      </c>
      <c r="N717" s="5">
        <v>0</v>
      </c>
      <c r="O717" s="5">
        <v>0</v>
      </c>
      <c r="P717">
        <v>4</v>
      </c>
      <c r="Q717" s="5">
        <v>1520</v>
      </c>
      <c r="R717" s="5">
        <v>679.55</v>
      </c>
      <c r="S717" s="5">
        <v>380</v>
      </c>
    </row>
    <row r="718" spans="1:19">
      <c r="A718">
        <v>69</v>
      </c>
      <c r="B718" t="s">
        <v>130</v>
      </c>
      <c r="C718" t="s">
        <v>137</v>
      </c>
      <c r="D718" t="s">
        <v>131</v>
      </c>
      <c r="E718">
        <v>153021572</v>
      </c>
      <c r="F718" t="s">
        <v>455</v>
      </c>
      <c r="G718" t="s">
        <v>456</v>
      </c>
      <c r="H718" t="s">
        <v>68</v>
      </c>
      <c r="I718" t="s">
        <v>337</v>
      </c>
      <c r="J718">
        <v>4</v>
      </c>
      <c r="K718" s="5">
        <v>849.6</v>
      </c>
      <c r="L718" s="5">
        <v>560</v>
      </c>
      <c r="M718">
        <v>0.34086629000000002</v>
      </c>
      <c r="N718" s="5">
        <v>289.60000000000002</v>
      </c>
      <c r="O718" s="5">
        <v>72.400000000000006</v>
      </c>
      <c r="P718">
        <v>0</v>
      </c>
      <c r="Q718" s="5">
        <v>0</v>
      </c>
      <c r="R718" s="5">
        <v>0</v>
      </c>
      <c r="S718" s="5">
        <v>140</v>
      </c>
    </row>
    <row r="719" spans="1:19">
      <c r="A719">
        <v>69</v>
      </c>
      <c r="B719" t="s">
        <v>130</v>
      </c>
      <c r="C719" t="s">
        <v>137</v>
      </c>
      <c r="D719" t="s">
        <v>131</v>
      </c>
      <c r="E719">
        <v>153021572</v>
      </c>
      <c r="F719" t="s">
        <v>455</v>
      </c>
      <c r="G719" t="s">
        <v>456</v>
      </c>
      <c r="H719" t="s">
        <v>68</v>
      </c>
      <c r="I719" t="s">
        <v>337</v>
      </c>
      <c r="J719">
        <v>4</v>
      </c>
      <c r="K719" s="5">
        <v>752.84</v>
      </c>
      <c r="L719" s="5">
        <v>560</v>
      </c>
      <c r="M719">
        <v>0.25615004499999999</v>
      </c>
      <c r="N719" s="5">
        <v>192.84</v>
      </c>
      <c r="O719" s="5">
        <v>48.21</v>
      </c>
      <c r="P719">
        <v>0</v>
      </c>
      <c r="Q719" s="5">
        <v>0</v>
      </c>
      <c r="R719" s="5">
        <v>0</v>
      </c>
      <c r="S719" s="5">
        <v>140</v>
      </c>
    </row>
    <row r="720" spans="1:19">
      <c r="A720">
        <v>69</v>
      </c>
      <c r="B720" t="s">
        <v>130</v>
      </c>
      <c r="C720" t="s">
        <v>137</v>
      </c>
      <c r="D720" t="s">
        <v>131</v>
      </c>
      <c r="E720">
        <v>153021572</v>
      </c>
      <c r="F720" t="s">
        <v>455</v>
      </c>
      <c r="G720" t="s">
        <v>456</v>
      </c>
      <c r="H720" t="s">
        <v>68</v>
      </c>
      <c r="I720" t="s">
        <v>334</v>
      </c>
      <c r="J720">
        <v>4</v>
      </c>
      <c r="K720" s="5">
        <v>1955.8</v>
      </c>
      <c r="L720" s="5">
        <v>1640</v>
      </c>
      <c r="M720">
        <v>0.16146845200000001</v>
      </c>
      <c r="N720" s="5">
        <v>315.8</v>
      </c>
      <c r="O720" s="5">
        <v>78.95</v>
      </c>
      <c r="P720">
        <v>0</v>
      </c>
      <c r="Q720" s="5">
        <v>0</v>
      </c>
      <c r="R720" s="5">
        <v>0</v>
      </c>
      <c r="S720" s="5">
        <v>410</v>
      </c>
    </row>
    <row r="721" spans="1:19">
      <c r="A721">
        <v>69</v>
      </c>
      <c r="B721" t="s">
        <v>130</v>
      </c>
      <c r="C721" t="s">
        <v>137</v>
      </c>
      <c r="D721" t="s">
        <v>131</v>
      </c>
      <c r="E721">
        <v>153021572</v>
      </c>
      <c r="F721" t="s">
        <v>455</v>
      </c>
      <c r="G721" t="s">
        <v>456</v>
      </c>
      <c r="H721" t="s">
        <v>68</v>
      </c>
      <c r="I721" t="s">
        <v>334</v>
      </c>
      <c r="J721">
        <v>4</v>
      </c>
      <c r="K721" s="5">
        <v>2316.88</v>
      </c>
      <c r="L721" s="5">
        <v>1640</v>
      </c>
      <c r="M721">
        <v>0.292151514</v>
      </c>
      <c r="N721" s="5">
        <v>676.88</v>
      </c>
      <c r="O721" s="5">
        <v>169.22</v>
      </c>
      <c r="P721">
        <v>0</v>
      </c>
      <c r="Q721" s="5">
        <v>0</v>
      </c>
      <c r="R721" s="5">
        <v>0</v>
      </c>
      <c r="S721" s="5">
        <v>410</v>
      </c>
    </row>
    <row r="722" spans="1:19">
      <c r="A722">
        <v>69</v>
      </c>
      <c r="B722" t="s">
        <v>130</v>
      </c>
      <c r="C722" t="s">
        <v>137</v>
      </c>
      <c r="D722" t="s">
        <v>131</v>
      </c>
      <c r="E722">
        <v>153021572</v>
      </c>
      <c r="F722" t="s">
        <v>455</v>
      </c>
      <c r="G722" t="s">
        <v>456</v>
      </c>
      <c r="H722" t="s">
        <v>68</v>
      </c>
      <c r="I722" t="s">
        <v>334</v>
      </c>
      <c r="J722">
        <v>2</v>
      </c>
      <c r="K722" s="5">
        <v>878.32</v>
      </c>
      <c r="L722" s="5">
        <v>820</v>
      </c>
      <c r="M722">
        <v>6.6399489000000006E-2</v>
      </c>
      <c r="N722" s="5">
        <v>58.32</v>
      </c>
      <c r="O722" s="5">
        <v>29.16</v>
      </c>
      <c r="P722">
        <v>2</v>
      </c>
      <c r="Q722" s="5">
        <v>820</v>
      </c>
      <c r="R722" s="5">
        <v>913.08</v>
      </c>
      <c r="S722" s="5">
        <v>410</v>
      </c>
    </row>
    <row r="723" spans="1:19">
      <c r="A723">
        <v>69</v>
      </c>
      <c r="B723" t="s">
        <v>130</v>
      </c>
      <c r="C723" t="s">
        <v>137</v>
      </c>
      <c r="D723" t="s">
        <v>131</v>
      </c>
      <c r="E723">
        <v>153021572</v>
      </c>
      <c r="F723" t="s">
        <v>455</v>
      </c>
      <c r="G723" t="s">
        <v>456</v>
      </c>
      <c r="H723" t="s">
        <v>68</v>
      </c>
      <c r="I723" t="s">
        <v>337</v>
      </c>
      <c r="J723">
        <v>4</v>
      </c>
      <c r="K723" s="5">
        <v>825.68</v>
      </c>
      <c r="L723" s="5">
        <v>560</v>
      </c>
      <c r="M723">
        <v>0.32177114600000001</v>
      </c>
      <c r="N723" s="5">
        <v>265.68</v>
      </c>
      <c r="O723" s="5">
        <v>66.42</v>
      </c>
      <c r="P723">
        <v>0</v>
      </c>
      <c r="Q723" s="5">
        <v>0</v>
      </c>
      <c r="R723" s="5">
        <v>0</v>
      </c>
      <c r="S723" s="5">
        <v>140</v>
      </c>
    </row>
    <row r="724" spans="1:19">
      <c r="A724">
        <v>69</v>
      </c>
      <c r="B724" t="s">
        <v>130</v>
      </c>
      <c r="C724" t="s">
        <v>137</v>
      </c>
      <c r="D724" t="s">
        <v>131</v>
      </c>
      <c r="E724">
        <v>153021572</v>
      </c>
      <c r="F724" t="s">
        <v>455</v>
      </c>
      <c r="G724" t="s">
        <v>456</v>
      </c>
      <c r="H724" t="s">
        <v>68</v>
      </c>
      <c r="I724" t="s">
        <v>334</v>
      </c>
      <c r="J724">
        <v>0</v>
      </c>
      <c r="L724" s="5">
        <v>0</v>
      </c>
      <c r="M724">
        <v>0</v>
      </c>
      <c r="N724" s="5">
        <v>0</v>
      </c>
      <c r="O724" s="5">
        <v>0</v>
      </c>
      <c r="P724">
        <v>4</v>
      </c>
      <c r="Q724" s="5">
        <v>1640</v>
      </c>
      <c r="R724" s="5">
        <v>1032.75</v>
      </c>
      <c r="S724" s="5">
        <v>410</v>
      </c>
    </row>
    <row r="725" spans="1:19">
      <c r="A725">
        <v>69</v>
      </c>
      <c r="B725" t="s">
        <v>130</v>
      </c>
      <c r="C725" t="s">
        <v>137</v>
      </c>
      <c r="D725" t="s">
        <v>131</v>
      </c>
      <c r="E725">
        <v>153021572</v>
      </c>
      <c r="F725" t="s">
        <v>455</v>
      </c>
      <c r="G725" t="s">
        <v>456</v>
      </c>
      <c r="H725" t="s">
        <v>68</v>
      </c>
      <c r="I725" t="s">
        <v>333</v>
      </c>
      <c r="J725">
        <v>4</v>
      </c>
      <c r="K725" s="5">
        <v>1197.55</v>
      </c>
      <c r="L725" s="5">
        <v>1240</v>
      </c>
      <c r="M725">
        <v>-3.5447370999999998E-2</v>
      </c>
      <c r="N725" s="5">
        <v>-42.45</v>
      </c>
      <c r="O725" s="5">
        <v>-10.61</v>
      </c>
      <c r="P725">
        <v>0</v>
      </c>
      <c r="Q725" s="5">
        <v>0</v>
      </c>
      <c r="R725" s="5">
        <v>0</v>
      </c>
      <c r="S725" s="5">
        <v>310</v>
      </c>
    </row>
    <row r="726" spans="1:19">
      <c r="A726">
        <v>69</v>
      </c>
      <c r="B726" t="s">
        <v>130</v>
      </c>
      <c r="C726" t="s">
        <v>137</v>
      </c>
      <c r="D726" t="s">
        <v>131</v>
      </c>
      <c r="E726">
        <v>153021572</v>
      </c>
      <c r="F726" t="s">
        <v>455</v>
      </c>
      <c r="G726" t="s">
        <v>456</v>
      </c>
      <c r="H726" t="s">
        <v>68</v>
      </c>
      <c r="I726" t="s">
        <v>337</v>
      </c>
      <c r="J726">
        <v>4</v>
      </c>
      <c r="K726" s="5">
        <v>963.16</v>
      </c>
      <c r="L726" s="5">
        <v>560</v>
      </c>
      <c r="M726">
        <v>0.41858050499999999</v>
      </c>
      <c r="N726" s="5">
        <v>403.16</v>
      </c>
      <c r="O726" s="5">
        <v>100.79</v>
      </c>
      <c r="P726">
        <v>0</v>
      </c>
      <c r="Q726" s="5">
        <v>0</v>
      </c>
      <c r="R726" s="5">
        <v>0</v>
      </c>
      <c r="S726" s="5">
        <v>140</v>
      </c>
    </row>
    <row r="727" spans="1:19">
      <c r="A727">
        <v>69</v>
      </c>
      <c r="B727" t="s">
        <v>130</v>
      </c>
      <c r="C727" t="s">
        <v>137</v>
      </c>
      <c r="D727" t="s">
        <v>131</v>
      </c>
      <c r="E727">
        <v>153021572</v>
      </c>
      <c r="F727" t="s">
        <v>455</v>
      </c>
      <c r="G727" t="s">
        <v>456</v>
      </c>
      <c r="H727" t="s">
        <v>68</v>
      </c>
      <c r="I727" t="s">
        <v>343</v>
      </c>
      <c r="J727">
        <v>0</v>
      </c>
      <c r="L727" s="5">
        <v>0</v>
      </c>
      <c r="M727">
        <v>0</v>
      </c>
      <c r="N727" s="5">
        <v>0</v>
      </c>
      <c r="O727" s="5">
        <v>0</v>
      </c>
      <c r="P727">
        <v>2</v>
      </c>
      <c r="Q727" s="5">
        <v>760</v>
      </c>
      <c r="R727" s="5">
        <v>324.83</v>
      </c>
      <c r="S727" s="5">
        <v>380</v>
      </c>
    </row>
    <row r="728" spans="1:19">
      <c r="A728">
        <v>69</v>
      </c>
      <c r="B728" t="s">
        <v>130</v>
      </c>
      <c r="C728" t="s">
        <v>137</v>
      </c>
      <c r="D728" t="s">
        <v>131</v>
      </c>
      <c r="E728">
        <v>153021572</v>
      </c>
      <c r="F728" t="s">
        <v>455</v>
      </c>
      <c r="G728" t="s">
        <v>456</v>
      </c>
      <c r="H728" t="s">
        <v>68</v>
      </c>
      <c r="I728" t="s">
        <v>334</v>
      </c>
      <c r="J728">
        <v>0</v>
      </c>
      <c r="L728" s="5">
        <v>0</v>
      </c>
      <c r="M728">
        <v>0</v>
      </c>
      <c r="N728" s="5">
        <v>0</v>
      </c>
      <c r="O728" s="5">
        <v>0</v>
      </c>
      <c r="P728">
        <v>4</v>
      </c>
      <c r="Q728" s="5">
        <v>1800</v>
      </c>
      <c r="R728" s="5">
        <v>497.85</v>
      </c>
      <c r="S728" s="5">
        <v>450</v>
      </c>
    </row>
    <row r="729" spans="1:19">
      <c r="A729">
        <v>69</v>
      </c>
      <c r="B729" t="s">
        <v>130</v>
      </c>
      <c r="C729" t="s">
        <v>137</v>
      </c>
      <c r="D729" t="s">
        <v>131</v>
      </c>
      <c r="E729">
        <v>153021572</v>
      </c>
      <c r="F729" t="s">
        <v>455</v>
      </c>
      <c r="G729" t="s">
        <v>456</v>
      </c>
      <c r="H729" t="s">
        <v>68</v>
      </c>
      <c r="I729" t="s">
        <v>337</v>
      </c>
      <c r="J729">
        <v>4</v>
      </c>
      <c r="K729" s="5">
        <v>681.25</v>
      </c>
      <c r="L729" s="5">
        <v>560</v>
      </c>
      <c r="M729">
        <v>0.17798165099999999</v>
      </c>
      <c r="N729" s="5">
        <v>121.25</v>
      </c>
      <c r="O729" s="5">
        <v>30.31</v>
      </c>
      <c r="P729">
        <v>0</v>
      </c>
      <c r="Q729" s="5">
        <v>0</v>
      </c>
      <c r="R729" s="5">
        <v>0</v>
      </c>
      <c r="S729" s="5">
        <v>140</v>
      </c>
    </row>
    <row r="730" spans="1:19">
      <c r="A730">
        <v>69</v>
      </c>
      <c r="B730" t="s">
        <v>130</v>
      </c>
      <c r="C730" t="s">
        <v>137</v>
      </c>
      <c r="D730" t="s">
        <v>131</v>
      </c>
      <c r="E730">
        <v>153021572</v>
      </c>
      <c r="F730" t="s">
        <v>455</v>
      </c>
      <c r="G730" t="s">
        <v>456</v>
      </c>
      <c r="H730" t="s">
        <v>68</v>
      </c>
      <c r="I730" t="s">
        <v>334</v>
      </c>
      <c r="J730">
        <v>4</v>
      </c>
      <c r="K730" s="5">
        <v>2354.5300000000002</v>
      </c>
      <c r="L730" s="5">
        <v>1640</v>
      </c>
      <c r="M730">
        <v>0.30347033099999998</v>
      </c>
      <c r="N730" s="5">
        <v>714.53</v>
      </c>
      <c r="O730" s="5">
        <v>178.63</v>
      </c>
      <c r="P730">
        <v>0</v>
      </c>
      <c r="Q730" s="5">
        <v>0</v>
      </c>
      <c r="R730" s="5">
        <v>0</v>
      </c>
      <c r="S730" s="5">
        <v>410</v>
      </c>
    </row>
    <row r="731" spans="1:19">
      <c r="A731">
        <v>69</v>
      </c>
      <c r="B731" t="s">
        <v>130</v>
      </c>
      <c r="C731" t="s">
        <v>137</v>
      </c>
      <c r="D731" t="s">
        <v>131</v>
      </c>
      <c r="E731">
        <v>153021572</v>
      </c>
      <c r="F731" t="s">
        <v>455</v>
      </c>
      <c r="G731" t="s">
        <v>456</v>
      </c>
      <c r="H731" t="s">
        <v>68</v>
      </c>
      <c r="I731" t="s">
        <v>334</v>
      </c>
      <c r="J731">
        <v>0</v>
      </c>
      <c r="L731" s="5">
        <v>0</v>
      </c>
      <c r="M731">
        <v>0</v>
      </c>
      <c r="N731" s="5">
        <v>0</v>
      </c>
      <c r="O731" s="5">
        <v>0</v>
      </c>
      <c r="P731">
        <v>4</v>
      </c>
      <c r="Q731" s="5">
        <v>1640</v>
      </c>
      <c r="R731" s="5">
        <v>1156.68</v>
      </c>
      <c r="S731" s="5">
        <v>410</v>
      </c>
    </row>
    <row r="732" spans="1:19">
      <c r="A732">
        <v>69</v>
      </c>
      <c r="B732" t="s">
        <v>130</v>
      </c>
      <c r="C732" t="s">
        <v>137</v>
      </c>
      <c r="D732" t="s">
        <v>131</v>
      </c>
      <c r="E732">
        <v>153021572</v>
      </c>
      <c r="F732" t="s">
        <v>455</v>
      </c>
      <c r="G732" t="s">
        <v>456</v>
      </c>
      <c r="H732" t="s">
        <v>68</v>
      </c>
      <c r="I732" t="s">
        <v>337</v>
      </c>
      <c r="J732">
        <v>4</v>
      </c>
      <c r="K732" s="5">
        <v>968.66</v>
      </c>
      <c r="L732" s="5">
        <v>560</v>
      </c>
      <c r="M732">
        <v>0.42188177399999999</v>
      </c>
      <c r="N732" s="5">
        <v>408.66</v>
      </c>
      <c r="O732" s="5">
        <v>102.16</v>
      </c>
      <c r="P732">
        <v>0</v>
      </c>
      <c r="Q732" s="5">
        <v>0</v>
      </c>
      <c r="R732" s="5">
        <v>0</v>
      </c>
      <c r="S732" s="5">
        <v>140</v>
      </c>
    </row>
    <row r="733" spans="1:19">
      <c r="A733">
        <v>69</v>
      </c>
      <c r="B733" t="s">
        <v>130</v>
      </c>
      <c r="C733" t="s">
        <v>137</v>
      </c>
      <c r="D733" t="s">
        <v>131</v>
      </c>
      <c r="E733">
        <v>153021572</v>
      </c>
      <c r="F733" t="s">
        <v>455</v>
      </c>
      <c r="G733" t="s">
        <v>456</v>
      </c>
      <c r="H733" t="s">
        <v>68</v>
      </c>
      <c r="I733" t="s">
        <v>333</v>
      </c>
      <c r="J733">
        <v>4</v>
      </c>
      <c r="K733" s="5">
        <v>1219.56</v>
      </c>
      <c r="L733" s="5">
        <v>1240</v>
      </c>
      <c r="M733">
        <v>-1.6760143000000002E-2</v>
      </c>
      <c r="N733" s="5">
        <v>-20.440000000000001</v>
      </c>
      <c r="O733" s="5">
        <v>-5.1100000000000003</v>
      </c>
      <c r="P733">
        <v>0</v>
      </c>
      <c r="Q733" s="5">
        <v>0</v>
      </c>
      <c r="R733" s="5">
        <v>0</v>
      </c>
      <c r="S733" s="5">
        <v>310</v>
      </c>
    </row>
    <row r="734" spans="1:19">
      <c r="A734">
        <v>70</v>
      </c>
      <c r="B734" t="s">
        <v>138</v>
      </c>
      <c r="C734" t="s">
        <v>129</v>
      </c>
      <c r="D734" t="s">
        <v>131</v>
      </c>
      <c r="E734">
        <v>153021572</v>
      </c>
      <c r="F734" t="s">
        <v>457</v>
      </c>
      <c r="G734" t="s">
        <v>456</v>
      </c>
      <c r="H734" t="s">
        <v>74</v>
      </c>
      <c r="I734" t="s">
        <v>333</v>
      </c>
      <c r="J734">
        <v>4</v>
      </c>
      <c r="K734" s="5">
        <v>4416.7299999999996</v>
      </c>
      <c r="L734" s="5">
        <v>1340</v>
      </c>
      <c r="M734">
        <v>0.69660812400000005</v>
      </c>
      <c r="N734" s="5">
        <v>3076.73</v>
      </c>
      <c r="O734" s="5">
        <v>769.18</v>
      </c>
      <c r="P734">
        <v>0</v>
      </c>
      <c r="Q734" s="5">
        <v>0</v>
      </c>
      <c r="R734" s="5">
        <v>0</v>
      </c>
      <c r="S734" s="5">
        <v>335</v>
      </c>
    </row>
    <row r="735" spans="1:19">
      <c r="A735">
        <v>70</v>
      </c>
      <c r="B735" t="s">
        <v>138</v>
      </c>
      <c r="C735" t="s">
        <v>129</v>
      </c>
      <c r="D735" t="s">
        <v>131</v>
      </c>
      <c r="E735">
        <v>153021391</v>
      </c>
      <c r="F735" t="s">
        <v>457</v>
      </c>
      <c r="G735" t="s">
        <v>456</v>
      </c>
      <c r="H735" t="s">
        <v>74</v>
      </c>
      <c r="I735" t="s">
        <v>333</v>
      </c>
      <c r="J735">
        <v>4</v>
      </c>
      <c r="K735" s="5">
        <v>3607.36</v>
      </c>
      <c r="L735" s="5">
        <v>1340</v>
      </c>
      <c r="M735">
        <v>0.62853721200000001</v>
      </c>
      <c r="N735" s="5">
        <v>2267.36</v>
      </c>
      <c r="O735" s="5">
        <v>566.84</v>
      </c>
      <c r="P735">
        <v>0</v>
      </c>
      <c r="Q735" s="5">
        <v>0</v>
      </c>
      <c r="R735" s="5">
        <v>0</v>
      </c>
      <c r="S735" s="5">
        <v>335</v>
      </c>
    </row>
    <row r="736" spans="1:19">
      <c r="A736">
        <v>70</v>
      </c>
      <c r="B736" t="s">
        <v>138</v>
      </c>
      <c r="C736" t="s">
        <v>129</v>
      </c>
      <c r="D736" t="s">
        <v>131</v>
      </c>
      <c r="E736">
        <v>153021391</v>
      </c>
      <c r="F736" t="s">
        <v>457</v>
      </c>
      <c r="G736" t="s">
        <v>456</v>
      </c>
      <c r="H736" t="s">
        <v>74</v>
      </c>
      <c r="I736" t="s">
        <v>333</v>
      </c>
      <c r="J736">
        <v>4</v>
      </c>
      <c r="K736" s="5">
        <v>3372.32</v>
      </c>
      <c r="L736" s="5">
        <v>1340</v>
      </c>
      <c r="M736">
        <v>0.60264743499999995</v>
      </c>
      <c r="N736" s="5">
        <v>2032.32</v>
      </c>
      <c r="O736" s="5">
        <v>508.08</v>
      </c>
      <c r="P736">
        <v>0</v>
      </c>
      <c r="Q736" s="5">
        <v>0</v>
      </c>
      <c r="R736" s="5">
        <v>0</v>
      </c>
      <c r="S736" s="5">
        <v>335</v>
      </c>
    </row>
    <row r="737" spans="1:19">
      <c r="A737">
        <v>70</v>
      </c>
      <c r="B737" t="s">
        <v>138</v>
      </c>
      <c r="C737" t="s">
        <v>129</v>
      </c>
      <c r="D737" t="s">
        <v>131</v>
      </c>
      <c r="E737">
        <v>153021391</v>
      </c>
      <c r="F737" t="s">
        <v>457</v>
      </c>
      <c r="G737" t="s">
        <v>456</v>
      </c>
      <c r="H737" t="s">
        <v>74</v>
      </c>
      <c r="I737" t="s">
        <v>334</v>
      </c>
      <c r="J737">
        <v>0</v>
      </c>
      <c r="L737" s="5">
        <v>0</v>
      </c>
      <c r="M737">
        <v>0</v>
      </c>
      <c r="N737" s="5">
        <v>0</v>
      </c>
      <c r="O737" s="5">
        <v>0</v>
      </c>
      <c r="P737">
        <v>4</v>
      </c>
      <c r="Q737" s="5">
        <v>1780</v>
      </c>
      <c r="R737" s="5">
        <v>1575.08</v>
      </c>
      <c r="S737" s="5">
        <v>445</v>
      </c>
    </row>
    <row r="738" spans="1:19">
      <c r="A738">
        <v>70</v>
      </c>
      <c r="B738" t="s">
        <v>138</v>
      </c>
      <c r="C738" t="s">
        <v>129</v>
      </c>
      <c r="D738" t="s">
        <v>131</v>
      </c>
      <c r="E738">
        <v>153021391</v>
      </c>
      <c r="F738" t="s">
        <v>457</v>
      </c>
      <c r="G738" t="s">
        <v>456</v>
      </c>
      <c r="H738" t="s">
        <v>74</v>
      </c>
      <c r="I738" t="s">
        <v>333</v>
      </c>
      <c r="J738">
        <v>4</v>
      </c>
      <c r="K738" s="5">
        <v>4250.8100000000004</v>
      </c>
      <c r="L738" s="5">
        <v>1340</v>
      </c>
      <c r="M738">
        <v>0.68476596199999995</v>
      </c>
      <c r="N738" s="5">
        <v>2910.81</v>
      </c>
      <c r="O738" s="5">
        <v>727.7</v>
      </c>
      <c r="P738">
        <v>0</v>
      </c>
      <c r="Q738" s="5">
        <v>0</v>
      </c>
      <c r="R738" s="5">
        <v>0</v>
      </c>
      <c r="S738" s="5">
        <v>335</v>
      </c>
    </row>
    <row r="739" spans="1:19">
      <c r="A739">
        <v>70</v>
      </c>
      <c r="B739" t="s">
        <v>138</v>
      </c>
      <c r="C739" t="s">
        <v>129</v>
      </c>
      <c r="D739" t="s">
        <v>131</v>
      </c>
      <c r="E739">
        <v>153021391</v>
      </c>
      <c r="F739" t="s">
        <v>457</v>
      </c>
      <c r="G739" t="s">
        <v>456</v>
      </c>
      <c r="H739" t="s">
        <v>74</v>
      </c>
      <c r="I739" t="s">
        <v>333</v>
      </c>
      <c r="J739">
        <v>4</v>
      </c>
      <c r="K739" s="5">
        <v>3604.01</v>
      </c>
      <c r="L739" s="5">
        <v>1340</v>
      </c>
      <c r="M739">
        <v>0.62819192999999995</v>
      </c>
      <c r="N739" s="5">
        <v>2264.0100000000002</v>
      </c>
      <c r="O739" s="5">
        <v>566</v>
      </c>
      <c r="P739">
        <v>0</v>
      </c>
      <c r="Q739" s="5">
        <v>0</v>
      </c>
      <c r="R739" s="5">
        <v>0</v>
      </c>
      <c r="S739" s="5">
        <v>335</v>
      </c>
    </row>
    <row r="740" spans="1:19">
      <c r="A740">
        <v>70</v>
      </c>
      <c r="B740" t="s">
        <v>138</v>
      </c>
      <c r="C740" t="s">
        <v>129</v>
      </c>
      <c r="D740" t="s">
        <v>131</v>
      </c>
      <c r="E740">
        <v>153021391</v>
      </c>
      <c r="F740" t="s">
        <v>457</v>
      </c>
      <c r="G740" t="s">
        <v>456</v>
      </c>
      <c r="H740" t="s">
        <v>74</v>
      </c>
      <c r="I740" t="s">
        <v>333</v>
      </c>
      <c r="J740">
        <v>0</v>
      </c>
      <c r="L740" s="5">
        <v>0</v>
      </c>
      <c r="M740">
        <v>0</v>
      </c>
      <c r="N740" s="5">
        <v>0</v>
      </c>
      <c r="O740" s="5">
        <v>0</v>
      </c>
      <c r="P740">
        <v>4</v>
      </c>
      <c r="Q740" s="5">
        <v>1340</v>
      </c>
      <c r="R740" s="5">
        <v>1422.45</v>
      </c>
      <c r="S740" s="5">
        <v>335</v>
      </c>
    </row>
    <row r="741" spans="1:19">
      <c r="A741">
        <v>70</v>
      </c>
      <c r="B741" t="s">
        <v>138</v>
      </c>
      <c r="C741" t="s">
        <v>129</v>
      </c>
      <c r="D741" t="s">
        <v>131</v>
      </c>
      <c r="E741">
        <v>153021391</v>
      </c>
      <c r="F741" t="s">
        <v>457</v>
      </c>
      <c r="G741" t="s">
        <v>456</v>
      </c>
      <c r="H741" t="s">
        <v>74</v>
      </c>
      <c r="I741" t="s">
        <v>333</v>
      </c>
      <c r="J741">
        <v>0</v>
      </c>
      <c r="L741" s="5">
        <v>0</v>
      </c>
      <c r="M741">
        <v>0</v>
      </c>
      <c r="N741" s="5">
        <v>0</v>
      </c>
      <c r="O741" s="5">
        <v>0</v>
      </c>
      <c r="P741">
        <v>4</v>
      </c>
      <c r="Q741" s="5">
        <v>1340</v>
      </c>
      <c r="R741" s="5">
        <v>948.3</v>
      </c>
      <c r="S741" s="5">
        <v>335</v>
      </c>
    </row>
    <row r="742" spans="1:19">
      <c r="A742">
        <v>70</v>
      </c>
      <c r="B742" t="s">
        <v>138</v>
      </c>
      <c r="C742" t="s">
        <v>129</v>
      </c>
      <c r="D742" t="s">
        <v>131</v>
      </c>
      <c r="E742">
        <v>153021391</v>
      </c>
      <c r="F742" t="s">
        <v>457</v>
      </c>
      <c r="G742" t="s">
        <v>456</v>
      </c>
      <c r="H742" t="s">
        <v>74</v>
      </c>
      <c r="I742" t="s">
        <v>333</v>
      </c>
      <c r="J742">
        <v>4</v>
      </c>
      <c r="K742" s="5">
        <v>3561.76</v>
      </c>
      <c r="L742" s="5">
        <v>1340</v>
      </c>
      <c r="M742">
        <v>0.62378150099999996</v>
      </c>
      <c r="N742" s="5">
        <v>2221.7600000000002</v>
      </c>
      <c r="O742" s="5">
        <v>555.44000000000005</v>
      </c>
      <c r="P742">
        <v>0</v>
      </c>
      <c r="Q742" s="5">
        <v>0</v>
      </c>
      <c r="R742" s="5">
        <v>0</v>
      </c>
      <c r="S742" s="5">
        <v>335</v>
      </c>
    </row>
    <row r="743" spans="1:19">
      <c r="A743">
        <v>70</v>
      </c>
      <c r="B743" t="s">
        <v>138</v>
      </c>
      <c r="C743" t="s">
        <v>129</v>
      </c>
      <c r="D743" t="s">
        <v>131</v>
      </c>
      <c r="E743">
        <v>153021391</v>
      </c>
      <c r="F743" t="s">
        <v>457</v>
      </c>
      <c r="G743" t="s">
        <v>456</v>
      </c>
      <c r="H743" t="s">
        <v>74</v>
      </c>
      <c r="I743" t="s">
        <v>333</v>
      </c>
      <c r="J743">
        <v>4</v>
      </c>
      <c r="K743" s="5">
        <v>3797.4</v>
      </c>
      <c r="L743" s="5">
        <v>1340</v>
      </c>
      <c r="M743">
        <v>0.64712698099999999</v>
      </c>
      <c r="N743" s="5">
        <v>2457.4</v>
      </c>
      <c r="O743" s="5">
        <v>614.35</v>
      </c>
      <c r="P743">
        <v>0</v>
      </c>
      <c r="Q743" s="5">
        <v>0</v>
      </c>
      <c r="R743" s="5">
        <v>0</v>
      </c>
      <c r="S743" s="5">
        <v>335</v>
      </c>
    </row>
    <row r="744" spans="1:19">
      <c r="A744">
        <v>73</v>
      </c>
      <c r="B744" t="s">
        <v>229</v>
      </c>
      <c r="C744" t="s">
        <v>230</v>
      </c>
      <c r="D744" t="s">
        <v>231</v>
      </c>
      <c r="E744">
        <v>153021391</v>
      </c>
      <c r="F744" t="s">
        <v>458</v>
      </c>
      <c r="G744" t="s">
        <v>459</v>
      </c>
      <c r="H744" t="s">
        <v>113</v>
      </c>
      <c r="I744" t="s">
        <v>333</v>
      </c>
      <c r="J744">
        <v>0</v>
      </c>
      <c r="L744" s="5">
        <v>0</v>
      </c>
      <c r="M744">
        <v>0</v>
      </c>
      <c r="N744" s="5">
        <v>0</v>
      </c>
      <c r="O744" s="5">
        <v>0</v>
      </c>
      <c r="P744">
        <v>4</v>
      </c>
      <c r="Q744" s="5">
        <v>2120</v>
      </c>
      <c r="R744" s="5">
        <v>919.51</v>
      </c>
      <c r="S744" s="5">
        <v>530</v>
      </c>
    </row>
    <row r="745" spans="1:19">
      <c r="A745">
        <v>73</v>
      </c>
      <c r="B745" t="s">
        <v>229</v>
      </c>
      <c r="C745" t="s">
        <v>230</v>
      </c>
      <c r="D745" t="s">
        <v>231</v>
      </c>
      <c r="E745">
        <v>153020724</v>
      </c>
      <c r="F745" t="s">
        <v>458</v>
      </c>
      <c r="G745" t="s">
        <v>459</v>
      </c>
      <c r="H745" t="s">
        <v>113</v>
      </c>
      <c r="I745" t="s">
        <v>334</v>
      </c>
      <c r="J745">
        <v>0</v>
      </c>
      <c r="L745" s="5">
        <v>0</v>
      </c>
      <c r="M745">
        <v>0</v>
      </c>
      <c r="N745" s="5">
        <v>0</v>
      </c>
      <c r="O745" s="5">
        <v>0</v>
      </c>
      <c r="P745">
        <v>4</v>
      </c>
      <c r="Q745" s="5">
        <v>3000</v>
      </c>
      <c r="R745" s="5">
        <v>1074.33</v>
      </c>
      <c r="S745" s="5">
        <v>750</v>
      </c>
    </row>
    <row r="746" spans="1:19">
      <c r="A746">
        <v>73</v>
      </c>
      <c r="B746" t="s">
        <v>229</v>
      </c>
      <c r="C746" t="s">
        <v>230</v>
      </c>
      <c r="D746" t="s">
        <v>231</v>
      </c>
      <c r="E746">
        <v>153020724</v>
      </c>
      <c r="F746" t="s">
        <v>458</v>
      </c>
      <c r="G746" t="s">
        <v>459</v>
      </c>
      <c r="H746" t="s">
        <v>113</v>
      </c>
      <c r="I746" t="s">
        <v>333</v>
      </c>
      <c r="J746">
        <v>0</v>
      </c>
      <c r="L746" s="5">
        <v>0</v>
      </c>
      <c r="M746">
        <v>0</v>
      </c>
      <c r="N746" s="5">
        <v>0</v>
      </c>
      <c r="O746" s="5">
        <v>0</v>
      </c>
      <c r="P746">
        <v>4</v>
      </c>
      <c r="Q746" s="5">
        <v>2300</v>
      </c>
      <c r="R746" s="5">
        <v>2434.54</v>
      </c>
      <c r="S746" s="5">
        <v>575</v>
      </c>
    </row>
    <row r="747" spans="1:19">
      <c r="A747">
        <v>73</v>
      </c>
      <c r="B747" t="s">
        <v>229</v>
      </c>
      <c r="C747" t="s">
        <v>230</v>
      </c>
      <c r="D747" t="s">
        <v>231</v>
      </c>
      <c r="E747">
        <v>153020724</v>
      </c>
      <c r="F747" t="s">
        <v>458</v>
      </c>
      <c r="G747" t="s">
        <v>459</v>
      </c>
      <c r="H747" t="s">
        <v>113</v>
      </c>
      <c r="I747" t="s">
        <v>333</v>
      </c>
      <c r="J747">
        <v>0</v>
      </c>
      <c r="L747" s="5">
        <v>0</v>
      </c>
      <c r="M747">
        <v>0</v>
      </c>
      <c r="N747" s="5">
        <v>0</v>
      </c>
      <c r="O747" s="5">
        <v>0</v>
      </c>
      <c r="P747">
        <v>4</v>
      </c>
      <c r="Q747" s="5">
        <v>2300</v>
      </c>
      <c r="R747" s="5">
        <v>2678</v>
      </c>
      <c r="S747" s="5">
        <v>575</v>
      </c>
    </row>
    <row r="748" spans="1:19">
      <c r="A748">
        <v>73</v>
      </c>
      <c r="B748" t="s">
        <v>229</v>
      </c>
      <c r="C748" t="s">
        <v>230</v>
      </c>
      <c r="D748" t="s">
        <v>231</v>
      </c>
      <c r="E748">
        <v>153020724</v>
      </c>
      <c r="F748" t="s">
        <v>458</v>
      </c>
      <c r="G748" t="s">
        <v>459</v>
      </c>
      <c r="H748" t="s">
        <v>113</v>
      </c>
      <c r="I748" t="s">
        <v>333</v>
      </c>
      <c r="J748">
        <v>0</v>
      </c>
      <c r="L748" s="5">
        <v>0</v>
      </c>
      <c r="M748">
        <v>0</v>
      </c>
      <c r="N748" s="5">
        <v>0</v>
      </c>
      <c r="O748" s="5">
        <v>0</v>
      </c>
      <c r="P748">
        <v>4</v>
      </c>
      <c r="Q748" s="5">
        <v>2300</v>
      </c>
      <c r="R748" s="5">
        <v>2191.09</v>
      </c>
      <c r="S748" s="5">
        <v>575</v>
      </c>
    </row>
    <row r="749" spans="1:19">
      <c r="A749">
        <v>73</v>
      </c>
      <c r="B749" t="s">
        <v>229</v>
      </c>
      <c r="C749" t="s">
        <v>230</v>
      </c>
      <c r="D749" t="s">
        <v>231</v>
      </c>
      <c r="E749">
        <v>153020724</v>
      </c>
      <c r="F749" t="s">
        <v>458</v>
      </c>
      <c r="G749" t="s">
        <v>459</v>
      </c>
      <c r="H749" t="s">
        <v>113</v>
      </c>
      <c r="I749" t="s">
        <v>333</v>
      </c>
      <c r="J749">
        <v>0</v>
      </c>
      <c r="L749" s="5">
        <v>0</v>
      </c>
      <c r="M749">
        <v>0</v>
      </c>
      <c r="N749" s="5">
        <v>0</v>
      </c>
      <c r="O749" s="5">
        <v>0</v>
      </c>
      <c r="P749">
        <v>4</v>
      </c>
      <c r="Q749" s="5">
        <v>2000</v>
      </c>
      <c r="R749" s="5">
        <v>1055.74</v>
      </c>
      <c r="S749" s="5">
        <v>500</v>
      </c>
    </row>
    <row r="750" spans="1:19">
      <c r="A750">
        <v>73</v>
      </c>
      <c r="B750" t="s">
        <v>229</v>
      </c>
      <c r="C750" t="s">
        <v>230</v>
      </c>
      <c r="D750" t="s">
        <v>231</v>
      </c>
      <c r="E750">
        <v>153020724</v>
      </c>
      <c r="F750" t="s">
        <v>458</v>
      </c>
      <c r="G750" t="s">
        <v>459</v>
      </c>
      <c r="H750" t="s">
        <v>113</v>
      </c>
      <c r="I750" t="s">
        <v>333</v>
      </c>
      <c r="J750">
        <v>0</v>
      </c>
      <c r="L750" s="5">
        <v>0</v>
      </c>
      <c r="M750">
        <v>0</v>
      </c>
      <c r="N750" s="5">
        <v>0</v>
      </c>
      <c r="O750" s="5">
        <v>0</v>
      </c>
      <c r="P750">
        <v>4</v>
      </c>
      <c r="Q750" s="5">
        <v>2420</v>
      </c>
      <c r="R750" s="5">
        <v>783.29</v>
      </c>
      <c r="S750" s="5">
        <v>605</v>
      </c>
    </row>
    <row r="751" spans="1:19">
      <c r="A751">
        <v>73</v>
      </c>
      <c r="B751" t="s">
        <v>229</v>
      </c>
      <c r="C751" t="s">
        <v>230</v>
      </c>
      <c r="D751" t="s">
        <v>231</v>
      </c>
      <c r="E751">
        <v>153020724</v>
      </c>
      <c r="F751" t="s">
        <v>458</v>
      </c>
      <c r="G751" t="s">
        <v>459</v>
      </c>
      <c r="H751" t="s">
        <v>113</v>
      </c>
      <c r="I751" t="s">
        <v>333</v>
      </c>
      <c r="J751">
        <v>0</v>
      </c>
      <c r="L751" s="5">
        <v>0</v>
      </c>
      <c r="M751">
        <v>0</v>
      </c>
      <c r="N751" s="5">
        <v>0</v>
      </c>
      <c r="O751" s="5">
        <v>0</v>
      </c>
      <c r="P751">
        <v>4</v>
      </c>
      <c r="Q751" s="5">
        <v>2300</v>
      </c>
      <c r="R751" s="5">
        <v>1947.64</v>
      </c>
      <c r="S751" s="5">
        <v>575</v>
      </c>
    </row>
    <row r="752" spans="1:19">
      <c r="A752">
        <v>73</v>
      </c>
      <c r="B752" t="s">
        <v>229</v>
      </c>
      <c r="C752" t="s">
        <v>230</v>
      </c>
      <c r="D752" t="s">
        <v>231</v>
      </c>
      <c r="E752">
        <v>153020724</v>
      </c>
      <c r="F752" t="s">
        <v>458</v>
      </c>
      <c r="G752" t="s">
        <v>459</v>
      </c>
      <c r="H752" t="s">
        <v>113</v>
      </c>
      <c r="I752" t="s">
        <v>337</v>
      </c>
      <c r="J752">
        <v>4</v>
      </c>
      <c r="K752" s="5">
        <v>2265.91</v>
      </c>
      <c r="L752" s="5">
        <v>1160</v>
      </c>
      <c r="M752">
        <v>0.48806439699999998</v>
      </c>
      <c r="N752" s="5">
        <v>1105.9100000000001</v>
      </c>
      <c r="O752" s="5">
        <v>276.48</v>
      </c>
      <c r="P752">
        <v>0</v>
      </c>
      <c r="Q752" s="5">
        <v>0</v>
      </c>
      <c r="R752" s="5">
        <v>0</v>
      </c>
      <c r="S752" s="5">
        <v>290</v>
      </c>
    </row>
    <row r="753" spans="1:19">
      <c r="A753">
        <v>73</v>
      </c>
      <c r="B753" t="s">
        <v>229</v>
      </c>
      <c r="C753" t="s">
        <v>230</v>
      </c>
      <c r="D753" t="s">
        <v>231</v>
      </c>
      <c r="E753">
        <v>153020724</v>
      </c>
      <c r="F753" t="s">
        <v>458</v>
      </c>
      <c r="G753" t="s">
        <v>459</v>
      </c>
      <c r="H753" t="s">
        <v>113</v>
      </c>
      <c r="I753" t="s">
        <v>334</v>
      </c>
      <c r="J753">
        <v>0</v>
      </c>
      <c r="L753" s="5">
        <v>0</v>
      </c>
      <c r="M753">
        <v>0</v>
      </c>
      <c r="N753" s="5">
        <v>0</v>
      </c>
      <c r="O753" s="5">
        <v>0</v>
      </c>
      <c r="P753">
        <v>4</v>
      </c>
      <c r="Q753" s="5">
        <v>3000</v>
      </c>
      <c r="R753" s="5">
        <v>2242.08</v>
      </c>
      <c r="S753" s="5">
        <v>750</v>
      </c>
    </row>
    <row r="754" spans="1:19">
      <c r="A754">
        <v>73</v>
      </c>
      <c r="B754" t="s">
        <v>229</v>
      </c>
      <c r="C754" t="s">
        <v>230</v>
      </c>
      <c r="D754" t="s">
        <v>231</v>
      </c>
      <c r="E754">
        <v>153020724</v>
      </c>
      <c r="F754" t="s">
        <v>458</v>
      </c>
      <c r="G754" t="s">
        <v>459</v>
      </c>
      <c r="H754" t="s">
        <v>113</v>
      </c>
      <c r="I754" t="s">
        <v>334</v>
      </c>
      <c r="J754">
        <v>0</v>
      </c>
      <c r="L754" s="5">
        <v>0</v>
      </c>
      <c r="M754">
        <v>0</v>
      </c>
      <c r="N754" s="5">
        <v>0</v>
      </c>
      <c r="O754" s="5">
        <v>0</v>
      </c>
      <c r="P754">
        <v>4</v>
      </c>
      <c r="Q754" s="5">
        <v>3000</v>
      </c>
      <c r="R754" s="5">
        <v>2055.2399999999998</v>
      </c>
      <c r="S754" s="5">
        <v>750</v>
      </c>
    </row>
    <row r="755" spans="1:19">
      <c r="A755">
        <v>73</v>
      </c>
      <c r="B755" t="s">
        <v>229</v>
      </c>
      <c r="C755" t="s">
        <v>230</v>
      </c>
      <c r="D755" t="s">
        <v>231</v>
      </c>
      <c r="E755">
        <v>153020724</v>
      </c>
      <c r="F755" t="s">
        <v>458</v>
      </c>
      <c r="G755" t="s">
        <v>459</v>
      </c>
      <c r="H755" t="s">
        <v>113</v>
      </c>
      <c r="I755" t="s">
        <v>333</v>
      </c>
      <c r="J755">
        <v>0</v>
      </c>
      <c r="L755" s="5">
        <v>0</v>
      </c>
      <c r="M755">
        <v>0</v>
      </c>
      <c r="N755" s="5">
        <v>0</v>
      </c>
      <c r="O755" s="5">
        <v>0</v>
      </c>
      <c r="P755">
        <v>4</v>
      </c>
      <c r="Q755" s="5">
        <v>2300</v>
      </c>
      <c r="R755" s="5">
        <v>2921.45</v>
      </c>
      <c r="S755" s="5">
        <v>575</v>
      </c>
    </row>
    <row r="756" spans="1:19">
      <c r="A756">
        <v>76</v>
      </c>
      <c r="B756" t="s">
        <v>239</v>
      </c>
      <c r="C756" t="s">
        <v>240</v>
      </c>
      <c r="D756" t="s">
        <v>231</v>
      </c>
      <c r="E756">
        <v>153020724</v>
      </c>
      <c r="F756" t="s">
        <v>460</v>
      </c>
      <c r="G756" t="s">
        <v>461</v>
      </c>
      <c r="H756" t="s">
        <v>355</v>
      </c>
      <c r="I756" t="s">
        <v>333</v>
      </c>
      <c r="J756">
        <v>4</v>
      </c>
      <c r="K756" s="5">
        <v>1989.3</v>
      </c>
      <c r="L756" s="5">
        <v>1340</v>
      </c>
      <c r="M756">
        <v>0.32639621899999999</v>
      </c>
      <c r="N756" s="5">
        <v>649.29999999999995</v>
      </c>
      <c r="O756" s="5">
        <v>162.32</v>
      </c>
      <c r="P756">
        <v>0</v>
      </c>
      <c r="Q756" s="5">
        <v>0</v>
      </c>
      <c r="R756" s="5">
        <v>0</v>
      </c>
      <c r="S756" s="5">
        <v>335</v>
      </c>
    </row>
    <row r="757" spans="1:19">
      <c r="A757">
        <v>76</v>
      </c>
      <c r="B757" t="s">
        <v>239</v>
      </c>
      <c r="C757" t="s">
        <v>240</v>
      </c>
      <c r="D757" t="s">
        <v>231</v>
      </c>
      <c r="E757">
        <v>153021172</v>
      </c>
      <c r="F757" t="s">
        <v>460</v>
      </c>
      <c r="G757" t="s">
        <v>461</v>
      </c>
      <c r="H757" t="s">
        <v>355</v>
      </c>
      <c r="I757" t="s">
        <v>334</v>
      </c>
      <c r="J757">
        <v>0</v>
      </c>
      <c r="L757" s="5">
        <v>0</v>
      </c>
      <c r="M757">
        <v>0</v>
      </c>
      <c r="N757" s="5">
        <v>0</v>
      </c>
      <c r="O757" s="5">
        <v>0</v>
      </c>
      <c r="P757">
        <v>4</v>
      </c>
      <c r="Q757" s="5">
        <v>1760</v>
      </c>
      <c r="R757" s="5">
        <v>713.11</v>
      </c>
      <c r="S757" s="5">
        <v>440</v>
      </c>
    </row>
    <row r="758" spans="1:19">
      <c r="A758">
        <v>76</v>
      </c>
      <c r="B758" t="s">
        <v>239</v>
      </c>
      <c r="C758" t="s">
        <v>240</v>
      </c>
      <c r="D758" t="s">
        <v>231</v>
      </c>
      <c r="E758">
        <v>153021172</v>
      </c>
      <c r="F758" t="s">
        <v>460</v>
      </c>
      <c r="G758" t="s">
        <v>461</v>
      </c>
      <c r="H758" t="s">
        <v>355</v>
      </c>
      <c r="I758" t="s">
        <v>333</v>
      </c>
      <c r="J758">
        <v>0</v>
      </c>
      <c r="L758" s="5">
        <v>0</v>
      </c>
      <c r="M758">
        <v>0</v>
      </c>
      <c r="N758" s="5">
        <v>0</v>
      </c>
      <c r="O758" s="5">
        <v>0</v>
      </c>
      <c r="P758">
        <v>4</v>
      </c>
      <c r="Q758" s="5">
        <v>1340</v>
      </c>
      <c r="R758" s="5">
        <v>764.48</v>
      </c>
      <c r="S758" s="5">
        <v>335</v>
      </c>
    </row>
    <row r="759" spans="1:19">
      <c r="A759">
        <v>76</v>
      </c>
      <c r="B759" t="s">
        <v>239</v>
      </c>
      <c r="C759" t="s">
        <v>240</v>
      </c>
      <c r="D759" t="s">
        <v>231</v>
      </c>
      <c r="E759">
        <v>153021172</v>
      </c>
      <c r="F759" t="s">
        <v>460</v>
      </c>
      <c r="G759" t="s">
        <v>461</v>
      </c>
      <c r="H759" t="s">
        <v>355</v>
      </c>
      <c r="I759" t="s">
        <v>333</v>
      </c>
      <c r="J759">
        <v>4</v>
      </c>
      <c r="K759" s="5">
        <v>2113.16</v>
      </c>
      <c r="L759" s="5">
        <v>1340</v>
      </c>
      <c r="M759">
        <v>0.36587858899999998</v>
      </c>
      <c r="N759" s="5">
        <v>773.16</v>
      </c>
      <c r="O759" s="5">
        <v>193.29</v>
      </c>
      <c r="P759">
        <v>0</v>
      </c>
      <c r="Q759" s="5">
        <v>0</v>
      </c>
      <c r="R759" s="5">
        <v>0</v>
      </c>
      <c r="S759" s="5">
        <v>335</v>
      </c>
    </row>
    <row r="760" spans="1:19">
      <c r="A760">
        <v>76</v>
      </c>
      <c r="B760" t="s">
        <v>239</v>
      </c>
      <c r="C760" t="s">
        <v>240</v>
      </c>
      <c r="D760" t="s">
        <v>231</v>
      </c>
      <c r="E760">
        <v>153021172</v>
      </c>
      <c r="F760" t="s">
        <v>460</v>
      </c>
      <c r="G760" t="s">
        <v>461</v>
      </c>
      <c r="H760" t="s">
        <v>355</v>
      </c>
      <c r="I760" t="s">
        <v>333</v>
      </c>
      <c r="J760">
        <v>0</v>
      </c>
      <c r="L760" s="5">
        <v>0</v>
      </c>
      <c r="M760">
        <v>0</v>
      </c>
      <c r="N760" s="5">
        <v>0</v>
      </c>
      <c r="O760" s="5">
        <v>0</v>
      </c>
      <c r="P760">
        <v>4</v>
      </c>
      <c r="Q760" s="5">
        <v>1340</v>
      </c>
      <c r="R760" s="5">
        <v>862.07</v>
      </c>
      <c r="S760" s="5">
        <v>335</v>
      </c>
    </row>
    <row r="761" spans="1:19">
      <c r="A761">
        <v>76</v>
      </c>
      <c r="B761" t="s">
        <v>239</v>
      </c>
      <c r="C761" t="s">
        <v>240</v>
      </c>
      <c r="D761" t="s">
        <v>231</v>
      </c>
      <c r="E761">
        <v>153021172</v>
      </c>
      <c r="F761" t="s">
        <v>460</v>
      </c>
      <c r="G761" t="s">
        <v>461</v>
      </c>
      <c r="H761" t="s">
        <v>355</v>
      </c>
      <c r="I761" t="s">
        <v>334</v>
      </c>
      <c r="J761">
        <v>0</v>
      </c>
      <c r="L761" s="5">
        <v>0</v>
      </c>
      <c r="M761">
        <v>0</v>
      </c>
      <c r="N761" s="5">
        <v>0</v>
      </c>
      <c r="O761" s="5">
        <v>0</v>
      </c>
      <c r="P761">
        <v>4</v>
      </c>
      <c r="Q761" s="5">
        <v>1760</v>
      </c>
      <c r="R761" s="5">
        <v>1423.22</v>
      </c>
      <c r="S761" s="5">
        <v>440</v>
      </c>
    </row>
    <row r="762" spans="1:19">
      <c r="A762">
        <v>76</v>
      </c>
      <c r="B762" t="s">
        <v>239</v>
      </c>
      <c r="C762" t="s">
        <v>240</v>
      </c>
      <c r="D762" t="s">
        <v>231</v>
      </c>
      <c r="E762">
        <v>153021172</v>
      </c>
      <c r="F762" t="s">
        <v>460</v>
      </c>
      <c r="G762" t="s">
        <v>461</v>
      </c>
      <c r="H762" t="s">
        <v>355</v>
      </c>
      <c r="I762" t="s">
        <v>333</v>
      </c>
      <c r="J762">
        <v>0</v>
      </c>
      <c r="L762" s="5">
        <v>0</v>
      </c>
      <c r="M762">
        <v>0</v>
      </c>
      <c r="N762" s="5">
        <v>0</v>
      </c>
      <c r="O762" s="5">
        <v>0</v>
      </c>
      <c r="P762">
        <v>4</v>
      </c>
      <c r="Q762" s="5">
        <v>1420</v>
      </c>
      <c r="R762" s="5">
        <v>1531.43</v>
      </c>
      <c r="S762" s="5">
        <v>355</v>
      </c>
    </row>
    <row r="763" spans="1:19">
      <c r="A763">
        <v>76</v>
      </c>
      <c r="B763" t="s">
        <v>239</v>
      </c>
      <c r="C763" t="s">
        <v>240</v>
      </c>
      <c r="D763" t="s">
        <v>231</v>
      </c>
      <c r="E763">
        <v>153021172</v>
      </c>
      <c r="F763" t="s">
        <v>460</v>
      </c>
      <c r="G763" t="s">
        <v>461</v>
      </c>
      <c r="H763" t="s">
        <v>355</v>
      </c>
      <c r="I763" t="s">
        <v>334</v>
      </c>
      <c r="J763">
        <v>0</v>
      </c>
      <c r="L763" s="5">
        <v>0</v>
      </c>
      <c r="M763">
        <v>0</v>
      </c>
      <c r="N763" s="5">
        <v>0</v>
      </c>
      <c r="O763" s="5">
        <v>0</v>
      </c>
      <c r="P763">
        <v>4</v>
      </c>
      <c r="Q763" s="5">
        <v>1760</v>
      </c>
      <c r="R763" s="5">
        <v>1516.1</v>
      </c>
      <c r="S763" s="5">
        <v>440</v>
      </c>
    </row>
    <row r="764" spans="1:19">
      <c r="A764">
        <v>76</v>
      </c>
      <c r="B764" t="s">
        <v>239</v>
      </c>
      <c r="C764" t="s">
        <v>240</v>
      </c>
      <c r="D764" t="s">
        <v>231</v>
      </c>
      <c r="E764">
        <v>153021172</v>
      </c>
      <c r="F764" t="s">
        <v>460</v>
      </c>
      <c r="G764" t="s">
        <v>461</v>
      </c>
      <c r="H764" t="s">
        <v>355</v>
      </c>
      <c r="I764" t="s">
        <v>333</v>
      </c>
      <c r="J764">
        <v>0</v>
      </c>
      <c r="L764" s="5">
        <v>0</v>
      </c>
      <c r="M764">
        <v>0</v>
      </c>
      <c r="N764" s="5">
        <v>0</v>
      </c>
      <c r="O764" s="5">
        <v>0</v>
      </c>
      <c r="P764">
        <v>4</v>
      </c>
      <c r="Q764" s="5">
        <v>1340</v>
      </c>
      <c r="R764" s="5">
        <v>1631.37</v>
      </c>
      <c r="S764" s="5">
        <v>335</v>
      </c>
    </row>
    <row r="765" spans="1:19">
      <c r="A765">
        <v>76</v>
      </c>
      <c r="B765" t="s">
        <v>239</v>
      </c>
      <c r="C765" t="s">
        <v>240</v>
      </c>
      <c r="D765" t="s">
        <v>231</v>
      </c>
      <c r="E765">
        <v>153021172</v>
      </c>
      <c r="F765" t="s">
        <v>460</v>
      </c>
      <c r="G765" t="s">
        <v>461</v>
      </c>
      <c r="H765" t="s">
        <v>355</v>
      </c>
      <c r="I765" t="s">
        <v>334</v>
      </c>
      <c r="J765">
        <v>0</v>
      </c>
      <c r="L765" s="5">
        <v>0</v>
      </c>
      <c r="M765">
        <v>0</v>
      </c>
      <c r="N765" s="5">
        <v>0</v>
      </c>
      <c r="O765" s="5">
        <v>0</v>
      </c>
      <c r="P765">
        <v>4</v>
      </c>
      <c r="Q765" s="5">
        <v>1760</v>
      </c>
      <c r="R765" s="5">
        <v>818.77</v>
      </c>
      <c r="S765" s="5">
        <v>440</v>
      </c>
    </row>
    <row r="766" spans="1:19">
      <c r="A766">
        <v>76</v>
      </c>
      <c r="B766" t="s">
        <v>239</v>
      </c>
      <c r="C766" t="s">
        <v>240</v>
      </c>
      <c r="D766" t="s">
        <v>231</v>
      </c>
      <c r="E766">
        <v>153021172</v>
      </c>
      <c r="F766" t="s">
        <v>460</v>
      </c>
      <c r="G766" t="s">
        <v>461</v>
      </c>
      <c r="H766" t="s">
        <v>355</v>
      </c>
      <c r="I766" t="s">
        <v>334</v>
      </c>
      <c r="J766">
        <v>0</v>
      </c>
      <c r="L766" s="5">
        <v>0</v>
      </c>
      <c r="M766">
        <v>0</v>
      </c>
      <c r="N766" s="5">
        <v>0</v>
      </c>
      <c r="O766" s="5">
        <v>0</v>
      </c>
      <c r="P766">
        <v>4</v>
      </c>
      <c r="Q766" s="5">
        <v>1760</v>
      </c>
      <c r="R766" s="5">
        <v>1613.6</v>
      </c>
      <c r="S766" s="5">
        <v>440</v>
      </c>
    </row>
    <row r="767" spans="1:19">
      <c r="A767">
        <v>74</v>
      </c>
      <c r="B767" t="s">
        <v>233</v>
      </c>
      <c r="C767" t="s">
        <v>234</v>
      </c>
      <c r="D767" t="s">
        <v>231</v>
      </c>
      <c r="E767">
        <v>153021172</v>
      </c>
      <c r="F767" t="s">
        <v>462</v>
      </c>
      <c r="G767" t="s">
        <v>463</v>
      </c>
      <c r="H767" t="s">
        <v>127</v>
      </c>
      <c r="I767" t="s">
        <v>334</v>
      </c>
      <c r="J767">
        <v>0</v>
      </c>
      <c r="L767" s="5">
        <v>0</v>
      </c>
      <c r="M767">
        <v>0</v>
      </c>
      <c r="N767" s="5">
        <v>0</v>
      </c>
      <c r="O767" s="5">
        <v>0</v>
      </c>
      <c r="P767">
        <v>4</v>
      </c>
      <c r="Q767" s="5">
        <v>1880</v>
      </c>
      <c r="R767" s="5">
        <v>1394.12</v>
      </c>
      <c r="S767" s="5">
        <v>470</v>
      </c>
    </row>
    <row r="768" spans="1:19">
      <c r="A768">
        <v>74</v>
      </c>
      <c r="B768" t="s">
        <v>233</v>
      </c>
      <c r="C768" t="s">
        <v>234</v>
      </c>
      <c r="D768" t="s">
        <v>231</v>
      </c>
      <c r="E768">
        <v>153023830</v>
      </c>
      <c r="F768" t="s">
        <v>462</v>
      </c>
      <c r="G768" t="s">
        <v>463</v>
      </c>
      <c r="H768" t="s">
        <v>127</v>
      </c>
      <c r="I768" t="s">
        <v>333</v>
      </c>
      <c r="J768">
        <v>0</v>
      </c>
      <c r="L768" s="5">
        <v>0</v>
      </c>
      <c r="M768">
        <v>0</v>
      </c>
      <c r="N768" s="5">
        <v>0</v>
      </c>
      <c r="O768" s="5">
        <v>0</v>
      </c>
      <c r="P768">
        <v>4</v>
      </c>
      <c r="Q768" s="5">
        <v>1560</v>
      </c>
      <c r="R768" s="5">
        <v>641.13</v>
      </c>
      <c r="S768" s="5">
        <v>390</v>
      </c>
    </row>
    <row r="769" spans="1:19">
      <c r="A769">
        <v>75</v>
      </c>
      <c r="B769" t="s">
        <v>236</v>
      </c>
      <c r="C769" t="s">
        <v>237</v>
      </c>
      <c r="D769" t="s">
        <v>231</v>
      </c>
      <c r="E769">
        <v>153023830</v>
      </c>
      <c r="F769" t="s">
        <v>464</v>
      </c>
      <c r="G769" t="s">
        <v>465</v>
      </c>
      <c r="H769" t="s">
        <v>100</v>
      </c>
      <c r="I769" t="s">
        <v>337</v>
      </c>
      <c r="J769">
        <v>0</v>
      </c>
      <c r="L769" s="5">
        <v>0</v>
      </c>
      <c r="M769">
        <v>0</v>
      </c>
      <c r="N769" s="5">
        <v>0</v>
      </c>
      <c r="O769" s="5">
        <v>0</v>
      </c>
      <c r="P769">
        <v>4</v>
      </c>
      <c r="Q769" s="5">
        <v>1631.12</v>
      </c>
      <c r="R769" s="5">
        <v>660.76</v>
      </c>
      <c r="S769" s="5">
        <v>407.78</v>
      </c>
    </row>
    <row r="770" spans="1:19">
      <c r="A770">
        <v>75</v>
      </c>
      <c r="B770" t="s">
        <v>236</v>
      </c>
      <c r="C770" t="s">
        <v>237</v>
      </c>
      <c r="D770" t="s">
        <v>231</v>
      </c>
      <c r="E770">
        <v>153033502</v>
      </c>
      <c r="F770" t="s">
        <v>464</v>
      </c>
      <c r="G770" t="s">
        <v>465</v>
      </c>
      <c r="H770" t="s">
        <v>100</v>
      </c>
      <c r="I770" t="s">
        <v>337</v>
      </c>
      <c r="J770">
        <v>0</v>
      </c>
      <c r="L770" s="5">
        <v>0</v>
      </c>
      <c r="M770">
        <v>0</v>
      </c>
      <c r="N770" s="5">
        <v>0</v>
      </c>
      <c r="O770" s="5">
        <v>0</v>
      </c>
      <c r="P770">
        <v>2</v>
      </c>
      <c r="Q770" s="5">
        <v>867.36</v>
      </c>
      <c r="R770" s="5">
        <v>621.83000000000004</v>
      </c>
      <c r="S770" s="5">
        <v>433.68</v>
      </c>
    </row>
    <row r="771" spans="1:19">
      <c r="A771">
        <v>75</v>
      </c>
      <c r="B771" t="s">
        <v>236</v>
      </c>
      <c r="C771" t="s">
        <v>237</v>
      </c>
      <c r="D771" t="s">
        <v>231</v>
      </c>
      <c r="E771">
        <v>153033502</v>
      </c>
      <c r="F771" t="s">
        <v>464</v>
      </c>
      <c r="G771" t="s">
        <v>465</v>
      </c>
      <c r="H771" t="s">
        <v>100</v>
      </c>
      <c r="I771" t="s">
        <v>337</v>
      </c>
      <c r="J771">
        <v>0</v>
      </c>
      <c r="L771" s="5">
        <v>0</v>
      </c>
      <c r="M771">
        <v>0</v>
      </c>
      <c r="N771" s="5">
        <v>0</v>
      </c>
      <c r="O771" s="5">
        <v>0</v>
      </c>
      <c r="P771">
        <v>2</v>
      </c>
      <c r="Q771" s="5">
        <v>815.56</v>
      </c>
      <c r="R771" s="5">
        <v>427.2</v>
      </c>
      <c r="S771" s="5">
        <v>407.78</v>
      </c>
    </row>
    <row r="772" spans="1:19">
      <c r="A772">
        <v>75</v>
      </c>
      <c r="B772" t="s">
        <v>236</v>
      </c>
      <c r="C772" t="s">
        <v>237</v>
      </c>
      <c r="D772" t="s">
        <v>231</v>
      </c>
      <c r="E772">
        <v>153033502</v>
      </c>
      <c r="F772" t="s">
        <v>464</v>
      </c>
      <c r="G772" t="s">
        <v>465</v>
      </c>
      <c r="H772" t="s">
        <v>100</v>
      </c>
      <c r="I772" t="s">
        <v>334</v>
      </c>
      <c r="J772">
        <v>0</v>
      </c>
      <c r="L772" s="5">
        <v>0</v>
      </c>
      <c r="M772">
        <v>0</v>
      </c>
      <c r="N772" s="5">
        <v>0</v>
      </c>
      <c r="O772" s="5">
        <v>0</v>
      </c>
      <c r="P772">
        <v>4</v>
      </c>
      <c r="Q772" s="5">
        <v>1840</v>
      </c>
      <c r="R772" s="5">
        <v>603.86</v>
      </c>
      <c r="S772" s="5">
        <v>460</v>
      </c>
    </row>
    <row r="773" spans="1:19">
      <c r="A773">
        <v>75</v>
      </c>
      <c r="B773" t="s">
        <v>236</v>
      </c>
      <c r="C773" t="s">
        <v>237</v>
      </c>
      <c r="D773" t="s">
        <v>231</v>
      </c>
      <c r="E773">
        <v>153033502</v>
      </c>
      <c r="F773" t="s">
        <v>464</v>
      </c>
      <c r="G773" t="s">
        <v>465</v>
      </c>
      <c r="H773" t="s">
        <v>100</v>
      </c>
      <c r="I773" t="s">
        <v>337</v>
      </c>
      <c r="J773">
        <v>0</v>
      </c>
      <c r="L773" s="5">
        <v>0</v>
      </c>
      <c r="M773">
        <v>0</v>
      </c>
      <c r="N773" s="5">
        <v>0</v>
      </c>
      <c r="O773" s="5">
        <v>0</v>
      </c>
      <c r="P773">
        <v>2</v>
      </c>
      <c r="Q773" s="5">
        <v>824</v>
      </c>
      <c r="R773" s="5">
        <v>505.05</v>
      </c>
      <c r="S773" s="5">
        <v>412</v>
      </c>
    </row>
    <row r="774" spans="1:19">
      <c r="A774">
        <v>75</v>
      </c>
      <c r="B774" t="s">
        <v>236</v>
      </c>
      <c r="C774" t="s">
        <v>237</v>
      </c>
      <c r="D774" t="s">
        <v>231</v>
      </c>
      <c r="E774">
        <v>153033502</v>
      </c>
      <c r="F774" t="s">
        <v>464</v>
      </c>
      <c r="G774" t="s">
        <v>465</v>
      </c>
      <c r="H774" t="s">
        <v>100</v>
      </c>
      <c r="I774" t="s">
        <v>337</v>
      </c>
      <c r="J774">
        <v>0</v>
      </c>
      <c r="L774" s="5">
        <v>0</v>
      </c>
      <c r="M774">
        <v>0</v>
      </c>
      <c r="N774" s="5">
        <v>0</v>
      </c>
      <c r="O774" s="5">
        <v>0</v>
      </c>
      <c r="P774">
        <v>4</v>
      </c>
      <c r="Q774" s="5">
        <v>1669.68</v>
      </c>
      <c r="R774" s="5">
        <v>1088.96</v>
      </c>
      <c r="S774" s="5">
        <v>417.42</v>
      </c>
    </row>
    <row r="775" spans="1:19">
      <c r="A775">
        <v>75</v>
      </c>
      <c r="B775" t="s">
        <v>236</v>
      </c>
      <c r="C775" t="s">
        <v>237</v>
      </c>
      <c r="D775" t="s">
        <v>231</v>
      </c>
      <c r="E775">
        <v>153033502</v>
      </c>
      <c r="F775" t="s">
        <v>464</v>
      </c>
      <c r="G775" t="s">
        <v>465</v>
      </c>
      <c r="H775" t="s">
        <v>100</v>
      </c>
      <c r="I775" t="s">
        <v>337</v>
      </c>
      <c r="J775">
        <v>0</v>
      </c>
      <c r="L775" s="5">
        <v>0</v>
      </c>
      <c r="M775">
        <v>0</v>
      </c>
      <c r="N775" s="5">
        <v>0</v>
      </c>
      <c r="O775" s="5">
        <v>0</v>
      </c>
      <c r="P775">
        <v>4</v>
      </c>
      <c r="Q775" s="5">
        <v>1734.72</v>
      </c>
      <c r="R775" s="5">
        <v>1244.6600000000001</v>
      </c>
      <c r="S775" s="5">
        <v>433.68</v>
      </c>
    </row>
    <row r="776" spans="1:19">
      <c r="A776">
        <v>75</v>
      </c>
      <c r="B776" t="s">
        <v>236</v>
      </c>
      <c r="C776" t="s">
        <v>237</v>
      </c>
      <c r="D776" t="s">
        <v>231</v>
      </c>
      <c r="E776">
        <v>153033502</v>
      </c>
      <c r="F776" t="s">
        <v>464</v>
      </c>
      <c r="G776" t="s">
        <v>465</v>
      </c>
      <c r="H776" t="s">
        <v>100</v>
      </c>
      <c r="I776" t="s">
        <v>337</v>
      </c>
      <c r="J776">
        <v>0</v>
      </c>
      <c r="L776" s="5">
        <v>0</v>
      </c>
      <c r="M776">
        <v>0</v>
      </c>
      <c r="N776" s="5">
        <v>0</v>
      </c>
      <c r="O776" s="5">
        <v>0</v>
      </c>
      <c r="P776">
        <v>4</v>
      </c>
      <c r="Q776" s="5">
        <v>1631.12</v>
      </c>
      <c r="R776" s="5">
        <v>1166.81</v>
      </c>
      <c r="S776" s="5">
        <v>407.78</v>
      </c>
    </row>
    <row r="777" spans="1:19">
      <c r="A777">
        <v>75</v>
      </c>
      <c r="B777" t="s">
        <v>236</v>
      </c>
      <c r="C777" t="s">
        <v>237</v>
      </c>
      <c r="D777" t="s">
        <v>231</v>
      </c>
      <c r="E777">
        <v>153033502</v>
      </c>
      <c r="F777" t="s">
        <v>464</v>
      </c>
      <c r="G777" t="s">
        <v>465</v>
      </c>
      <c r="H777" t="s">
        <v>100</v>
      </c>
      <c r="I777" t="s">
        <v>337</v>
      </c>
      <c r="J777">
        <v>0</v>
      </c>
      <c r="L777" s="5">
        <v>0</v>
      </c>
      <c r="M777">
        <v>0</v>
      </c>
      <c r="N777" s="5">
        <v>0</v>
      </c>
      <c r="O777" s="5">
        <v>0</v>
      </c>
      <c r="P777">
        <v>4</v>
      </c>
      <c r="Q777" s="5">
        <v>1734.72</v>
      </c>
      <c r="R777" s="5">
        <v>1322.52</v>
      </c>
      <c r="S777" s="5">
        <v>433.68</v>
      </c>
    </row>
    <row r="778" spans="1:19">
      <c r="A778">
        <v>78</v>
      </c>
      <c r="B778" t="s">
        <v>245</v>
      </c>
      <c r="C778" t="s">
        <v>246</v>
      </c>
      <c r="D778" t="s">
        <v>231</v>
      </c>
      <c r="E778">
        <v>153033502</v>
      </c>
      <c r="F778" t="s">
        <v>466</v>
      </c>
      <c r="G778" t="s">
        <v>467</v>
      </c>
      <c r="H778" t="s">
        <v>74</v>
      </c>
      <c r="I778" t="s">
        <v>333</v>
      </c>
      <c r="J778">
        <v>0</v>
      </c>
      <c r="L778" s="5">
        <v>0</v>
      </c>
      <c r="M778">
        <v>0</v>
      </c>
      <c r="N778" s="5">
        <v>0</v>
      </c>
      <c r="O778" s="5">
        <v>0</v>
      </c>
      <c r="P778">
        <v>4</v>
      </c>
      <c r="Q778" s="5">
        <v>1540</v>
      </c>
      <c r="R778" s="5">
        <v>2764.08</v>
      </c>
      <c r="S778" s="5">
        <v>385</v>
      </c>
    </row>
    <row r="779" spans="1:19">
      <c r="A779">
        <v>78</v>
      </c>
      <c r="B779" t="s">
        <v>245</v>
      </c>
      <c r="C779" t="s">
        <v>246</v>
      </c>
      <c r="D779" t="s">
        <v>231</v>
      </c>
      <c r="E779">
        <v>153021470</v>
      </c>
      <c r="F779" t="s">
        <v>466</v>
      </c>
      <c r="G779" t="s">
        <v>467</v>
      </c>
      <c r="H779" t="s">
        <v>74</v>
      </c>
      <c r="I779" t="s">
        <v>334</v>
      </c>
      <c r="J779">
        <v>0</v>
      </c>
      <c r="L779" s="5">
        <v>0</v>
      </c>
      <c r="M779">
        <v>0</v>
      </c>
      <c r="N779" s="5">
        <v>0</v>
      </c>
      <c r="O779" s="5">
        <v>0</v>
      </c>
      <c r="P779">
        <v>4</v>
      </c>
      <c r="Q779" s="5">
        <v>1920</v>
      </c>
      <c r="R779" s="5">
        <v>3487.65</v>
      </c>
      <c r="S779" s="5">
        <v>480</v>
      </c>
    </row>
    <row r="780" spans="1:19">
      <c r="A780">
        <v>78</v>
      </c>
      <c r="B780" t="s">
        <v>245</v>
      </c>
      <c r="C780" t="s">
        <v>246</v>
      </c>
      <c r="D780" t="s">
        <v>231</v>
      </c>
      <c r="E780">
        <v>153021470</v>
      </c>
      <c r="F780" t="s">
        <v>466</v>
      </c>
      <c r="G780" t="s">
        <v>467</v>
      </c>
      <c r="H780" t="s">
        <v>74</v>
      </c>
      <c r="I780" t="s">
        <v>333</v>
      </c>
      <c r="J780">
        <v>0</v>
      </c>
      <c r="L780" s="5">
        <v>0</v>
      </c>
      <c r="M780">
        <v>0</v>
      </c>
      <c r="N780" s="5">
        <v>0</v>
      </c>
      <c r="O780" s="5">
        <v>0</v>
      </c>
      <c r="P780">
        <v>4</v>
      </c>
      <c r="Q780" s="5">
        <v>1540</v>
      </c>
      <c r="R780" s="5">
        <v>3224.76</v>
      </c>
      <c r="S780" s="5">
        <v>385</v>
      </c>
    </row>
    <row r="781" spans="1:19">
      <c r="A781">
        <v>78</v>
      </c>
      <c r="B781" t="s">
        <v>245</v>
      </c>
      <c r="C781" t="s">
        <v>246</v>
      </c>
      <c r="D781" t="s">
        <v>231</v>
      </c>
      <c r="E781">
        <v>153021470</v>
      </c>
      <c r="F781" t="s">
        <v>466</v>
      </c>
      <c r="G781" t="s">
        <v>467</v>
      </c>
      <c r="H781" t="s">
        <v>74</v>
      </c>
      <c r="I781" t="s">
        <v>343</v>
      </c>
      <c r="J781">
        <v>0</v>
      </c>
      <c r="L781" s="5">
        <v>0</v>
      </c>
      <c r="M781">
        <v>0</v>
      </c>
      <c r="N781" s="5">
        <v>0</v>
      </c>
      <c r="O781" s="5">
        <v>0</v>
      </c>
      <c r="P781">
        <v>2</v>
      </c>
      <c r="Q781" s="5">
        <v>810</v>
      </c>
      <c r="R781" s="5">
        <v>552.32000000000005</v>
      </c>
      <c r="S781" s="5">
        <v>405</v>
      </c>
    </row>
    <row r="782" spans="1:19">
      <c r="A782">
        <v>78</v>
      </c>
      <c r="B782" t="s">
        <v>245</v>
      </c>
      <c r="C782" t="s">
        <v>246</v>
      </c>
      <c r="D782" t="s">
        <v>231</v>
      </c>
      <c r="E782">
        <v>153021470</v>
      </c>
      <c r="F782" t="s">
        <v>466</v>
      </c>
      <c r="G782" t="s">
        <v>467</v>
      </c>
      <c r="H782" t="s">
        <v>74</v>
      </c>
      <c r="I782" t="s">
        <v>337</v>
      </c>
      <c r="J782">
        <v>4</v>
      </c>
      <c r="K782" s="5">
        <v>967.22</v>
      </c>
      <c r="L782" s="5">
        <v>700</v>
      </c>
      <c r="M782">
        <v>0.27627633800000001</v>
      </c>
      <c r="N782" s="5">
        <v>267.22000000000003</v>
      </c>
      <c r="O782" s="5">
        <v>66.8</v>
      </c>
      <c r="P782">
        <v>0</v>
      </c>
      <c r="Q782" s="5">
        <v>0</v>
      </c>
      <c r="R782" s="5">
        <v>0</v>
      </c>
      <c r="S782" s="5">
        <v>175</v>
      </c>
    </row>
    <row r="783" spans="1:19">
      <c r="A783">
        <v>78</v>
      </c>
      <c r="B783" t="s">
        <v>245</v>
      </c>
      <c r="C783" t="s">
        <v>246</v>
      </c>
      <c r="D783" t="s">
        <v>231</v>
      </c>
      <c r="E783">
        <v>153021470</v>
      </c>
      <c r="F783" t="s">
        <v>466</v>
      </c>
      <c r="G783" t="s">
        <v>467</v>
      </c>
      <c r="H783" t="s">
        <v>74</v>
      </c>
      <c r="I783" t="s">
        <v>333</v>
      </c>
      <c r="J783">
        <v>4</v>
      </c>
      <c r="K783" s="5">
        <v>1835.33</v>
      </c>
      <c r="L783" s="5">
        <v>1540</v>
      </c>
      <c r="M783">
        <v>0.160913841</v>
      </c>
      <c r="N783" s="5">
        <v>295.33</v>
      </c>
      <c r="O783" s="5">
        <v>73.83</v>
      </c>
      <c r="P783">
        <v>0</v>
      </c>
      <c r="Q783" s="5">
        <v>0</v>
      </c>
      <c r="R783" s="5">
        <v>0</v>
      </c>
      <c r="S783" s="5">
        <v>385</v>
      </c>
    </row>
    <row r="784" spans="1:19">
      <c r="A784">
        <v>78</v>
      </c>
      <c r="B784" t="s">
        <v>245</v>
      </c>
      <c r="C784" t="s">
        <v>246</v>
      </c>
      <c r="D784" t="s">
        <v>231</v>
      </c>
      <c r="E784">
        <v>153021470</v>
      </c>
      <c r="F784" t="s">
        <v>466</v>
      </c>
      <c r="G784" t="s">
        <v>467</v>
      </c>
      <c r="H784" t="s">
        <v>74</v>
      </c>
      <c r="I784" t="s">
        <v>333</v>
      </c>
      <c r="J784">
        <v>0</v>
      </c>
      <c r="L784" s="5">
        <v>0</v>
      </c>
      <c r="M784">
        <v>0</v>
      </c>
      <c r="N784" s="5">
        <v>0</v>
      </c>
      <c r="O784" s="5">
        <v>0</v>
      </c>
      <c r="P784">
        <v>4</v>
      </c>
      <c r="Q784" s="5">
        <v>1540</v>
      </c>
      <c r="R784" s="5">
        <v>3685.44</v>
      </c>
      <c r="S784" s="5">
        <v>385</v>
      </c>
    </row>
    <row r="785" spans="1:19">
      <c r="A785">
        <v>78</v>
      </c>
      <c r="B785" t="s">
        <v>245</v>
      </c>
      <c r="C785" t="s">
        <v>246</v>
      </c>
      <c r="D785" t="s">
        <v>231</v>
      </c>
      <c r="E785">
        <v>153021470</v>
      </c>
      <c r="F785" t="s">
        <v>466</v>
      </c>
      <c r="G785" t="s">
        <v>467</v>
      </c>
      <c r="H785" t="s">
        <v>74</v>
      </c>
      <c r="I785" t="s">
        <v>333</v>
      </c>
      <c r="J785">
        <v>4</v>
      </c>
      <c r="K785" s="5">
        <v>2074.33</v>
      </c>
      <c r="L785" s="5">
        <v>1540</v>
      </c>
      <c r="M785">
        <v>0.257591607</v>
      </c>
      <c r="N785" s="5">
        <v>534.33000000000004</v>
      </c>
      <c r="O785" s="5">
        <v>133.58000000000001</v>
      </c>
      <c r="P785">
        <v>0</v>
      </c>
      <c r="Q785" s="5">
        <v>0</v>
      </c>
      <c r="R785" s="5">
        <v>0</v>
      </c>
      <c r="S785" s="5">
        <v>385</v>
      </c>
    </row>
    <row r="786" spans="1:19">
      <c r="A786">
        <v>78</v>
      </c>
      <c r="B786" t="s">
        <v>245</v>
      </c>
      <c r="C786" t="s">
        <v>246</v>
      </c>
      <c r="D786" t="s">
        <v>231</v>
      </c>
      <c r="E786">
        <v>153021470</v>
      </c>
      <c r="F786" t="s">
        <v>466</v>
      </c>
      <c r="G786" t="s">
        <v>467</v>
      </c>
      <c r="H786" t="s">
        <v>74</v>
      </c>
      <c r="I786" t="s">
        <v>343</v>
      </c>
      <c r="J786">
        <v>0</v>
      </c>
      <c r="L786" s="5">
        <v>0</v>
      </c>
      <c r="M786">
        <v>0</v>
      </c>
      <c r="N786" s="5">
        <v>0</v>
      </c>
      <c r="O786" s="5">
        <v>0</v>
      </c>
      <c r="P786">
        <v>2</v>
      </c>
      <c r="Q786" s="5">
        <v>810</v>
      </c>
      <c r="R786" s="5">
        <v>803.82</v>
      </c>
      <c r="S786" s="5">
        <v>405</v>
      </c>
    </row>
    <row r="787" spans="1:19">
      <c r="A787">
        <v>78</v>
      </c>
      <c r="B787" t="s">
        <v>245</v>
      </c>
      <c r="C787" t="s">
        <v>246</v>
      </c>
      <c r="D787" t="s">
        <v>231</v>
      </c>
      <c r="E787">
        <v>153021470</v>
      </c>
      <c r="F787" t="s">
        <v>466</v>
      </c>
      <c r="G787" t="s">
        <v>467</v>
      </c>
      <c r="H787" t="s">
        <v>74</v>
      </c>
      <c r="I787" t="s">
        <v>334</v>
      </c>
      <c r="J787">
        <v>0</v>
      </c>
      <c r="L787" s="5">
        <v>0</v>
      </c>
      <c r="M787">
        <v>0</v>
      </c>
      <c r="N787" s="5">
        <v>0</v>
      </c>
      <c r="O787" s="5">
        <v>0</v>
      </c>
      <c r="P787">
        <v>4</v>
      </c>
      <c r="Q787" s="5">
        <v>1920</v>
      </c>
      <c r="R787" s="5">
        <v>4068.93</v>
      </c>
      <c r="S787" s="5">
        <v>480</v>
      </c>
    </row>
    <row r="788" spans="1:19">
      <c r="A788">
        <v>78</v>
      </c>
      <c r="B788" t="s">
        <v>245</v>
      </c>
      <c r="C788" t="s">
        <v>246</v>
      </c>
      <c r="D788" t="s">
        <v>231</v>
      </c>
      <c r="E788">
        <v>153021470</v>
      </c>
      <c r="F788" t="s">
        <v>466</v>
      </c>
      <c r="G788" t="s">
        <v>467</v>
      </c>
      <c r="H788" t="s">
        <v>74</v>
      </c>
      <c r="I788" t="s">
        <v>334</v>
      </c>
      <c r="J788">
        <v>0</v>
      </c>
      <c r="L788" s="5">
        <v>0</v>
      </c>
      <c r="M788">
        <v>0</v>
      </c>
      <c r="N788" s="5">
        <v>0</v>
      </c>
      <c r="O788" s="5">
        <v>0</v>
      </c>
      <c r="P788">
        <v>4</v>
      </c>
      <c r="Q788" s="5">
        <v>1920</v>
      </c>
      <c r="R788" s="5">
        <v>2906.38</v>
      </c>
      <c r="S788" s="5">
        <v>480</v>
      </c>
    </row>
    <row r="789" spans="1:19">
      <c r="A789">
        <v>78</v>
      </c>
      <c r="B789" t="s">
        <v>245</v>
      </c>
      <c r="C789" t="s">
        <v>246</v>
      </c>
      <c r="D789" t="s">
        <v>231</v>
      </c>
      <c r="E789">
        <v>153021470</v>
      </c>
      <c r="F789" t="s">
        <v>466</v>
      </c>
      <c r="G789" t="s">
        <v>467</v>
      </c>
      <c r="H789" t="s">
        <v>74</v>
      </c>
      <c r="I789" t="s">
        <v>337</v>
      </c>
      <c r="J789">
        <v>4</v>
      </c>
      <c r="K789" s="5">
        <v>923.21</v>
      </c>
      <c r="L789" s="5">
        <v>700</v>
      </c>
      <c r="M789">
        <v>0.241775977</v>
      </c>
      <c r="N789" s="5">
        <v>223.21</v>
      </c>
      <c r="O789" s="5">
        <v>55.8</v>
      </c>
      <c r="P789">
        <v>0</v>
      </c>
      <c r="Q789" s="5">
        <v>0</v>
      </c>
      <c r="R789" s="5">
        <v>0</v>
      </c>
      <c r="S789" s="5">
        <v>175</v>
      </c>
    </row>
    <row r="790" spans="1:19">
      <c r="A790">
        <v>78</v>
      </c>
      <c r="B790" t="s">
        <v>245</v>
      </c>
      <c r="C790" t="s">
        <v>246</v>
      </c>
      <c r="D790" t="s">
        <v>231</v>
      </c>
      <c r="E790">
        <v>153021470</v>
      </c>
      <c r="F790" t="s">
        <v>466</v>
      </c>
      <c r="G790" t="s">
        <v>467</v>
      </c>
      <c r="H790" t="s">
        <v>74</v>
      </c>
      <c r="I790" t="s">
        <v>333</v>
      </c>
      <c r="J790">
        <v>0</v>
      </c>
      <c r="L790" s="5">
        <v>0</v>
      </c>
      <c r="M790">
        <v>0</v>
      </c>
      <c r="N790" s="5">
        <v>0</v>
      </c>
      <c r="O790" s="5">
        <v>0</v>
      </c>
      <c r="P790">
        <v>4</v>
      </c>
      <c r="Q790" s="5">
        <v>1440</v>
      </c>
      <c r="R790" s="5">
        <v>1105.6300000000001</v>
      </c>
      <c r="S790" s="5">
        <v>360</v>
      </c>
    </row>
    <row r="791" spans="1:19">
      <c r="A791">
        <v>78</v>
      </c>
      <c r="B791" t="s">
        <v>245</v>
      </c>
      <c r="C791" t="s">
        <v>246</v>
      </c>
      <c r="D791" t="s">
        <v>231</v>
      </c>
      <c r="E791">
        <v>153021470</v>
      </c>
      <c r="F791" t="s">
        <v>466</v>
      </c>
      <c r="G791" t="s">
        <v>467</v>
      </c>
      <c r="H791" t="s">
        <v>74</v>
      </c>
      <c r="I791" t="s">
        <v>334</v>
      </c>
      <c r="J791">
        <v>0</v>
      </c>
      <c r="L791" s="5">
        <v>0</v>
      </c>
      <c r="M791">
        <v>0</v>
      </c>
      <c r="N791" s="5">
        <v>0</v>
      </c>
      <c r="O791" s="5">
        <v>0</v>
      </c>
      <c r="P791">
        <v>4</v>
      </c>
      <c r="Q791" s="5">
        <v>1920</v>
      </c>
      <c r="R791" s="5">
        <v>668.88</v>
      </c>
      <c r="S791" s="5">
        <v>480</v>
      </c>
    </row>
    <row r="792" spans="1:19">
      <c r="A792">
        <v>78</v>
      </c>
      <c r="B792" t="s">
        <v>245</v>
      </c>
      <c r="C792" t="s">
        <v>246</v>
      </c>
      <c r="D792" t="s">
        <v>231</v>
      </c>
      <c r="E792">
        <v>153021470</v>
      </c>
      <c r="F792" t="s">
        <v>466</v>
      </c>
      <c r="G792" t="s">
        <v>467</v>
      </c>
      <c r="H792" t="s">
        <v>74</v>
      </c>
      <c r="I792" t="s">
        <v>334</v>
      </c>
      <c r="J792">
        <v>0</v>
      </c>
      <c r="L792" s="5">
        <v>0</v>
      </c>
      <c r="M792">
        <v>0</v>
      </c>
      <c r="N792" s="5">
        <v>0</v>
      </c>
      <c r="O792" s="5">
        <v>0</v>
      </c>
      <c r="P792">
        <v>4</v>
      </c>
      <c r="Q792" s="5">
        <v>1920</v>
      </c>
      <c r="R792" s="5">
        <v>973.37</v>
      </c>
      <c r="S792" s="5">
        <v>480</v>
      </c>
    </row>
    <row r="793" spans="1:19">
      <c r="A793">
        <v>78</v>
      </c>
      <c r="B793" t="s">
        <v>245</v>
      </c>
      <c r="C793" t="s">
        <v>246</v>
      </c>
      <c r="D793" t="s">
        <v>231</v>
      </c>
      <c r="E793">
        <v>153021470</v>
      </c>
      <c r="F793" t="s">
        <v>466</v>
      </c>
      <c r="G793" t="s">
        <v>467</v>
      </c>
      <c r="H793" t="s">
        <v>74</v>
      </c>
      <c r="I793" t="s">
        <v>334</v>
      </c>
      <c r="J793">
        <v>0</v>
      </c>
      <c r="L793" s="5">
        <v>0</v>
      </c>
      <c r="M793">
        <v>0</v>
      </c>
      <c r="N793" s="5">
        <v>0</v>
      </c>
      <c r="O793" s="5">
        <v>0</v>
      </c>
      <c r="P793">
        <v>4</v>
      </c>
      <c r="Q793" s="5">
        <v>1920</v>
      </c>
      <c r="R793" s="5">
        <v>2325.1</v>
      </c>
      <c r="S793" s="5">
        <v>480</v>
      </c>
    </row>
    <row r="794" spans="1:19">
      <c r="A794">
        <v>78</v>
      </c>
      <c r="B794" t="s">
        <v>245</v>
      </c>
      <c r="C794" t="s">
        <v>246</v>
      </c>
      <c r="D794" t="s">
        <v>231</v>
      </c>
      <c r="E794">
        <v>153021470</v>
      </c>
      <c r="F794" t="s">
        <v>466</v>
      </c>
      <c r="G794" t="s">
        <v>467</v>
      </c>
      <c r="H794" t="s">
        <v>74</v>
      </c>
      <c r="I794" t="s">
        <v>333</v>
      </c>
      <c r="J794">
        <v>0</v>
      </c>
      <c r="L794" s="5">
        <v>0</v>
      </c>
      <c r="M794">
        <v>0</v>
      </c>
      <c r="N794" s="5">
        <v>0</v>
      </c>
      <c r="O794" s="5">
        <v>0</v>
      </c>
      <c r="P794">
        <v>4</v>
      </c>
      <c r="Q794" s="5">
        <v>1440</v>
      </c>
      <c r="R794" s="5">
        <v>2303.4</v>
      </c>
      <c r="S794" s="5">
        <v>360</v>
      </c>
    </row>
    <row r="795" spans="1:19">
      <c r="A795">
        <v>77</v>
      </c>
      <c r="B795" t="s">
        <v>242</v>
      </c>
      <c r="C795" t="s">
        <v>243</v>
      </c>
      <c r="D795" t="s">
        <v>231</v>
      </c>
      <c r="E795">
        <v>153021470</v>
      </c>
      <c r="F795" t="s">
        <v>468</v>
      </c>
      <c r="G795" t="s">
        <v>469</v>
      </c>
      <c r="H795" t="s">
        <v>91</v>
      </c>
      <c r="I795" t="s">
        <v>334</v>
      </c>
      <c r="J795">
        <v>0</v>
      </c>
      <c r="L795" s="5">
        <v>0</v>
      </c>
      <c r="M795">
        <v>0</v>
      </c>
      <c r="N795" s="5">
        <v>0</v>
      </c>
      <c r="O795" s="5">
        <v>0</v>
      </c>
      <c r="P795">
        <v>4</v>
      </c>
      <c r="Q795" s="5">
        <v>2860</v>
      </c>
      <c r="R795" s="5">
        <v>3538.92</v>
      </c>
      <c r="S795" s="5">
        <v>715</v>
      </c>
    </row>
    <row r="796" spans="1:19">
      <c r="A796">
        <v>77</v>
      </c>
      <c r="B796" t="s">
        <v>242</v>
      </c>
      <c r="C796" t="s">
        <v>243</v>
      </c>
      <c r="D796" t="s">
        <v>231</v>
      </c>
      <c r="E796">
        <v>153023840</v>
      </c>
      <c r="F796" t="s">
        <v>468</v>
      </c>
      <c r="G796" t="s">
        <v>469</v>
      </c>
      <c r="H796" t="s">
        <v>91</v>
      </c>
      <c r="I796" t="s">
        <v>334</v>
      </c>
      <c r="J796">
        <v>0</v>
      </c>
      <c r="L796" s="5">
        <v>0</v>
      </c>
      <c r="M796">
        <v>0</v>
      </c>
      <c r="N796" s="5">
        <v>0</v>
      </c>
      <c r="O796" s="5">
        <v>0</v>
      </c>
      <c r="P796">
        <v>4</v>
      </c>
      <c r="Q796" s="5">
        <v>2860</v>
      </c>
      <c r="R796" s="5">
        <v>2384.92</v>
      </c>
      <c r="S796" s="5">
        <v>715</v>
      </c>
    </row>
    <row r="797" spans="1:19">
      <c r="A797">
        <v>77</v>
      </c>
      <c r="B797" t="s">
        <v>242</v>
      </c>
      <c r="C797" t="s">
        <v>243</v>
      </c>
      <c r="D797" t="s">
        <v>231</v>
      </c>
      <c r="E797">
        <v>153023840</v>
      </c>
      <c r="F797" t="s">
        <v>468</v>
      </c>
      <c r="G797" t="s">
        <v>469</v>
      </c>
      <c r="H797" t="s">
        <v>91</v>
      </c>
      <c r="I797" t="s">
        <v>334</v>
      </c>
      <c r="J797">
        <v>0</v>
      </c>
      <c r="L797" s="5">
        <v>0</v>
      </c>
      <c r="M797">
        <v>0</v>
      </c>
      <c r="N797" s="5">
        <v>0</v>
      </c>
      <c r="O797" s="5">
        <v>0</v>
      </c>
      <c r="P797">
        <v>4</v>
      </c>
      <c r="Q797" s="5">
        <v>2860</v>
      </c>
      <c r="R797" s="5">
        <v>4044.48</v>
      </c>
      <c r="S797" s="5">
        <v>715</v>
      </c>
    </row>
    <row r="798" spans="1:19">
      <c r="A798">
        <v>77</v>
      </c>
      <c r="B798" t="s">
        <v>242</v>
      </c>
      <c r="C798" t="s">
        <v>243</v>
      </c>
      <c r="D798" t="s">
        <v>231</v>
      </c>
      <c r="E798">
        <v>153023840</v>
      </c>
      <c r="F798" t="s">
        <v>468</v>
      </c>
      <c r="G798" t="s">
        <v>469</v>
      </c>
      <c r="H798" t="s">
        <v>91</v>
      </c>
      <c r="I798" t="s">
        <v>334</v>
      </c>
      <c r="J798">
        <v>4</v>
      </c>
      <c r="K798" s="5">
        <v>4843.21</v>
      </c>
      <c r="L798" s="5">
        <v>2860</v>
      </c>
      <c r="M798">
        <v>0.40948255300000003</v>
      </c>
      <c r="N798" s="5">
        <v>1983.21</v>
      </c>
      <c r="O798" s="5">
        <v>495.8</v>
      </c>
      <c r="P798">
        <v>0</v>
      </c>
      <c r="Q798" s="5">
        <v>0</v>
      </c>
      <c r="R798" s="5">
        <v>0</v>
      </c>
      <c r="S798" s="5">
        <v>715</v>
      </c>
    </row>
    <row r="799" spans="1:19">
      <c r="A799">
        <v>77</v>
      </c>
      <c r="B799" t="s">
        <v>242</v>
      </c>
      <c r="C799" t="s">
        <v>243</v>
      </c>
      <c r="D799" t="s">
        <v>231</v>
      </c>
      <c r="E799">
        <v>153023840</v>
      </c>
      <c r="F799" t="s">
        <v>468</v>
      </c>
      <c r="G799" t="s">
        <v>469</v>
      </c>
      <c r="H799" t="s">
        <v>91</v>
      </c>
      <c r="I799" t="s">
        <v>333</v>
      </c>
      <c r="J799">
        <v>0</v>
      </c>
      <c r="L799" s="5">
        <v>0</v>
      </c>
      <c r="M799">
        <v>0</v>
      </c>
      <c r="N799" s="5">
        <v>0</v>
      </c>
      <c r="O799" s="5">
        <v>0</v>
      </c>
      <c r="P799">
        <v>4</v>
      </c>
      <c r="Q799" s="5">
        <v>2320</v>
      </c>
      <c r="R799" s="5">
        <v>2206.12</v>
      </c>
      <c r="S799" s="5">
        <v>580</v>
      </c>
    </row>
    <row r="800" spans="1:19">
      <c r="A800">
        <v>77</v>
      </c>
      <c r="B800" t="s">
        <v>242</v>
      </c>
      <c r="C800" t="s">
        <v>243</v>
      </c>
      <c r="D800" t="s">
        <v>231</v>
      </c>
      <c r="E800">
        <v>153023840</v>
      </c>
      <c r="F800" t="s">
        <v>468</v>
      </c>
      <c r="G800" t="s">
        <v>469</v>
      </c>
      <c r="H800" t="s">
        <v>91</v>
      </c>
      <c r="I800" t="s">
        <v>334</v>
      </c>
      <c r="J800">
        <v>0</v>
      </c>
      <c r="L800" s="5">
        <v>0</v>
      </c>
      <c r="M800">
        <v>0</v>
      </c>
      <c r="N800" s="5">
        <v>0</v>
      </c>
      <c r="O800" s="5">
        <v>0</v>
      </c>
      <c r="P800">
        <v>4</v>
      </c>
      <c r="Q800" s="5">
        <v>2860</v>
      </c>
      <c r="R800" s="5">
        <v>1165.45</v>
      </c>
      <c r="S800" s="5">
        <v>715</v>
      </c>
    </row>
    <row r="801" spans="1:19">
      <c r="A801">
        <v>77</v>
      </c>
      <c r="B801" t="s">
        <v>242</v>
      </c>
      <c r="C801" t="s">
        <v>243</v>
      </c>
      <c r="D801" t="s">
        <v>231</v>
      </c>
      <c r="E801">
        <v>153023840</v>
      </c>
      <c r="F801" t="s">
        <v>468</v>
      </c>
      <c r="G801" t="s">
        <v>469</v>
      </c>
      <c r="H801" t="s">
        <v>91</v>
      </c>
      <c r="I801" t="s">
        <v>334</v>
      </c>
      <c r="J801">
        <v>0</v>
      </c>
      <c r="L801" s="5">
        <v>0</v>
      </c>
      <c r="M801">
        <v>0</v>
      </c>
      <c r="N801" s="5">
        <v>0</v>
      </c>
      <c r="O801" s="5">
        <v>0</v>
      </c>
      <c r="P801">
        <v>4</v>
      </c>
      <c r="Q801" s="5">
        <v>2860</v>
      </c>
      <c r="R801" s="5">
        <v>2650.02</v>
      </c>
      <c r="S801" s="5">
        <v>715</v>
      </c>
    </row>
    <row r="802" spans="1:19">
      <c r="A802">
        <v>77</v>
      </c>
      <c r="B802" t="s">
        <v>242</v>
      </c>
      <c r="C802" t="s">
        <v>243</v>
      </c>
      <c r="D802" t="s">
        <v>231</v>
      </c>
      <c r="E802">
        <v>153023840</v>
      </c>
      <c r="F802" t="s">
        <v>468</v>
      </c>
      <c r="G802" t="s">
        <v>469</v>
      </c>
      <c r="H802" t="s">
        <v>91</v>
      </c>
      <c r="I802" t="s">
        <v>333</v>
      </c>
      <c r="J802">
        <v>0</v>
      </c>
      <c r="L802" s="5">
        <v>0</v>
      </c>
      <c r="M802">
        <v>0</v>
      </c>
      <c r="N802" s="5">
        <v>0</v>
      </c>
      <c r="O802" s="5">
        <v>0</v>
      </c>
      <c r="P802">
        <v>4</v>
      </c>
      <c r="Q802" s="5">
        <v>2320</v>
      </c>
      <c r="R802" s="5">
        <v>1021.29</v>
      </c>
      <c r="S802" s="5">
        <v>580</v>
      </c>
    </row>
    <row r="803" spans="1:19">
      <c r="A803">
        <v>77</v>
      </c>
      <c r="B803" t="s">
        <v>242</v>
      </c>
      <c r="C803" t="s">
        <v>243</v>
      </c>
      <c r="D803" t="s">
        <v>231</v>
      </c>
      <c r="E803">
        <v>153023840</v>
      </c>
      <c r="F803" t="s">
        <v>468</v>
      </c>
      <c r="G803" t="s">
        <v>469</v>
      </c>
      <c r="H803" t="s">
        <v>91</v>
      </c>
      <c r="I803" t="s">
        <v>333</v>
      </c>
      <c r="J803">
        <v>0</v>
      </c>
      <c r="L803" s="5">
        <v>0</v>
      </c>
      <c r="M803">
        <v>0</v>
      </c>
      <c r="N803" s="5">
        <v>0</v>
      </c>
      <c r="O803" s="5">
        <v>0</v>
      </c>
      <c r="P803">
        <v>4</v>
      </c>
      <c r="Q803" s="5">
        <v>2000</v>
      </c>
      <c r="R803" s="5">
        <v>831.98</v>
      </c>
      <c r="S803" s="5">
        <v>500</v>
      </c>
    </row>
    <row r="804" spans="1:19">
      <c r="A804">
        <v>77</v>
      </c>
      <c r="B804" t="s">
        <v>242</v>
      </c>
      <c r="C804" t="s">
        <v>243</v>
      </c>
      <c r="D804" t="s">
        <v>231</v>
      </c>
      <c r="E804">
        <v>153023840</v>
      </c>
      <c r="F804" t="s">
        <v>468</v>
      </c>
      <c r="G804" t="s">
        <v>469</v>
      </c>
      <c r="H804" t="s">
        <v>91</v>
      </c>
      <c r="I804" t="s">
        <v>333</v>
      </c>
      <c r="J804">
        <v>0</v>
      </c>
      <c r="L804" s="5">
        <v>0</v>
      </c>
      <c r="M804">
        <v>0</v>
      </c>
      <c r="N804" s="5">
        <v>0</v>
      </c>
      <c r="O804" s="5">
        <v>0</v>
      </c>
      <c r="P804">
        <v>4</v>
      </c>
      <c r="Q804" s="5">
        <v>2320</v>
      </c>
      <c r="R804" s="5">
        <v>1892.12</v>
      </c>
      <c r="S804" s="5">
        <v>580</v>
      </c>
    </row>
    <row r="805" spans="1:19">
      <c r="A805">
        <v>77</v>
      </c>
      <c r="B805" t="s">
        <v>242</v>
      </c>
      <c r="C805" t="s">
        <v>243</v>
      </c>
      <c r="D805" t="s">
        <v>231</v>
      </c>
      <c r="E805">
        <v>153023840</v>
      </c>
      <c r="F805" t="s">
        <v>468</v>
      </c>
      <c r="G805" t="s">
        <v>469</v>
      </c>
      <c r="H805" t="s">
        <v>91</v>
      </c>
      <c r="I805" t="s">
        <v>335</v>
      </c>
      <c r="J805">
        <v>0</v>
      </c>
      <c r="L805" s="5">
        <v>0</v>
      </c>
      <c r="M805">
        <v>0</v>
      </c>
      <c r="N805" s="5">
        <v>0</v>
      </c>
      <c r="O805" s="5">
        <v>0</v>
      </c>
      <c r="P805">
        <v>4</v>
      </c>
      <c r="Q805" s="5">
        <v>740</v>
      </c>
      <c r="R805" s="5">
        <v>671.23</v>
      </c>
      <c r="S805" s="5">
        <v>185</v>
      </c>
    </row>
    <row r="806" spans="1:19">
      <c r="A806">
        <v>77</v>
      </c>
      <c r="B806" t="s">
        <v>242</v>
      </c>
      <c r="C806" t="s">
        <v>243</v>
      </c>
      <c r="D806" t="s">
        <v>231</v>
      </c>
      <c r="E806">
        <v>153023840</v>
      </c>
      <c r="F806" t="s">
        <v>468</v>
      </c>
      <c r="G806" t="s">
        <v>469</v>
      </c>
      <c r="H806" t="s">
        <v>91</v>
      </c>
      <c r="I806" t="s">
        <v>334</v>
      </c>
      <c r="J806">
        <v>0</v>
      </c>
      <c r="L806" s="5">
        <v>0</v>
      </c>
      <c r="M806">
        <v>0</v>
      </c>
      <c r="N806" s="5">
        <v>0</v>
      </c>
      <c r="O806" s="5">
        <v>0</v>
      </c>
      <c r="P806">
        <v>4</v>
      </c>
      <c r="Q806" s="5">
        <v>2860</v>
      </c>
      <c r="R806" s="5">
        <v>4550.04</v>
      </c>
      <c r="S806" s="5">
        <v>715</v>
      </c>
    </row>
    <row r="807" spans="1:19">
      <c r="A807">
        <v>80</v>
      </c>
      <c r="B807" t="s">
        <v>252</v>
      </c>
      <c r="C807" t="s">
        <v>253</v>
      </c>
      <c r="D807" t="s">
        <v>231</v>
      </c>
      <c r="E807">
        <v>153023840</v>
      </c>
      <c r="F807" t="s">
        <v>470</v>
      </c>
      <c r="G807" t="s">
        <v>471</v>
      </c>
      <c r="H807" t="s">
        <v>79</v>
      </c>
      <c r="I807" t="s">
        <v>335</v>
      </c>
      <c r="J807">
        <v>0</v>
      </c>
      <c r="L807" s="5">
        <v>0</v>
      </c>
      <c r="M807">
        <v>0</v>
      </c>
      <c r="N807" s="5">
        <v>0</v>
      </c>
      <c r="O807" s="5">
        <v>0</v>
      </c>
      <c r="P807">
        <v>2</v>
      </c>
      <c r="Q807" s="5">
        <v>818.9</v>
      </c>
      <c r="R807" s="5">
        <v>654.80999999999995</v>
      </c>
      <c r="S807" s="5">
        <v>409.45</v>
      </c>
    </row>
    <row r="808" spans="1:19">
      <c r="A808">
        <v>80</v>
      </c>
      <c r="B808" t="s">
        <v>252</v>
      </c>
      <c r="C808" t="s">
        <v>253</v>
      </c>
      <c r="D808" t="s">
        <v>231</v>
      </c>
      <c r="E808">
        <v>153023846</v>
      </c>
      <c r="F808" t="s">
        <v>470</v>
      </c>
      <c r="G808" t="s">
        <v>471</v>
      </c>
      <c r="H808" t="s">
        <v>79</v>
      </c>
      <c r="I808" t="s">
        <v>337</v>
      </c>
      <c r="J808">
        <v>0</v>
      </c>
      <c r="L808" s="5">
        <v>0</v>
      </c>
      <c r="M808">
        <v>0</v>
      </c>
      <c r="N808" s="5">
        <v>0</v>
      </c>
      <c r="O808" s="5">
        <v>0</v>
      </c>
      <c r="P808">
        <v>4</v>
      </c>
      <c r="Q808" s="5">
        <v>1528</v>
      </c>
      <c r="R808" s="5">
        <v>1492.1</v>
      </c>
      <c r="S808" s="5">
        <v>382</v>
      </c>
    </row>
    <row r="809" spans="1:19">
      <c r="A809">
        <v>80</v>
      </c>
      <c r="B809" t="s">
        <v>252</v>
      </c>
      <c r="C809" t="s">
        <v>253</v>
      </c>
      <c r="D809" t="s">
        <v>231</v>
      </c>
      <c r="E809">
        <v>153023846</v>
      </c>
      <c r="F809" t="s">
        <v>470</v>
      </c>
      <c r="G809" t="s">
        <v>471</v>
      </c>
      <c r="H809" t="s">
        <v>79</v>
      </c>
      <c r="I809" t="s">
        <v>337</v>
      </c>
      <c r="J809">
        <v>0</v>
      </c>
      <c r="L809" s="5">
        <v>0</v>
      </c>
      <c r="M809">
        <v>0</v>
      </c>
      <c r="N809" s="5">
        <v>0</v>
      </c>
      <c r="O809" s="5">
        <v>0</v>
      </c>
      <c r="P809">
        <v>4</v>
      </c>
      <c r="Q809" s="5">
        <v>1799.32</v>
      </c>
      <c r="R809" s="5">
        <v>1558.95</v>
      </c>
      <c r="S809" s="5">
        <v>449.83</v>
      </c>
    </row>
    <row r="810" spans="1:19">
      <c r="A810">
        <v>80</v>
      </c>
      <c r="B810" t="s">
        <v>252</v>
      </c>
      <c r="C810" t="s">
        <v>253</v>
      </c>
      <c r="D810" t="s">
        <v>231</v>
      </c>
      <c r="E810">
        <v>153023846</v>
      </c>
      <c r="F810" t="s">
        <v>470</v>
      </c>
      <c r="G810" t="s">
        <v>471</v>
      </c>
      <c r="H810" t="s">
        <v>79</v>
      </c>
      <c r="I810" t="s">
        <v>337</v>
      </c>
      <c r="J810">
        <v>0</v>
      </c>
      <c r="L810" s="5">
        <v>0</v>
      </c>
      <c r="M810">
        <v>0</v>
      </c>
      <c r="N810" s="5">
        <v>0</v>
      </c>
      <c r="O810" s="5">
        <v>0</v>
      </c>
      <c r="P810">
        <v>4</v>
      </c>
      <c r="Q810" s="5">
        <v>640</v>
      </c>
      <c r="R810" s="5">
        <v>1358.38</v>
      </c>
      <c r="S810" s="5">
        <v>160</v>
      </c>
    </row>
    <row r="811" spans="1:19">
      <c r="A811">
        <v>80</v>
      </c>
      <c r="B811" t="s">
        <v>252</v>
      </c>
      <c r="C811" t="s">
        <v>253</v>
      </c>
      <c r="D811" t="s">
        <v>231</v>
      </c>
      <c r="E811">
        <v>153023846</v>
      </c>
      <c r="F811" t="s">
        <v>470</v>
      </c>
      <c r="G811" t="s">
        <v>471</v>
      </c>
      <c r="H811" t="s">
        <v>79</v>
      </c>
      <c r="I811" t="s">
        <v>337</v>
      </c>
      <c r="J811">
        <v>0</v>
      </c>
      <c r="L811" s="5">
        <v>0</v>
      </c>
      <c r="M811">
        <v>0</v>
      </c>
      <c r="N811" s="5">
        <v>0</v>
      </c>
      <c r="O811" s="5">
        <v>0</v>
      </c>
      <c r="P811">
        <v>4</v>
      </c>
      <c r="Q811" s="5">
        <v>1763.76</v>
      </c>
      <c r="R811" s="5">
        <v>1224.68</v>
      </c>
      <c r="S811" s="5">
        <v>440.94</v>
      </c>
    </row>
    <row r="812" spans="1:19">
      <c r="A812">
        <v>80</v>
      </c>
      <c r="B812" t="s">
        <v>252</v>
      </c>
      <c r="C812" t="s">
        <v>253</v>
      </c>
      <c r="D812" t="s">
        <v>231</v>
      </c>
      <c r="E812">
        <v>153023846</v>
      </c>
      <c r="F812" t="s">
        <v>470</v>
      </c>
      <c r="G812" t="s">
        <v>471</v>
      </c>
      <c r="H812" t="s">
        <v>79</v>
      </c>
      <c r="I812" t="s">
        <v>337</v>
      </c>
      <c r="J812">
        <v>0</v>
      </c>
      <c r="L812" s="5">
        <v>0</v>
      </c>
      <c r="M812">
        <v>0</v>
      </c>
      <c r="N812" s="5">
        <v>0</v>
      </c>
      <c r="O812" s="5">
        <v>0</v>
      </c>
      <c r="P812">
        <v>4</v>
      </c>
      <c r="Q812" s="5">
        <v>1808.28</v>
      </c>
      <c r="R812" s="5">
        <v>1625.8</v>
      </c>
      <c r="S812" s="5">
        <v>452.07</v>
      </c>
    </row>
    <row r="813" spans="1:19">
      <c r="A813">
        <v>80</v>
      </c>
      <c r="B813" t="s">
        <v>252</v>
      </c>
      <c r="C813" t="s">
        <v>253</v>
      </c>
      <c r="D813" t="s">
        <v>231</v>
      </c>
      <c r="E813">
        <v>153023846</v>
      </c>
      <c r="F813" t="s">
        <v>470</v>
      </c>
      <c r="G813" t="s">
        <v>471</v>
      </c>
      <c r="H813" t="s">
        <v>79</v>
      </c>
      <c r="I813" t="s">
        <v>333</v>
      </c>
      <c r="J813">
        <v>0</v>
      </c>
      <c r="L813" s="5">
        <v>0</v>
      </c>
      <c r="M813">
        <v>0</v>
      </c>
      <c r="N813" s="5">
        <v>0</v>
      </c>
      <c r="O813" s="5">
        <v>0</v>
      </c>
      <c r="P813">
        <v>4</v>
      </c>
      <c r="Q813" s="5">
        <v>1340</v>
      </c>
      <c r="R813" s="5">
        <v>1386.51</v>
      </c>
      <c r="S813" s="5">
        <v>335</v>
      </c>
    </row>
    <row r="814" spans="1:19">
      <c r="A814">
        <v>80</v>
      </c>
      <c r="B814" t="s">
        <v>252</v>
      </c>
      <c r="C814" t="s">
        <v>253</v>
      </c>
      <c r="D814" t="s">
        <v>231</v>
      </c>
      <c r="E814">
        <v>153023846</v>
      </c>
      <c r="F814" t="s">
        <v>470</v>
      </c>
      <c r="G814" t="s">
        <v>471</v>
      </c>
      <c r="H814" t="s">
        <v>79</v>
      </c>
      <c r="I814" t="s">
        <v>337</v>
      </c>
      <c r="J814">
        <v>0</v>
      </c>
      <c r="L814" s="5">
        <v>0</v>
      </c>
      <c r="M814">
        <v>0</v>
      </c>
      <c r="N814" s="5">
        <v>0</v>
      </c>
      <c r="O814" s="5">
        <v>0</v>
      </c>
      <c r="P814">
        <v>2</v>
      </c>
      <c r="Q814" s="5">
        <v>896.1</v>
      </c>
      <c r="R814" s="5">
        <v>957.26</v>
      </c>
      <c r="S814" s="5">
        <v>448.05</v>
      </c>
    </row>
    <row r="815" spans="1:19">
      <c r="A815">
        <v>80</v>
      </c>
      <c r="B815" t="s">
        <v>252</v>
      </c>
      <c r="C815" t="s">
        <v>253</v>
      </c>
      <c r="D815" t="s">
        <v>231</v>
      </c>
      <c r="E815">
        <v>153023846</v>
      </c>
      <c r="F815" t="s">
        <v>470</v>
      </c>
      <c r="G815" t="s">
        <v>471</v>
      </c>
      <c r="H815" t="s">
        <v>79</v>
      </c>
      <c r="I815" t="s">
        <v>337</v>
      </c>
      <c r="J815">
        <v>0</v>
      </c>
      <c r="L815" s="5">
        <v>0</v>
      </c>
      <c r="M815">
        <v>0</v>
      </c>
      <c r="N815" s="5">
        <v>0</v>
      </c>
      <c r="O815" s="5">
        <v>0</v>
      </c>
      <c r="P815">
        <v>4</v>
      </c>
      <c r="Q815" s="5">
        <v>1722.16</v>
      </c>
      <c r="R815" s="5">
        <v>1157.82</v>
      </c>
      <c r="S815" s="5">
        <v>430.54</v>
      </c>
    </row>
    <row r="816" spans="1:19">
      <c r="A816">
        <v>80</v>
      </c>
      <c r="B816" t="s">
        <v>252</v>
      </c>
      <c r="C816" t="s">
        <v>253</v>
      </c>
      <c r="D816" t="s">
        <v>231</v>
      </c>
      <c r="E816">
        <v>153023846</v>
      </c>
      <c r="F816" t="s">
        <v>470</v>
      </c>
      <c r="G816" t="s">
        <v>471</v>
      </c>
      <c r="H816" t="s">
        <v>79</v>
      </c>
      <c r="I816" t="s">
        <v>333</v>
      </c>
      <c r="J816">
        <v>0</v>
      </c>
      <c r="L816" s="5">
        <v>0</v>
      </c>
      <c r="M816">
        <v>0</v>
      </c>
      <c r="N816" s="5">
        <v>0</v>
      </c>
      <c r="O816" s="5">
        <v>0</v>
      </c>
      <c r="P816">
        <v>4</v>
      </c>
      <c r="Q816" s="5">
        <v>1340</v>
      </c>
      <c r="R816" s="5">
        <v>692.75</v>
      </c>
      <c r="S816" s="5">
        <v>335</v>
      </c>
    </row>
    <row r="817" spans="1:19">
      <c r="A817">
        <v>80</v>
      </c>
      <c r="B817" t="s">
        <v>252</v>
      </c>
      <c r="C817" t="s">
        <v>253</v>
      </c>
      <c r="D817" t="s">
        <v>231</v>
      </c>
      <c r="E817">
        <v>153023846</v>
      </c>
      <c r="F817" t="s">
        <v>470</v>
      </c>
      <c r="G817" t="s">
        <v>471</v>
      </c>
      <c r="H817" t="s">
        <v>79</v>
      </c>
      <c r="I817" t="s">
        <v>337</v>
      </c>
      <c r="J817">
        <v>0</v>
      </c>
      <c r="L817" s="5">
        <v>0</v>
      </c>
      <c r="M817">
        <v>0</v>
      </c>
      <c r="N817" s="5">
        <v>0</v>
      </c>
      <c r="O817" s="5">
        <v>0</v>
      </c>
      <c r="P817">
        <v>4</v>
      </c>
      <c r="Q817" s="5">
        <v>1528</v>
      </c>
      <c r="R817" s="5">
        <v>1291.53</v>
      </c>
      <c r="S817" s="5">
        <v>382</v>
      </c>
    </row>
    <row r="818" spans="1:19">
      <c r="A818">
        <v>80</v>
      </c>
      <c r="B818" t="s">
        <v>252</v>
      </c>
      <c r="C818" t="s">
        <v>253</v>
      </c>
      <c r="D818" t="s">
        <v>231</v>
      </c>
      <c r="E818">
        <v>153023846</v>
      </c>
      <c r="F818" t="s">
        <v>470</v>
      </c>
      <c r="G818" t="s">
        <v>471</v>
      </c>
      <c r="H818" t="s">
        <v>79</v>
      </c>
      <c r="I818" t="s">
        <v>333</v>
      </c>
      <c r="J818">
        <v>0</v>
      </c>
      <c r="L818" s="5">
        <v>0</v>
      </c>
      <c r="M818">
        <v>0</v>
      </c>
      <c r="N818" s="5">
        <v>0</v>
      </c>
      <c r="O818" s="5">
        <v>0</v>
      </c>
      <c r="P818">
        <v>4</v>
      </c>
      <c r="Q818" s="5">
        <v>1340</v>
      </c>
      <c r="R818" s="5">
        <v>1296.02</v>
      </c>
      <c r="S818" s="5">
        <v>335</v>
      </c>
    </row>
    <row r="819" spans="1:19">
      <c r="A819">
        <v>80</v>
      </c>
      <c r="B819" t="s">
        <v>252</v>
      </c>
      <c r="C819" t="s">
        <v>253</v>
      </c>
      <c r="D819" t="s">
        <v>231</v>
      </c>
      <c r="E819">
        <v>153023846</v>
      </c>
      <c r="F819" t="s">
        <v>470</v>
      </c>
      <c r="G819" t="s">
        <v>471</v>
      </c>
      <c r="H819" t="s">
        <v>79</v>
      </c>
      <c r="I819" t="s">
        <v>337</v>
      </c>
      <c r="J819">
        <v>0</v>
      </c>
      <c r="L819" s="5">
        <v>0</v>
      </c>
      <c r="M819">
        <v>0</v>
      </c>
      <c r="N819" s="5">
        <v>0</v>
      </c>
      <c r="O819" s="5">
        <v>0</v>
      </c>
      <c r="P819">
        <v>2</v>
      </c>
      <c r="Q819" s="5">
        <v>765.06</v>
      </c>
      <c r="R819" s="5">
        <v>1024.1099999999999</v>
      </c>
      <c r="S819" s="5">
        <v>382.53</v>
      </c>
    </row>
    <row r="820" spans="1:19">
      <c r="A820">
        <v>80</v>
      </c>
      <c r="B820" t="s">
        <v>252</v>
      </c>
      <c r="C820" t="s">
        <v>253</v>
      </c>
      <c r="D820" t="s">
        <v>231</v>
      </c>
      <c r="E820">
        <v>153023846</v>
      </c>
      <c r="F820" t="s">
        <v>470</v>
      </c>
      <c r="G820" t="s">
        <v>471</v>
      </c>
      <c r="H820" t="s">
        <v>79</v>
      </c>
      <c r="I820" t="s">
        <v>336</v>
      </c>
      <c r="J820">
        <v>0</v>
      </c>
      <c r="L820" s="5">
        <v>0</v>
      </c>
      <c r="M820">
        <v>0</v>
      </c>
      <c r="N820" s="5">
        <v>0</v>
      </c>
      <c r="O820" s="5">
        <v>0</v>
      </c>
      <c r="P820">
        <v>4</v>
      </c>
      <c r="Q820" s="5">
        <v>1573.72</v>
      </c>
      <c r="R820" s="5">
        <v>1425.24</v>
      </c>
      <c r="S820" s="5">
        <v>393.43</v>
      </c>
    </row>
    <row r="821" spans="1:19">
      <c r="A821">
        <v>80</v>
      </c>
      <c r="B821" t="s">
        <v>252</v>
      </c>
      <c r="C821" t="s">
        <v>253</v>
      </c>
      <c r="D821" t="s">
        <v>231</v>
      </c>
      <c r="E821">
        <v>153023846</v>
      </c>
      <c r="F821" t="s">
        <v>470</v>
      </c>
      <c r="G821" t="s">
        <v>471</v>
      </c>
      <c r="H821" t="s">
        <v>79</v>
      </c>
      <c r="I821" t="s">
        <v>337</v>
      </c>
      <c r="J821">
        <v>0</v>
      </c>
      <c r="L821" s="5">
        <v>0</v>
      </c>
      <c r="M821">
        <v>0</v>
      </c>
      <c r="N821" s="5">
        <v>0</v>
      </c>
      <c r="O821" s="5">
        <v>0</v>
      </c>
      <c r="P821">
        <v>2</v>
      </c>
      <c r="Q821" s="5">
        <v>766.68</v>
      </c>
      <c r="R821" s="5">
        <v>511.56</v>
      </c>
      <c r="S821" s="5">
        <v>383.34</v>
      </c>
    </row>
    <row r="822" spans="1:19">
      <c r="A822">
        <v>80</v>
      </c>
      <c r="B822" t="s">
        <v>252</v>
      </c>
      <c r="C822" t="s">
        <v>253</v>
      </c>
      <c r="D822" t="s">
        <v>231</v>
      </c>
      <c r="E822">
        <v>153023846</v>
      </c>
      <c r="F822" t="s">
        <v>470</v>
      </c>
      <c r="G822" t="s">
        <v>471</v>
      </c>
      <c r="H822" t="s">
        <v>79</v>
      </c>
      <c r="I822" t="s">
        <v>337</v>
      </c>
      <c r="J822">
        <v>0</v>
      </c>
      <c r="L822" s="5">
        <v>0</v>
      </c>
      <c r="M822">
        <v>0</v>
      </c>
      <c r="N822" s="5">
        <v>0</v>
      </c>
      <c r="O822" s="5">
        <v>0</v>
      </c>
      <c r="P822">
        <v>4</v>
      </c>
      <c r="Q822" s="5">
        <v>1668.8</v>
      </c>
      <c r="R822" s="5">
        <v>1090.96</v>
      </c>
      <c r="S822" s="5">
        <v>417.2</v>
      </c>
    </row>
    <row r="823" spans="1:19">
      <c r="A823">
        <v>82</v>
      </c>
      <c r="B823" t="s">
        <v>258</v>
      </c>
      <c r="C823" t="s">
        <v>259</v>
      </c>
      <c r="D823" t="s">
        <v>231</v>
      </c>
      <c r="E823">
        <v>153023846</v>
      </c>
      <c r="F823" t="s">
        <v>472</v>
      </c>
      <c r="G823" t="s">
        <v>473</v>
      </c>
      <c r="H823" t="s">
        <v>365</v>
      </c>
      <c r="I823" t="s">
        <v>334</v>
      </c>
      <c r="J823">
        <v>0</v>
      </c>
      <c r="L823" s="5">
        <v>0</v>
      </c>
      <c r="M823">
        <v>0</v>
      </c>
      <c r="N823" s="5">
        <v>0</v>
      </c>
      <c r="O823" s="5">
        <v>0</v>
      </c>
      <c r="P823">
        <v>4</v>
      </c>
      <c r="Q823" s="5">
        <v>2600</v>
      </c>
      <c r="R823" s="5">
        <v>0</v>
      </c>
      <c r="S823" s="5">
        <v>650</v>
      </c>
    </row>
    <row r="824" spans="1:19">
      <c r="A824">
        <v>82</v>
      </c>
      <c r="B824" t="s">
        <v>258</v>
      </c>
      <c r="C824" t="s">
        <v>259</v>
      </c>
      <c r="D824" t="s">
        <v>231</v>
      </c>
      <c r="E824">
        <v>153020573</v>
      </c>
      <c r="F824" t="s">
        <v>472</v>
      </c>
      <c r="G824" t="s">
        <v>473</v>
      </c>
      <c r="H824" t="s">
        <v>365</v>
      </c>
      <c r="I824" t="s">
        <v>333</v>
      </c>
      <c r="J824">
        <v>0</v>
      </c>
      <c r="L824" s="5">
        <v>0</v>
      </c>
      <c r="M824">
        <v>0</v>
      </c>
      <c r="N824" s="5">
        <v>0</v>
      </c>
      <c r="O824" s="5">
        <v>0</v>
      </c>
      <c r="P824">
        <v>4</v>
      </c>
      <c r="Q824" s="5">
        <v>1560</v>
      </c>
      <c r="R824" s="5">
        <v>2230.27</v>
      </c>
      <c r="S824" s="5">
        <v>390</v>
      </c>
    </row>
    <row r="825" spans="1:19">
      <c r="A825">
        <v>82</v>
      </c>
      <c r="B825" t="s">
        <v>258</v>
      </c>
      <c r="C825" t="s">
        <v>259</v>
      </c>
      <c r="D825" t="s">
        <v>231</v>
      </c>
      <c r="E825">
        <v>153020573</v>
      </c>
      <c r="F825" t="s">
        <v>472</v>
      </c>
      <c r="G825" t="s">
        <v>473</v>
      </c>
      <c r="H825" t="s">
        <v>365</v>
      </c>
      <c r="I825" t="s">
        <v>337</v>
      </c>
      <c r="J825">
        <v>4</v>
      </c>
      <c r="K825" s="5">
        <v>1781.61</v>
      </c>
      <c r="L825" s="5">
        <v>720</v>
      </c>
      <c r="M825">
        <v>0.59587115000000002</v>
      </c>
      <c r="N825" s="5">
        <v>1061.6099999999999</v>
      </c>
      <c r="O825" s="5">
        <v>265.39999999999998</v>
      </c>
      <c r="P825">
        <v>0</v>
      </c>
      <c r="Q825" s="5">
        <v>0</v>
      </c>
      <c r="R825" s="5">
        <v>0</v>
      </c>
      <c r="S825" s="5">
        <v>180</v>
      </c>
    </row>
    <row r="826" spans="1:19">
      <c r="A826">
        <v>82</v>
      </c>
      <c r="B826" t="s">
        <v>258</v>
      </c>
      <c r="C826" t="s">
        <v>259</v>
      </c>
      <c r="D826" t="s">
        <v>231</v>
      </c>
      <c r="E826">
        <v>153020573</v>
      </c>
      <c r="F826" t="s">
        <v>472</v>
      </c>
      <c r="G826" t="s">
        <v>473</v>
      </c>
      <c r="H826" t="s">
        <v>365</v>
      </c>
      <c r="I826" t="s">
        <v>334</v>
      </c>
      <c r="J826">
        <v>0</v>
      </c>
      <c r="L826" s="5">
        <v>0</v>
      </c>
      <c r="M826">
        <v>0</v>
      </c>
      <c r="N826" s="5">
        <v>0</v>
      </c>
      <c r="O826" s="5">
        <v>0</v>
      </c>
      <c r="P826">
        <v>4</v>
      </c>
      <c r="Q826" s="5">
        <v>2060</v>
      </c>
      <c r="R826" s="5">
        <v>665.47</v>
      </c>
      <c r="S826" s="5">
        <v>515</v>
      </c>
    </row>
    <row r="827" spans="1:19">
      <c r="A827">
        <v>82</v>
      </c>
      <c r="B827" t="s">
        <v>258</v>
      </c>
      <c r="C827" t="s">
        <v>259</v>
      </c>
      <c r="D827" t="s">
        <v>231</v>
      </c>
      <c r="E827">
        <v>153020573</v>
      </c>
      <c r="F827" t="s">
        <v>472</v>
      </c>
      <c r="G827" t="s">
        <v>473</v>
      </c>
      <c r="H827" t="s">
        <v>365</v>
      </c>
      <c r="I827" t="s">
        <v>334</v>
      </c>
      <c r="J827">
        <v>0</v>
      </c>
      <c r="L827" s="5">
        <v>0</v>
      </c>
      <c r="M827">
        <v>0</v>
      </c>
      <c r="N827" s="5">
        <v>0</v>
      </c>
      <c r="O827" s="5">
        <v>0</v>
      </c>
      <c r="P827">
        <v>4</v>
      </c>
      <c r="Q827" s="5">
        <v>2554.7199999999998</v>
      </c>
      <c r="R827" s="5">
        <v>0</v>
      </c>
      <c r="S827" s="5">
        <v>638.67999999999995</v>
      </c>
    </row>
    <row r="828" spans="1:19">
      <c r="A828">
        <v>82</v>
      </c>
      <c r="B828" t="s">
        <v>258</v>
      </c>
      <c r="C828" t="s">
        <v>259</v>
      </c>
      <c r="D828" t="s">
        <v>231</v>
      </c>
      <c r="E828">
        <v>153020573</v>
      </c>
      <c r="F828" t="s">
        <v>472</v>
      </c>
      <c r="G828" t="s">
        <v>473</v>
      </c>
      <c r="H828" t="s">
        <v>365</v>
      </c>
      <c r="I828" t="s">
        <v>333</v>
      </c>
      <c r="J828">
        <v>0</v>
      </c>
      <c r="L828" s="5">
        <v>0</v>
      </c>
      <c r="M828">
        <v>0</v>
      </c>
      <c r="N828" s="5">
        <v>0</v>
      </c>
      <c r="O828" s="5">
        <v>0</v>
      </c>
      <c r="P828">
        <v>4</v>
      </c>
      <c r="Q828" s="5">
        <v>1560</v>
      </c>
      <c r="R828" s="5">
        <v>1734.66</v>
      </c>
      <c r="S828" s="5">
        <v>390</v>
      </c>
    </row>
    <row r="829" spans="1:19">
      <c r="A829">
        <v>82</v>
      </c>
      <c r="B829" t="s">
        <v>258</v>
      </c>
      <c r="C829" t="s">
        <v>259</v>
      </c>
      <c r="D829" t="s">
        <v>231</v>
      </c>
      <c r="E829">
        <v>153020573</v>
      </c>
      <c r="F829" t="s">
        <v>472</v>
      </c>
      <c r="G829" t="s">
        <v>473</v>
      </c>
      <c r="H829" t="s">
        <v>365</v>
      </c>
      <c r="I829" t="s">
        <v>333</v>
      </c>
      <c r="J829">
        <v>0</v>
      </c>
      <c r="L829" s="5">
        <v>0</v>
      </c>
      <c r="M829">
        <v>0</v>
      </c>
      <c r="N829" s="5">
        <v>0</v>
      </c>
      <c r="O829" s="5">
        <v>0</v>
      </c>
      <c r="P829">
        <v>4</v>
      </c>
      <c r="Q829" s="5">
        <v>1560</v>
      </c>
      <c r="R829" s="5">
        <v>1486.85</v>
      </c>
      <c r="S829" s="5">
        <v>390</v>
      </c>
    </row>
    <row r="830" spans="1:19">
      <c r="A830">
        <v>82</v>
      </c>
      <c r="B830" t="s">
        <v>258</v>
      </c>
      <c r="C830" t="s">
        <v>259</v>
      </c>
      <c r="D830" t="s">
        <v>231</v>
      </c>
      <c r="E830">
        <v>153020573</v>
      </c>
      <c r="F830" t="s">
        <v>472</v>
      </c>
      <c r="G830" t="s">
        <v>473</v>
      </c>
      <c r="H830" t="s">
        <v>365</v>
      </c>
      <c r="I830" t="s">
        <v>333</v>
      </c>
      <c r="J830">
        <v>0</v>
      </c>
      <c r="L830" s="5">
        <v>0</v>
      </c>
      <c r="M830">
        <v>0</v>
      </c>
      <c r="N830" s="5">
        <v>0</v>
      </c>
      <c r="O830" s="5">
        <v>0</v>
      </c>
      <c r="P830">
        <v>4</v>
      </c>
      <c r="Q830" s="5">
        <v>1560</v>
      </c>
      <c r="R830" s="5">
        <v>2478.08</v>
      </c>
      <c r="S830" s="5">
        <v>390</v>
      </c>
    </row>
    <row r="831" spans="1:19">
      <c r="A831">
        <v>82</v>
      </c>
      <c r="B831" t="s">
        <v>258</v>
      </c>
      <c r="C831" t="s">
        <v>259</v>
      </c>
      <c r="D831" t="s">
        <v>231</v>
      </c>
      <c r="E831">
        <v>153020573</v>
      </c>
      <c r="F831" t="s">
        <v>472</v>
      </c>
      <c r="G831" t="s">
        <v>473</v>
      </c>
      <c r="H831" t="s">
        <v>365</v>
      </c>
      <c r="I831" t="s">
        <v>333</v>
      </c>
      <c r="J831">
        <v>0</v>
      </c>
      <c r="L831" s="5">
        <v>0</v>
      </c>
      <c r="M831">
        <v>0</v>
      </c>
      <c r="N831" s="5">
        <v>0</v>
      </c>
      <c r="O831" s="5">
        <v>0</v>
      </c>
      <c r="P831">
        <v>4</v>
      </c>
      <c r="Q831" s="5">
        <v>1560</v>
      </c>
      <c r="R831" s="5">
        <v>618.28</v>
      </c>
      <c r="S831" s="5">
        <v>390</v>
      </c>
    </row>
    <row r="832" spans="1:19">
      <c r="A832">
        <v>82</v>
      </c>
      <c r="B832" t="s">
        <v>258</v>
      </c>
      <c r="C832" t="s">
        <v>259</v>
      </c>
      <c r="D832" t="s">
        <v>231</v>
      </c>
      <c r="E832">
        <v>153020573</v>
      </c>
      <c r="F832" t="s">
        <v>472</v>
      </c>
      <c r="G832" t="s">
        <v>473</v>
      </c>
      <c r="H832" t="s">
        <v>365</v>
      </c>
      <c r="I832" t="s">
        <v>338</v>
      </c>
      <c r="J832">
        <v>0</v>
      </c>
      <c r="L832" s="5">
        <v>0</v>
      </c>
      <c r="M832">
        <v>0</v>
      </c>
      <c r="N832" s="5">
        <v>0</v>
      </c>
      <c r="O832" s="5">
        <v>0</v>
      </c>
      <c r="P832">
        <v>3</v>
      </c>
      <c r="Q832" s="5">
        <v>1545</v>
      </c>
      <c r="R832" s="5">
        <v>775.4</v>
      </c>
      <c r="S832" s="5">
        <v>515</v>
      </c>
    </row>
    <row r="833" spans="1:19">
      <c r="A833">
        <v>82</v>
      </c>
      <c r="B833" t="s">
        <v>258</v>
      </c>
      <c r="C833" t="s">
        <v>259</v>
      </c>
      <c r="D833" t="s">
        <v>231</v>
      </c>
      <c r="E833">
        <v>153020573</v>
      </c>
      <c r="F833" t="s">
        <v>472</v>
      </c>
      <c r="G833" t="s">
        <v>473</v>
      </c>
      <c r="H833" t="s">
        <v>365</v>
      </c>
      <c r="I833" t="s">
        <v>334</v>
      </c>
      <c r="J833">
        <v>0</v>
      </c>
      <c r="L833" s="5">
        <v>0</v>
      </c>
      <c r="M833">
        <v>0</v>
      </c>
      <c r="N833" s="5">
        <v>0</v>
      </c>
      <c r="O833" s="5">
        <v>0</v>
      </c>
      <c r="P833">
        <v>4</v>
      </c>
      <c r="Q833" s="5">
        <v>1880</v>
      </c>
      <c r="R833" s="5">
        <v>1385.42</v>
      </c>
      <c r="S833" s="5">
        <v>470</v>
      </c>
    </row>
    <row r="834" spans="1:19">
      <c r="A834">
        <v>82</v>
      </c>
      <c r="B834" t="s">
        <v>258</v>
      </c>
      <c r="C834" t="s">
        <v>259</v>
      </c>
      <c r="D834" t="s">
        <v>231</v>
      </c>
      <c r="E834">
        <v>153020573</v>
      </c>
      <c r="F834" t="s">
        <v>472</v>
      </c>
      <c r="G834" t="s">
        <v>473</v>
      </c>
      <c r="H834" t="s">
        <v>365</v>
      </c>
      <c r="I834" t="s">
        <v>337</v>
      </c>
      <c r="J834">
        <v>4</v>
      </c>
      <c r="K834" s="5">
        <v>1562.14</v>
      </c>
      <c r="L834" s="5">
        <v>720</v>
      </c>
      <c r="M834">
        <v>0.53909380699999998</v>
      </c>
      <c r="N834" s="5">
        <v>842.14</v>
      </c>
      <c r="O834" s="5">
        <v>210.54</v>
      </c>
      <c r="P834">
        <v>0</v>
      </c>
      <c r="Q834" s="5">
        <v>0</v>
      </c>
      <c r="R834" s="5">
        <v>0</v>
      </c>
      <c r="S834" s="5">
        <v>180</v>
      </c>
    </row>
    <row r="835" spans="1:19">
      <c r="A835">
        <v>82</v>
      </c>
      <c r="B835" t="s">
        <v>258</v>
      </c>
      <c r="C835" t="s">
        <v>259</v>
      </c>
      <c r="D835" t="s">
        <v>231</v>
      </c>
      <c r="E835">
        <v>153020573</v>
      </c>
      <c r="F835" t="s">
        <v>472</v>
      </c>
      <c r="G835" t="s">
        <v>473</v>
      </c>
      <c r="H835" t="s">
        <v>365</v>
      </c>
      <c r="I835" t="s">
        <v>334</v>
      </c>
      <c r="J835">
        <v>0</v>
      </c>
      <c r="L835" s="5">
        <v>0</v>
      </c>
      <c r="M835">
        <v>0</v>
      </c>
      <c r="N835" s="5">
        <v>0</v>
      </c>
      <c r="O835" s="5">
        <v>0</v>
      </c>
      <c r="P835">
        <v>4</v>
      </c>
      <c r="Q835" s="5">
        <v>1880</v>
      </c>
      <c r="R835" s="5">
        <v>2047.26</v>
      </c>
      <c r="S835" s="5">
        <v>470</v>
      </c>
    </row>
    <row r="836" spans="1:19">
      <c r="A836">
        <v>82</v>
      </c>
      <c r="B836" t="s">
        <v>258</v>
      </c>
      <c r="C836" t="s">
        <v>259</v>
      </c>
      <c r="D836" t="s">
        <v>231</v>
      </c>
      <c r="E836">
        <v>153020573</v>
      </c>
      <c r="F836" t="s">
        <v>472</v>
      </c>
      <c r="G836" t="s">
        <v>473</v>
      </c>
      <c r="H836" t="s">
        <v>365</v>
      </c>
      <c r="I836" t="s">
        <v>333</v>
      </c>
      <c r="J836">
        <v>0</v>
      </c>
      <c r="L836" s="5">
        <v>0</v>
      </c>
      <c r="M836">
        <v>0</v>
      </c>
      <c r="N836" s="5">
        <v>0</v>
      </c>
      <c r="O836" s="5">
        <v>0</v>
      </c>
      <c r="P836">
        <v>4</v>
      </c>
      <c r="Q836" s="5">
        <v>1560</v>
      </c>
      <c r="R836" s="5">
        <v>759.02</v>
      </c>
      <c r="S836" s="5">
        <v>390</v>
      </c>
    </row>
    <row r="837" spans="1:19">
      <c r="A837">
        <v>82</v>
      </c>
      <c r="B837" t="s">
        <v>258</v>
      </c>
      <c r="C837" t="s">
        <v>259</v>
      </c>
      <c r="D837" t="s">
        <v>231</v>
      </c>
      <c r="E837">
        <v>153020573</v>
      </c>
      <c r="F837" t="s">
        <v>472</v>
      </c>
      <c r="G837" t="s">
        <v>473</v>
      </c>
      <c r="H837" t="s">
        <v>365</v>
      </c>
      <c r="I837" t="s">
        <v>334</v>
      </c>
      <c r="J837">
        <v>0</v>
      </c>
      <c r="L837" s="5">
        <v>0</v>
      </c>
      <c r="M837">
        <v>0</v>
      </c>
      <c r="N837" s="5">
        <v>0</v>
      </c>
      <c r="O837" s="5">
        <v>0</v>
      </c>
      <c r="P837">
        <v>4</v>
      </c>
      <c r="Q837" s="5">
        <v>1880</v>
      </c>
      <c r="R837" s="5">
        <v>2339.7199999999998</v>
      </c>
      <c r="S837" s="5">
        <v>470</v>
      </c>
    </row>
    <row r="838" spans="1:19">
      <c r="A838">
        <v>82</v>
      </c>
      <c r="B838" t="s">
        <v>258</v>
      </c>
      <c r="C838" t="s">
        <v>259</v>
      </c>
      <c r="D838" t="s">
        <v>231</v>
      </c>
      <c r="E838">
        <v>153020573</v>
      </c>
      <c r="F838" t="s">
        <v>472</v>
      </c>
      <c r="G838" t="s">
        <v>473</v>
      </c>
      <c r="H838" t="s">
        <v>365</v>
      </c>
      <c r="I838" t="s">
        <v>334</v>
      </c>
      <c r="J838">
        <v>0</v>
      </c>
      <c r="L838" s="5">
        <v>0</v>
      </c>
      <c r="M838">
        <v>0</v>
      </c>
      <c r="N838" s="5">
        <v>0</v>
      </c>
      <c r="O838" s="5">
        <v>0</v>
      </c>
      <c r="P838">
        <v>4</v>
      </c>
      <c r="Q838" s="5">
        <v>2576.2800000000002</v>
      </c>
      <c r="R838" s="5">
        <v>0</v>
      </c>
      <c r="S838" s="5">
        <v>644.07000000000005</v>
      </c>
    </row>
    <row r="839" spans="1:19">
      <c r="A839">
        <v>82</v>
      </c>
      <c r="B839" t="s">
        <v>258</v>
      </c>
      <c r="C839" t="s">
        <v>259</v>
      </c>
      <c r="D839" t="s">
        <v>231</v>
      </c>
      <c r="E839">
        <v>153020573</v>
      </c>
      <c r="F839" t="s">
        <v>472</v>
      </c>
      <c r="G839" t="s">
        <v>473</v>
      </c>
      <c r="H839" t="s">
        <v>365</v>
      </c>
      <c r="I839" t="s">
        <v>333</v>
      </c>
      <c r="J839">
        <v>0</v>
      </c>
      <c r="L839" s="5">
        <v>0</v>
      </c>
      <c r="M839">
        <v>0</v>
      </c>
      <c r="N839" s="5">
        <v>0</v>
      </c>
      <c r="O839" s="5">
        <v>0</v>
      </c>
      <c r="P839">
        <v>4</v>
      </c>
      <c r="Q839" s="5">
        <v>1560</v>
      </c>
      <c r="R839" s="5">
        <v>1982.46</v>
      </c>
      <c r="S839" s="5">
        <v>390</v>
      </c>
    </row>
    <row r="840" spans="1:19">
      <c r="A840">
        <v>82</v>
      </c>
      <c r="B840" t="s">
        <v>258</v>
      </c>
      <c r="C840" t="s">
        <v>259</v>
      </c>
      <c r="D840" t="s">
        <v>231</v>
      </c>
      <c r="E840">
        <v>153020573</v>
      </c>
      <c r="F840" t="s">
        <v>472</v>
      </c>
      <c r="G840" t="s">
        <v>473</v>
      </c>
      <c r="H840" t="s">
        <v>365</v>
      </c>
      <c r="I840" t="s">
        <v>334</v>
      </c>
      <c r="J840">
        <v>0</v>
      </c>
      <c r="L840" s="5">
        <v>0</v>
      </c>
      <c r="M840">
        <v>0</v>
      </c>
      <c r="N840" s="5">
        <v>0</v>
      </c>
      <c r="O840" s="5">
        <v>0</v>
      </c>
      <c r="P840">
        <v>2</v>
      </c>
      <c r="Q840" s="5">
        <v>1291.08</v>
      </c>
      <c r="R840" s="5">
        <v>0</v>
      </c>
      <c r="S840" s="5">
        <v>645.54</v>
      </c>
    </row>
    <row r="841" spans="1:19">
      <c r="A841">
        <v>81</v>
      </c>
      <c r="B841" t="s">
        <v>255</v>
      </c>
      <c r="C841" t="s">
        <v>256</v>
      </c>
      <c r="D841" t="s">
        <v>231</v>
      </c>
      <c r="E841">
        <v>153020573</v>
      </c>
      <c r="F841" t="s">
        <v>474</v>
      </c>
      <c r="G841" t="s">
        <v>475</v>
      </c>
      <c r="H841" t="s">
        <v>140</v>
      </c>
      <c r="I841" t="s">
        <v>334</v>
      </c>
      <c r="J841">
        <v>0</v>
      </c>
      <c r="L841" s="5">
        <v>0</v>
      </c>
      <c r="M841">
        <v>0</v>
      </c>
      <c r="N841" s="5">
        <v>0</v>
      </c>
      <c r="O841" s="5">
        <v>0</v>
      </c>
      <c r="P841">
        <v>4</v>
      </c>
      <c r="Q841" s="5">
        <v>2660</v>
      </c>
      <c r="R841" s="5">
        <v>1690.56</v>
      </c>
      <c r="S841" s="5">
        <v>665</v>
      </c>
    </row>
    <row r="842" spans="1:19">
      <c r="A842">
        <v>81</v>
      </c>
      <c r="B842" t="s">
        <v>255</v>
      </c>
      <c r="C842" t="s">
        <v>256</v>
      </c>
      <c r="D842" t="s">
        <v>231</v>
      </c>
      <c r="E842">
        <v>153020696</v>
      </c>
      <c r="F842" t="s">
        <v>474</v>
      </c>
      <c r="G842" t="s">
        <v>475</v>
      </c>
      <c r="H842" t="s">
        <v>140</v>
      </c>
      <c r="I842" t="s">
        <v>334</v>
      </c>
      <c r="J842">
        <v>0</v>
      </c>
      <c r="L842" s="5">
        <v>0</v>
      </c>
      <c r="M842">
        <v>0</v>
      </c>
      <c r="N842" s="5">
        <v>0</v>
      </c>
      <c r="O842" s="5">
        <v>0</v>
      </c>
      <c r="P842">
        <v>4</v>
      </c>
      <c r="Q842" s="5">
        <v>3060</v>
      </c>
      <c r="R842" s="5">
        <v>972.65</v>
      </c>
      <c r="S842" s="5">
        <v>765</v>
      </c>
    </row>
    <row r="843" spans="1:19">
      <c r="A843">
        <v>81</v>
      </c>
      <c r="B843" t="s">
        <v>255</v>
      </c>
      <c r="C843" t="s">
        <v>256</v>
      </c>
      <c r="D843" t="s">
        <v>231</v>
      </c>
      <c r="E843">
        <v>153020696</v>
      </c>
      <c r="F843" t="s">
        <v>474</v>
      </c>
      <c r="G843" t="s">
        <v>475</v>
      </c>
      <c r="H843" t="s">
        <v>140</v>
      </c>
      <c r="I843" t="s">
        <v>337</v>
      </c>
      <c r="J843">
        <v>0</v>
      </c>
      <c r="L843" s="5">
        <v>0</v>
      </c>
      <c r="M843">
        <v>0</v>
      </c>
      <c r="N843" s="5">
        <v>0</v>
      </c>
      <c r="O843" s="5">
        <v>0</v>
      </c>
      <c r="P843">
        <v>4</v>
      </c>
      <c r="Q843" s="5">
        <v>960</v>
      </c>
      <c r="R843" s="5">
        <v>655.25</v>
      </c>
      <c r="S843" s="5">
        <v>240</v>
      </c>
    </row>
    <row r="844" spans="1:19">
      <c r="A844">
        <v>81</v>
      </c>
      <c r="B844" t="s">
        <v>255</v>
      </c>
      <c r="C844" t="s">
        <v>256</v>
      </c>
      <c r="D844" t="s">
        <v>231</v>
      </c>
      <c r="E844">
        <v>153020696</v>
      </c>
      <c r="F844" t="s">
        <v>474</v>
      </c>
      <c r="G844" t="s">
        <v>475</v>
      </c>
      <c r="H844" t="s">
        <v>140</v>
      </c>
      <c r="I844" t="s">
        <v>334</v>
      </c>
      <c r="J844">
        <v>0</v>
      </c>
      <c r="L844" s="5">
        <v>0</v>
      </c>
      <c r="M844">
        <v>0</v>
      </c>
      <c r="N844" s="5">
        <v>0</v>
      </c>
      <c r="O844" s="5">
        <v>0</v>
      </c>
      <c r="P844">
        <v>4</v>
      </c>
      <c r="Q844" s="5">
        <v>2660</v>
      </c>
      <c r="R844" s="5">
        <v>1690.56</v>
      </c>
      <c r="S844" s="5">
        <v>665</v>
      </c>
    </row>
    <row r="845" spans="1:19">
      <c r="A845">
        <v>81</v>
      </c>
      <c r="B845" t="s">
        <v>255</v>
      </c>
      <c r="C845" t="s">
        <v>256</v>
      </c>
      <c r="D845" t="s">
        <v>231</v>
      </c>
      <c r="E845">
        <v>153020696</v>
      </c>
      <c r="F845" t="s">
        <v>474</v>
      </c>
      <c r="G845" t="s">
        <v>475</v>
      </c>
      <c r="H845" t="s">
        <v>140</v>
      </c>
      <c r="I845" t="s">
        <v>334</v>
      </c>
      <c r="J845">
        <v>0</v>
      </c>
      <c r="L845" s="5">
        <v>0</v>
      </c>
      <c r="M845">
        <v>0</v>
      </c>
      <c r="N845" s="5">
        <v>0</v>
      </c>
      <c r="O845" s="5">
        <v>0</v>
      </c>
      <c r="P845">
        <v>3</v>
      </c>
      <c r="Q845" s="5">
        <v>2295</v>
      </c>
      <c r="R845" s="5">
        <v>1401.09</v>
      </c>
      <c r="S845" s="5">
        <v>765</v>
      </c>
    </row>
    <row r="846" spans="1:19">
      <c r="A846">
        <v>84</v>
      </c>
      <c r="B846" t="s">
        <v>264</v>
      </c>
      <c r="C846" t="s">
        <v>265</v>
      </c>
      <c r="D846" t="s">
        <v>231</v>
      </c>
      <c r="E846">
        <v>153020696</v>
      </c>
      <c r="F846" t="s">
        <v>476</v>
      </c>
      <c r="G846" t="s">
        <v>477</v>
      </c>
      <c r="H846" t="s">
        <v>113</v>
      </c>
      <c r="I846" t="s">
        <v>333</v>
      </c>
      <c r="J846">
        <v>0</v>
      </c>
      <c r="L846" s="5">
        <v>0</v>
      </c>
      <c r="M846">
        <v>0</v>
      </c>
      <c r="N846" s="5">
        <v>0</v>
      </c>
      <c r="O846" s="5">
        <v>0</v>
      </c>
      <c r="P846">
        <v>4</v>
      </c>
      <c r="Q846" s="5">
        <v>2120</v>
      </c>
      <c r="R846" s="5">
        <v>6851.35</v>
      </c>
      <c r="S846" s="5">
        <v>530</v>
      </c>
    </row>
    <row r="847" spans="1:19">
      <c r="A847">
        <v>84</v>
      </c>
      <c r="B847" t="s">
        <v>264</v>
      </c>
      <c r="C847" t="s">
        <v>265</v>
      </c>
      <c r="D847" t="s">
        <v>231</v>
      </c>
      <c r="E847">
        <v>153020726</v>
      </c>
      <c r="F847" t="s">
        <v>476</v>
      </c>
      <c r="G847" t="s">
        <v>477</v>
      </c>
      <c r="H847" t="s">
        <v>113</v>
      </c>
      <c r="I847" t="s">
        <v>333</v>
      </c>
      <c r="J847">
        <v>0</v>
      </c>
      <c r="L847" s="5">
        <v>0</v>
      </c>
      <c r="M847">
        <v>0</v>
      </c>
      <c r="N847" s="5">
        <v>0</v>
      </c>
      <c r="O847" s="5">
        <v>0</v>
      </c>
      <c r="P847">
        <v>4</v>
      </c>
      <c r="Q847" s="5">
        <v>2000</v>
      </c>
      <c r="R847" s="5">
        <v>1901.39</v>
      </c>
      <c r="S847" s="5">
        <v>500</v>
      </c>
    </row>
    <row r="848" spans="1:19">
      <c r="A848">
        <v>84</v>
      </c>
      <c r="B848" t="s">
        <v>264</v>
      </c>
      <c r="C848" t="s">
        <v>265</v>
      </c>
      <c r="D848" t="s">
        <v>231</v>
      </c>
      <c r="E848">
        <v>153020726</v>
      </c>
      <c r="F848" t="s">
        <v>476</v>
      </c>
      <c r="G848" t="s">
        <v>477</v>
      </c>
      <c r="H848" t="s">
        <v>113</v>
      </c>
      <c r="I848" t="s">
        <v>333</v>
      </c>
      <c r="J848">
        <v>0</v>
      </c>
      <c r="L848" s="5">
        <v>0</v>
      </c>
      <c r="M848">
        <v>0</v>
      </c>
      <c r="N848" s="5">
        <v>0</v>
      </c>
      <c r="O848" s="5">
        <v>0</v>
      </c>
      <c r="P848">
        <v>4</v>
      </c>
      <c r="Q848" s="5">
        <v>2120</v>
      </c>
      <c r="R848" s="5">
        <v>1982.3</v>
      </c>
      <c r="S848" s="5">
        <v>530</v>
      </c>
    </row>
    <row r="849" spans="1:19">
      <c r="A849">
        <v>84</v>
      </c>
      <c r="B849" t="s">
        <v>264</v>
      </c>
      <c r="C849" t="s">
        <v>265</v>
      </c>
      <c r="D849" t="s">
        <v>231</v>
      </c>
      <c r="E849">
        <v>153020726</v>
      </c>
      <c r="F849" t="s">
        <v>476</v>
      </c>
      <c r="G849" t="s">
        <v>477</v>
      </c>
      <c r="H849" t="s">
        <v>113</v>
      </c>
      <c r="I849" t="s">
        <v>333</v>
      </c>
      <c r="J849">
        <v>0</v>
      </c>
      <c r="L849" s="5">
        <v>0</v>
      </c>
      <c r="M849">
        <v>0</v>
      </c>
      <c r="N849" s="5">
        <v>0</v>
      </c>
      <c r="O849" s="5">
        <v>0</v>
      </c>
      <c r="P849">
        <v>4</v>
      </c>
      <c r="Q849" s="5">
        <v>2000</v>
      </c>
      <c r="R849" s="5">
        <v>2091.5300000000002</v>
      </c>
      <c r="S849" s="5">
        <v>500</v>
      </c>
    </row>
    <row r="850" spans="1:19">
      <c r="A850">
        <v>84</v>
      </c>
      <c r="B850" t="s">
        <v>264</v>
      </c>
      <c r="C850" t="s">
        <v>265</v>
      </c>
      <c r="D850" t="s">
        <v>231</v>
      </c>
      <c r="E850">
        <v>153020726</v>
      </c>
      <c r="F850" t="s">
        <v>476</v>
      </c>
      <c r="G850" t="s">
        <v>477</v>
      </c>
      <c r="H850" t="s">
        <v>113</v>
      </c>
      <c r="I850" t="s">
        <v>333</v>
      </c>
      <c r="J850">
        <v>0</v>
      </c>
      <c r="L850" s="5">
        <v>0</v>
      </c>
      <c r="M850">
        <v>0</v>
      </c>
      <c r="N850" s="5">
        <v>0</v>
      </c>
      <c r="O850" s="5">
        <v>0</v>
      </c>
      <c r="P850">
        <v>4</v>
      </c>
      <c r="Q850" s="5">
        <v>2000</v>
      </c>
      <c r="R850" s="5">
        <v>2281.66</v>
      </c>
      <c r="S850" s="5">
        <v>500</v>
      </c>
    </row>
    <row r="851" spans="1:19">
      <c r="A851">
        <v>84</v>
      </c>
      <c r="B851" t="s">
        <v>264</v>
      </c>
      <c r="C851" t="s">
        <v>265</v>
      </c>
      <c r="D851" t="s">
        <v>231</v>
      </c>
      <c r="E851">
        <v>153020726</v>
      </c>
      <c r="F851" t="s">
        <v>476</v>
      </c>
      <c r="G851" t="s">
        <v>477</v>
      </c>
      <c r="H851" t="s">
        <v>113</v>
      </c>
      <c r="I851" t="s">
        <v>333</v>
      </c>
      <c r="J851">
        <v>0</v>
      </c>
      <c r="L851" s="5">
        <v>0</v>
      </c>
      <c r="M851">
        <v>0</v>
      </c>
      <c r="N851" s="5">
        <v>0</v>
      </c>
      <c r="O851" s="5">
        <v>0</v>
      </c>
      <c r="P851">
        <v>4</v>
      </c>
      <c r="Q851" s="5">
        <v>2120</v>
      </c>
      <c r="R851" s="5">
        <v>6508.79</v>
      </c>
      <c r="S851" s="5">
        <v>530</v>
      </c>
    </row>
    <row r="852" spans="1:19">
      <c r="A852">
        <v>84</v>
      </c>
      <c r="B852" t="s">
        <v>264</v>
      </c>
      <c r="C852" t="s">
        <v>265</v>
      </c>
      <c r="D852" t="s">
        <v>231</v>
      </c>
      <c r="E852">
        <v>153020726</v>
      </c>
      <c r="F852" t="s">
        <v>476</v>
      </c>
      <c r="G852" t="s">
        <v>477</v>
      </c>
      <c r="H852" t="s">
        <v>113</v>
      </c>
      <c r="I852" t="s">
        <v>333</v>
      </c>
      <c r="J852">
        <v>0</v>
      </c>
      <c r="L852" s="5">
        <v>0</v>
      </c>
      <c r="M852">
        <v>0</v>
      </c>
      <c r="N852" s="5">
        <v>0</v>
      </c>
      <c r="O852" s="5">
        <v>0</v>
      </c>
      <c r="P852">
        <v>4</v>
      </c>
      <c r="Q852" s="5">
        <v>2120</v>
      </c>
      <c r="R852" s="5">
        <v>4795.95</v>
      </c>
      <c r="S852" s="5">
        <v>530</v>
      </c>
    </row>
    <row r="853" spans="1:19">
      <c r="A853">
        <v>84</v>
      </c>
      <c r="B853" t="s">
        <v>264</v>
      </c>
      <c r="C853" t="s">
        <v>265</v>
      </c>
      <c r="D853" t="s">
        <v>231</v>
      </c>
      <c r="E853">
        <v>153020726</v>
      </c>
      <c r="F853" t="s">
        <v>476</v>
      </c>
      <c r="G853" t="s">
        <v>477</v>
      </c>
      <c r="H853" t="s">
        <v>113</v>
      </c>
      <c r="I853" t="s">
        <v>333</v>
      </c>
      <c r="J853">
        <v>0</v>
      </c>
      <c r="L853" s="5">
        <v>0</v>
      </c>
      <c r="M853">
        <v>0</v>
      </c>
      <c r="N853" s="5">
        <v>0</v>
      </c>
      <c r="O853" s="5">
        <v>0</v>
      </c>
      <c r="P853">
        <v>4</v>
      </c>
      <c r="Q853" s="5">
        <v>2120</v>
      </c>
      <c r="R853" s="5">
        <v>3425.68</v>
      </c>
      <c r="S853" s="5">
        <v>530</v>
      </c>
    </row>
    <row r="854" spans="1:19">
      <c r="A854">
        <v>84</v>
      </c>
      <c r="B854" t="s">
        <v>264</v>
      </c>
      <c r="C854" t="s">
        <v>265</v>
      </c>
      <c r="D854" t="s">
        <v>231</v>
      </c>
      <c r="E854">
        <v>153020726</v>
      </c>
      <c r="F854" t="s">
        <v>476</v>
      </c>
      <c r="G854" t="s">
        <v>477</v>
      </c>
      <c r="H854" t="s">
        <v>113</v>
      </c>
      <c r="I854" t="s">
        <v>333</v>
      </c>
      <c r="J854">
        <v>0</v>
      </c>
      <c r="L854" s="5">
        <v>0</v>
      </c>
      <c r="M854">
        <v>0</v>
      </c>
      <c r="N854" s="5">
        <v>0</v>
      </c>
      <c r="O854" s="5">
        <v>0</v>
      </c>
      <c r="P854">
        <v>4</v>
      </c>
      <c r="Q854" s="5">
        <v>2120</v>
      </c>
      <c r="R854" s="5">
        <v>4453.38</v>
      </c>
      <c r="S854" s="5">
        <v>530</v>
      </c>
    </row>
    <row r="855" spans="1:19">
      <c r="A855">
        <v>84</v>
      </c>
      <c r="B855" t="s">
        <v>264</v>
      </c>
      <c r="C855" t="s">
        <v>265</v>
      </c>
      <c r="D855" t="s">
        <v>231</v>
      </c>
      <c r="E855">
        <v>153020726</v>
      </c>
      <c r="F855" t="s">
        <v>476</v>
      </c>
      <c r="G855" t="s">
        <v>477</v>
      </c>
      <c r="H855" t="s">
        <v>113</v>
      </c>
      <c r="I855" t="s">
        <v>333</v>
      </c>
      <c r="J855">
        <v>0</v>
      </c>
      <c r="L855" s="5">
        <v>0</v>
      </c>
      <c r="M855">
        <v>0</v>
      </c>
      <c r="N855" s="5">
        <v>0</v>
      </c>
      <c r="O855" s="5">
        <v>0</v>
      </c>
      <c r="P855">
        <v>4</v>
      </c>
      <c r="Q855" s="5">
        <v>2000</v>
      </c>
      <c r="R855" s="5">
        <v>1064.78</v>
      </c>
      <c r="S855" s="5">
        <v>500</v>
      </c>
    </row>
    <row r="856" spans="1:19">
      <c r="A856">
        <v>84</v>
      </c>
      <c r="B856" t="s">
        <v>264</v>
      </c>
      <c r="C856" t="s">
        <v>265</v>
      </c>
      <c r="D856" t="s">
        <v>231</v>
      </c>
      <c r="E856">
        <v>153020726</v>
      </c>
      <c r="F856" t="s">
        <v>476</v>
      </c>
      <c r="G856" t="s">
        <v>477</v>
      </c>
      <c r="H856" t="s">
        <v>113</v>
      </c>
      <c r="I856" t="s">
        <v>334</v>
      </c>
      <c r="J856">
        <v>0</v>
      </c>
      <c r="L856" s="5">
        <v>0</v>
      </c>
      <c r="M856">
        <v>0</v>
      </c>
      <c r="N856" s="5">
        <v>0</v>
      </c>
      <c r="O856" s="5">
        <v>0</v>
      </c>
      <c r="P856">
        <v>4</v>
      </c>
      <c r="Q856" s="5">
        <v>2660</v>
      </c>
      <c r="R856" s="5">
        <v>2459.59</v>
      </c>
      <c r="S856" s="5">
        <v>665</v>
      </c>
    </row>
    <row r="857" spans="1:19">
      <c r="A857">
        <v>84</v>
      </c>
      <c r="B857" t="s">
        <v>264</v>
      </c>
      <c r="C857" t="s">
        <v>265</v>
      </c>
      <c r="D857" t="s">
        <v>231</v>
      </c>
      <c r="E857">
        <v>153020726</v>
      </c>
      <c r="F857" t="s">
        <v>476</v>
      </c>
      <c r="G857" t="s">
        <v>477</v>
      </c>
      <c r="H857" t="s">
        <v>113</v>
      </c>
      <c r="I857" t="s">
        <v>333</v>
      </c>
      <c r="J857">
        <v>0</v>
      </c>
      <c r="L857" s="5">
        <v>0</v>
      </c>
      <c r="M857">
        <v>0</v>
      </c>
      <c r="N857" s="5">
        <v>0</v>
      </c>
      <c r="O857" s="5">
        <v>0</v>
      </c>
      <c r="P857">
        <v>4</v>
      </c>
      <c r="Q857" s="5">
        <v>2120</v>
      </c>
      <c r="R857" s="5">
        <v>5138.5200000000004</v>
      </c>
      <c r="S857" s="5">
        <v>530</v>
      </c>
    </row>
    <row r="858" spans="1:19">
      <c r="A858">
        <v>84</v>
      </c>
      <c r="B858" t="s">
        <v>264</v>
      </c>
      <c r="C858" t="s">
        <v>265</v>
      </c>
      <c r="D858" t="s">
        <v>231</v>
      </c>
      <c r="E858">
        <v>153020726</v>
      </c>
      <c r="F858" t="s">
        <v>476</v>
      </c>
      <c r="G858" t="s">
        <v>477</v>
      </c>
      <c r="H858" t="s">
        <v>113</v>
      </c>
      <c r="I858" t="s">
        <v>333</v>
      </c>
      <c r="J858">
        <v>0</v>
      </c>
      <c r="L858" s="5">
        <v>0</v>
      </c>
      <c r="M858">
        <v>0</v>
      </c>
      <c r="N858" s="5">
        <v>0</v>
      </c>
      <c r="O858" s="5">
        <v>0</v>
      </c>
      <c r="P858">
        <v>4</v>
      </c>
      <c r="Q858" s="5">
        <v>2000</v>
      </c>
      <c r="R858" s="5">
        <v>3768.25</v>
      </c>
      <c r="S858" s="5">
        <v>500</v>
      </c>
    </row>
    <row r="859" spans="1:19">
      <c r="A859">
        <v>84</v>
      </c>
      <c r="B859" t="s">
        <v>264</v>
      </c>
      <c r="C859" t="s">
        <v>265</v>
      </c>
      <c r="D859" t="s">
        <v>231</v>
      </c>
      <c r="E859">
        <v>153020726</v>
      </c>
      <c r="F859" t="s">
        <v>476</v>
      </c>
      <c r="G859" t="s">
        <v>477</v>
      </c>
      <c r="H859" t="s">
        <v>113</v>
      </c>
      <c r="I859" t="s">
        <v>333</v>
      </c>
      <c r="J859">
        <v>0</v>
      </c>
      <c r="L859" s="5">
        <v>0</v>
      </c>
      <c r="M859">
        <v>0</v>
      </c>
      <c r="N859" s="5">
        <v>0</v>
      </c>
      <c r="O859" s="5">
        <v>0</v>
      </c>
      <c r="P859">
        <v>4</v>
      </c>
      <c r="Q859" s="5">
        <v>2120</v>
      </c>
      <c r="R859" s="5">
        <v>5481.08</v>
      </c>
      <c r="S859" s="5">
        <v>530</v>
      </c>
    </row>
    <row r="860" spans="1:19">
      <c r="A860">
        <v>84</v>
      </c>
      <c r="B860" t="s">
        <v>264</v>
      </c>
      <c r="C860" t="s">
        <v>265</v>
      </c>
      <c r="D860" t="s">
        <v>231</v>
      </c>
      <c r="E860">
        <v>153020726</v>
      </c>
      <c r="F860" t="s">
        <v>476</v>
      </c>
      <c r="G860" t="s">
        <v>477</v>
      </c>
      <c r="H860" t="s">
        <v>113</v>
      </c>
      <c r="I860" t="s">
        <v>333</v>
      </c>
      <c r="J860">
        <v>0</v>
      </c>
      <c r="L860" s="5">
        <v>0</v>
      </c>
      <c r="M860">
        <v>0</v>
      </c>
      <c r="N860" s="5">
        <v>0</v>
      </c>
      <c r="O860" s="5">
        <v>0</v>
      </c>
      <c r="P860">
        <v>4</v>
      </c>
      <c r="Q860" s="5">
        <v>2120</v>
      </c>
      <c r="R860" s="5">
        <v>6166.22</v>
      </c>
      <c r="S860" s="5">
        <v>530</v>
      </c>
    </row>
    <row r="861" spans="1:19">
      <c r="A861">
        <v>84</v>
      </c>
      <c r="B861" t="s">
        <v>264</v>
      </c>
      <c r="C861" t="s">
        <v>265</v>
      </c>
      <c r="D861" t="s">
        <v>231</v>
      </c>
      <c r="E861">
        <v>153020726</v>
      </c>
      <c r="F861" t="s">
        <v>476</v>
      </c>
      <c r="G861" t="s">
        <v>477</v>
      </c>
      <c r="H861" t="s">
        <v>113</v>
      </c>
      <c r="I861" t="s">
        <v>333</v>
      </c>
      <c r="J861">
        <v>0</v>
      </c>
      <c r="L861" s="5">
        <v>0</v>
      </c>
      <c r="M861">
        <v>0</v>
      </c>
      <c r="N861" s="5">
        <v>0</v>
      </c>
      <c r="O861" s="5">
        <v>0</v>
      </c>
      <c r="P861">
        <v>4</v>
      </c>
      <c r="Q861" s="5">
        <v>2220</v>
      </c>
      <c r="R861" s="5">
        <v>874.64</v>
      </c>
      <c r="S861" s="5">
        <v>555</v>
      </c>
    </row>
    <row r="862" spans="1:19">
      <c r="A862">
        <v>84</v>
      </c>
      <c r="B862" t="s">
        <v>264</v>
      </c>
      <c r="C862" t="s">
        <v>265</v>
      </c>
      <c r="D862" t="s">
        <v>231</v>
      </c>
      <c r="E862">
        <v>153020726</v>
      </c>
      <c r="F862" t="s">
        <v>476</v>
      </c>
      <c r="G862" t="s">
        <v>477</v>
      </c>
      <c r="H862" t="s">
        <v>113</v>
      </c>
      <c r="I862" t="s">
        <v>333</v>
      </c>
      <c r="J862">
        <v>0</v>
      </c>
      <c r="L862" s="5">
        <v>0</v>
      </c>
      <c r="M862">
        <v>0</v>
      </c>
      <c r="N862" s="5">
        <v>0</v>
      </c>
      <c r="O862" s="5">
        <v>0</v>
      </c>
      <c r="P862">
        <v>4</v>
      </c>
      <c r="Q862" s="5">
        <v>2120</v>
      </c>
      <c r="R862" s="5">
        <v>5823.65</v>
      </c>
      <c r="S862" s="5">
        <v>530</v>
      </c>
    </row>
    <row r="863" spans="1:19">
      <c r="A863">
        <v>84</v>
      </c>
      <c r="B863" t="s">
        <v>264</v>
      </c>
      <c r="C863" t="s">
        <v>265</v>
      </c>
      <c r="D863" t="s">
        <v>231</v>
      </c>
      <c r="E863">
        <v>153020726</v>
      </c>
      <c r="F863" t="s">
        <v>476</v>
      </c>
      <c r="G863" t="s">
        <v>477</v>
      </c>
      <c r="H863" t="s">
        <v>113</v>
      </c>
      <c r="I863" t="s">
        <v>478</v>
      </c>
      <c r="J863">
        <v>0</v>
      </c>
      <c r="L863" s="5">
        <v>0</v>
      </c>
      <c r="M863">
        <v>0</v>
      </c>
      <c r="N863" s="5">
        <v>0</v>
      </c>
      <c r="O863" s="5">
        <v>0</v>
      </c>
      <c r="P863">
        <v>4</v>
      </c>
      <c r="Q863" s="5">
        <v>960</v>
      </c>
      <c r="R863" s="5">
        <v>1435.2</v>
      </c>
      <c r="S863" s="5">
        <v>240</v>
      </c>
    </row>
    <row r="864" spans="1:19">
      <c r="A864">
        <v>84</v>
      </c>
      <c r="B864" t="s">
        <v>264</v>
      </c>
      <c r="C864" t="s">
        <v>265</v>
      </c>
      <c r="D864" t="s">
        <v>231</v>
      </c>
      <c r="E864">
        <v>153020726</v>
      </c>
      <c r="F864" t="s">
        <v>476</v>
      </c>
      <c r="G864" t="s">
        <v>477</v>
      </c>
      <c r="H864" t="s">
        <v>113</v>
      </c>
      <c r="I864" t="s">
        <v>334</v>
      </c>
      <c r="J864">
        <v>0</v>
      </c>
      <c r="L864" s="5">
        <v>0</v>
      </c>
      <c r="M864">
        <v>0</v>
      </c>
      <c r="N864" s="5">
        <v>0</v>
      </c>
      <c r="O864" s="5">
        <v>0</v>
      </c>
      <c r="P864">
        <v>4</v>
      </c>
      <c r="Q864" s="5">
        <v>2660</v>
      </c>
      <c r="R864" s="5">
        <v>2031.18</v>
      </c>
      <c r="S864" s="5">
        <v>665</v>
      </c>
    </row>
    <row r="865" spans="1:19">
      <c r="A865">
        <v>84</v>
      </c>
      <c r="B865" t="s">
        <v>264</v>
      </c>
      <c r="C865" t="s">
        <v>265</v>
      </c>
      <c r="D865" t="s">
        <v>231</v>
      </c>
      <c r="E865">
        <v>153020726</v>
      </c>
      <c r="F865" t="s">
        <v>476</v>
      </c>
      <c r="G865" t="s">
        <v>477</v>
      </c>
      <c r="H865" t="s">
        <v>113</v>
      </c>
      <c r="I865" t="s">
        <v>333</v>
      </c>
      <c r="J865">
        <v>0</v>
      </c>
      <c r="L865" s="5">
        <v>0</v>
      </c>
      <c r="M865">
        <v>0</v>
      </c>
      <c r="N865" s="5">
        <v>0</v>
      </c>
      <c r="O865" s="5">
        <v>0</v>
      </c>
      <c r="P865">
        <v>4</v>
      </c>
      <c r="Q865" s="5">
        <v>2000</v>
      </c>
      <c r="R865" s="5">
        <v>4110.8100000000004</v>
      </c>
      <c r="S865" s="5">
        <v>500</v>
      </c>
    </row>
    <row r="866" spans="1:19">
      <c r="A866">
        <v>83</v>
      </c>
      <c r="B866" t="s">
        <v>261</v>
      </c>
      <c r="C866" t="s">
        <v>262</v>
      </c>
      <c r="D866" t="s">
        <v>231</v>
      </c>
      <c r="E866">
        <v>153020726</v>
      </c>
      <c r="F866" t="s">
        <v>479</v>
      </c>
      <c r="G866" t="s">
        <v>480</v>
      </c>
      <c r="H866" t="s">
        <v>146</v>
      </c>
      <c r="I866" t="s">
        <v>333</v>
      </c>
      <c r="J866">
        <v>0</v>
      </c>
      <c r="L866" s="5">
        <v>0</v>
      </c>
      <c r="M866">
        <v>0</v>
      </c>
      <c r="N866" s="5">
        <v>0</v>
      </c>
      <c r="O866" s="5">
        <v>0</v>
      </c>
      <c r="P866">
        <v>2</v>
      </c>
      <c r="Q866" s="5">
        <v>1893.24</v>
      </c>
      <c r="R866" s="5">
        <v>2643.86</v>
      </c>
      <c r="S866" s="5">
        <v>946.62</v>
      </c>
    </row>
    <row r="867" spans="1:19">
      <c r="A867">
        <v>83</v>
      </c>
      <c r="B867" t="s">
        <v>261</v>
      </c>
      <c r="C867" t="s">
        <v>262</v>
      </c>
      <c r="D867" t="s">
        <v>231</v>
      </c>
      <c r="E867">
        <v>153023856</v>
      </c>
      <c r="F867" t="s">
        <v>479</v>
      </c>
      <c r="G867" t="s">
        <v>480</v>
      </c>
      <c r="H867" t="s">
        <v>146</v>
      </c>
      <c r="I867" t="s">
        <v>337</v>
      </c>
      <c r="J867">
        <v>0</v>
      </c>
      <c r="L867" s="5">
        <v>0</v>
      </c>
      <c r="M867">
        <v>0</v>
      </c>
      <c r="N867" s="5">
        <v>0</v>
      </c>
      <c r="O867" s="5">
        <v>0</v>
      </c>
      <c r="P867">
        <v>2</v>
      </c>
      <c r="Q867" s="5">
        <v>1954.94</v>
      </c>
      <c r="R867" s="5">
        <v>1103.17</v>
      </c>
      <c r="S867" s="5">
        <v>977.47</v>
      </c>
    </row>
    <row r="868" spans="1:19">
      <c r="A868">
        <v>83</v>
      </c>
      <c r="B868" t="s">
        <v>261</v>
      </c>
      <c r="C868" t="s">
        <v>262</v>
      </c>
      <c r="D868" t="s">
        <v>231</v>
      </c>
      <c r="E868">
        <v>153023856</v>
      </c>
      <c r="F868" t="s">
        <v>479</v>
      </c>
      <c r="G868" t="s">
        <v>480</v>
      </c>
      <c r="H868" t="s">
        <v>146</v>
      </c>
      <c r="I868" t="s">
        <v>422</v>
      </c>
      <c r="J868">
        <v>0</v>
      </c>
      <c r="L868" s="5">
        <v>0</v>
      </c>
      <c r="M868">
        <v>0</v>
      </c>
      <c r="N868" s="5">
        <v>0</v>
      </c>
      <c r="O868" s="5">
        <v>0</v>
      </c>
      <c r="P868">
        <v>4</v>
      </c>
      <c r="Q868" s="5">
        <v>2709.93</v>
      </c>
      <c r="R868" s="5">
        <v>2073.11</v>
      </c>
      <c r="S868" s="5">
        <v>677.48</v>
      </c>
    </row>
    <row r="869" spans="1:19">
      <c r="A869">
        <v>83</v>
      </c>
      <c r="B869" t="s">
        <v>261</v>
      </c>
      <c r="C869" t="s">
        <v>262</v>
      </c>
      <c r="D869" t="s">
        <v>231</v>
      </c>
      <c r="E869">
        <v>153023856</v>
      </c>
      <c r="F869" t="s">
        <v>479</v>
      </c>
      <c r="G869" t="s">
        <v>480</v>
      </c>
      <c r="H869" t="s">
        <v>146</v>
      </c>
      <c r="I869" t="s">
        <v>333</v>
      </c>
      <c r="J869">
        <v>0</v>
      </c>
      <c r="L869" s="5">
        <v>0</v>
      </c>
      <c r="M869">
        <v>0</v>
      </c>
      <c r="N869" s="5">
        <v>0</v>
      </c>
      <c r="O869" s="5">
        <v>0</v>
      </c>
      <c r="P869">
        <v>2</v>
      </c>
      <c r="Q869" s="5">
        <v>1913.9</v>
      </c>
      <c r="R869" s="5">
        <v>1321.43</v>
      </c>
      <c r="S869" s="5">
        <v>956.95</v>
      </c>
    </row>
    <row r="870" spans="1:19">
      <c r="A870">
        <v>83</v>
      </c>
      <c r="B870" t="s">
        <v>261</v>
      </c>
      <c r="C870" t="s">
        <v>262</v>
      </c>
      <c r="D870" t="s">
        <v>231</v>
      </c>
      <c r="E870">
        <v>153023856</v>
      </c>
      <c r="F870" t="s">
        <v>479</v>
      </c>
      <c r="G870" t="s">
        <v>480</v>
      </c>
      <c r="H870" t="s">
        <v>146</v>
      </c>
      <c r="I870" t="s">
        <v>337</v>
      </c>
      <c r="J870">
        <v>0</v>
      </c>
      <c r="L870" s="5">
        <v>0</v>
      </c>
      <c r="M870">
        <v>0</v>
      </c>
      <c r="N870" s="5">
        <v>0</v>
      </c>
      <c r="O870" s="5">
        <v>0</v>
      </c>
      <c r="P870">
        <v>4</v>
      </c>
      <c r="Q870" s="5">
        <v>3914</v>
      </c>
      <c r="R870" s="5">
        <v>2063.3200000000002</v>
      </c>
      <c r="S870" s="5">
        <v>978.5</v>
      </c>
    </row>
    <row r="871" spans="1:19">
      <c r="A871">
        <v>83</v>
      </c>
      <c r="B871" t="s">
        <v>261</v>
      </c>
      <c r="C871" t="s">
        <v>262</v>
      </c>
      <c r="D871" t="s">
        <v>231</v>
      </c>
      <c r="E871">
        <v>153023856</v>
      </c>
      <c r="F871" t="s">
        <v>479</v>
      </c>
      <c r="G871" t="s">
        <v>480</v>
      </c>
      <c r="H871" t="s">
        <v>146</v>
      </c>
      <c r="I871" t="s">
        <v>333</v>
      </c>
      <c r="J871">
        <v>0</v>
      </c>
      <c r="L871" s="5">
        <v>0</v>
      </c>
      <c r="M871">
        <v>0</v>
      </c>
      <c r="N871" s="5">
        <v>0</v>
      </c>
      <c r="O871" s="5">
        <v>0</v>
      </c>
      <c r="P871">
        <v>2</v>
      </c>
      <c r="Q871" s="5">
        <v>1913.9</v>
      </c>
      <c r="R871" s="5">
        <v>2471.37</v>
      </c>
      <c r="S871" s="5">
        <v>956.95</v>
      </c>
    </row>
    <row r="872" spans="1:19">
      <c r="A872">
        <v>85</v>
      </c>
      <c r="B872" t="s">
        <v>267</v>
      </c>
      <c r="C872" t="s">
        <v>268</v>
      </c>
      <c r="D872" t="s">
        <v>231</v>
      </c>
      <c r="E872">
        <v>153023856</v>
      </c>
      <c r="F872" t="s">
        <v>481</v>
      </c>
      <c r="G872" t="s">
        <v>482</v>
      </c>
      <c r="H872" t="s">
        <v>164</v>
      </c>
      <c r="I872" t="s">
        <v>334</v>
      </c>
      <c r="J872">
        <v>0</v>
      </c>
      <c r="L872" s="5">
        <v>0</v>
      </c>
      <c r="M872">
        <v>0</v>
      </c>
      <c r="N872" s="5">
        <v>0</v>
      </c>
      <c r="O872" s="5">
        <v>0</v>
      </c>
      <c r="P872">
        <v>4</v>
      </c>
      <c r="Q872" s="5">
        <v>4249.32</v>
      </c>
      <c r="R872" s="5">
        <v>1466.91</v>
      </c>
      <c r="S872" s="5">
        <v>1062.33</v>
      </c>
    </row>
    <row r="873" spans="1:19">
      <c r="A873">
        <v>85</v>
      </c>
      <c r="B873" t="s">
        <v>267</v>
      </c>
      <c r="C873" t="s">
        <v>268</v>
      </c>
      <c r="D873" t="s">
        <v>231</v>
      </c>
      <c r="E873">
        <v>153020498</v>
      </c>
      <c r="F873" t="s">
        <v>481</v>
      </c>
      <c r="G873" t="s">
        <v>482</v>
      </c>
      <c r="H873" t="s">
        <v>164</v>
      </c>
      <c r="I873" t="s">
        <v>334</v>
      </c>
      <c r="J873">
        <v>0</v>
      </c>
      <c r="L873" s="5">
        <v>0</v>
      </c>
      <c r="M873">
        <v>0</v>
      </c>
      <c r="N873" s="5">
        <v>0</v>
      </c>
      <c r="O873" s="5">
        <v>0</v>
      </c>
      <c r="P873">
        <v>2</v>
      </c>
      <c r="Q873" s="5">
        <v>2124.58</v>
      </c>
      <c r="R873" s="5">
        <v>2017.38</v>
      </c>
      <c r="S873" s="5">
        <v>1062.29</v>
      </c>
    </row>
    <row r="874" spans="1:19">
      <c r="A874">
        <v>85</v>
      </c>
      <c r="B874" t="s">
        <v>267</v>
      </c>
      <c r="C874" t="s">
        <v>268</v>
      </c>
      <c r="D874" t="s">
        <v>231</v>
      </c>
      <c r="E874">
        <v>153020498</v>
      </c>
      <c r="F874" t="s">
        <v>481</v>
      </c>
      <c r="G874" t="s">
        <v>482</v>
      </c>
      <c r="H874" t="s">
        <v>164</v>
      </c>
      <c r="I874" t="s">
        <v>334</v>
      </c>
      <c r="J874">
        <v>0</v>
      </c>
      <c r="L874" s="5">
        <v>0</v>
      </c>
      <c r="M874">
        <v>0</v>
      </c>
      <c r="N874" s="5">
        <v>0</v>
      </c>
      <c r="O874" s="5">
        <v>0</v>
      </c>
      <c r="P874">
        <v>4</v>
      </c>
      <c r="Q874" s="5">
        <v>4279.2</v>
      </c>
      <c r="R874" s="5">
        <v>1650.4</v>
      </c>
      <c r="S874" s="5">
        <v>1069.8</v>
      </c>
    </row>
    <row r="875" spans="1:19">
      <c r="A875">
        <v>85</v>
      </c>
      <c r="B875" t="s">
        <v>267</v>
      </c>
      <c r="C875" t="s">
        <v>268</v>
      </c>
      <c r="D875" t="s">
        <v>231</v>
      </c>
      <c r="E875">
        <v>153020498</v>
      </c>
      <c r="F875" t="s">
        <v>481</v>
      </c>
      <c r="G875" t="s">
        <v>482</v>
      </c>
      <c r="H875" t="s">
        <v>164</v>
      </c>
      <c r="I875" t="s">
        <v>334</v>
      </c>
      <c r="J875">
        <v>0</v>
      </c>
      <c r="L875" s="5">
        <v>0</v>
      </c>
      <c r="M875">
        <v>0</v>
      </c>
      <c r="N875" s="5">
        <v>0</v>
      </c>
      <c r="O875" s="5">
        <v>0</v>
      </c>
      <c r="P875">
        <v>4</v>
      </c>
      <c r="Q875" s="5">
        <v>2400</v>
      </c>
      <c r="R875" s="5">
        <v>1142.6300000000001</v>
      </c>
      <c r="S875" s="5">
        <v>600</v>
      </c>
    </row>
    <row r="876" spans="1:19">
      <c r="A876">
        <v>85</v>
      </c>
      <c r="B876" t="s">
        <v>267</v>
      </c>
      <c r="C876" t="s">
        <v>268</v>
      </c>
      <c r="D876" t="s">
        <v>231</v>
      </c>
      <c r="E876">
        <v>153020498</v>
      </c>
      <c r="F876" t="s">
        <v>481</v>
      </c>
      <c r="G876" t="s">
        <v>482</v>
      </c>
      <c r="H876" t="s">
        <v>164</v>
      </c>
      <c r="I876" t="s">
        <v>338</v>
      </c>
      <c r="J876">
        <v>0</v>
      </c>
      <c r="L876" s="5">
        <v>0</v>
      </c>
      <c r="M876">
        <v>0</v>
      </c>
      <c r="N876" s="5">
        <v>0</v>
      </c>
      <c r="O876" s="5">
        <v>0</v>
      </c>
      <c r="P876">
        <v>4</v>
      </c>
      <c r="Q876" s="5">
        <v>4120</v>
      </c>
      <c r="R876" s="5">
        <v>2384.35</v>
      </c>
      <c r="S876" s="5">
        <v>1030</v>
      </c>
    </row>
    <row r="877" spans="1:19">
      <c r="A877">
        <v>85</v>
      </c>
      <c r="B877" t="s">
        <v>267</v>
      </c>
      <c r="C877" t="s">
        <v>268</v>
      </c>
      <c r="D877" t="s">
        <v>231</v>
      </c>
      <c r="E877">
        <v>153020498</v>
      </c>
      <c r="F877" t="s">
        <v>481</v>
      </c>
      <c r="G877" t="s">
        <v>482</v>
      </c>
      <c r="H877" t="s">
        <v>164</v>
      </c>
      <c r="I877" t="s">
        <v>334</v>
      </c>
      <c r="J877">
        <v>0</v>
      </c>
      <c r="L877" s="5">
        <v>0</v>
      </c>
      <c r="M877">
        <v>0</v>
      </c>
      <c r="N877" s="5">
        <v>0</v>
      </c>
      <c r="O877" s="5">
        <v>0</v>
      </c>
      <c r="P877">
        <v>2</v>
      </c>
      <c r="Q877" s="5">
        <v>2103.5</v>
      </c>
      <c r="R877" s="5">
        <v>1833.89</v>
      </c>
      <c r="S877" s="5">
        <v>1051.75</v>
      </c>
    </row>
    <row r="878" spans="1:19">
      <c r="A878">
        <v>85</v>
      </c>
      <c r="B878" t="s">
        <v>267</v>
      </c>
      <c r="C878" t="s">
        <v>268</v>
      </c>
      <c r="D878" t="s">
        <v>231</v>
      </c>
      <c r="E878">
        <v>153020498</v>
      </c>
      <c r="F878" t="s">
        <v>481</v>
      </c>
      <c r="G878" t="s">
        <v>482</v>
      </c>
      <c r="H878" t="s">
        <v>164</v>
      </c>
      <c r="I878" t="s">
        <v>338</v>
      </c>
      <c r="J878">
        <v>0</v>
      </c>
      <c r="L878" s="5">
        <v>0</v>
      </c>
      <c r="M878">
        <v>0</v>
      </c>
      <c r="N878" s="5">
        <v>0</v>
      </c>
      <c r="O878" s="5">
        <v>0</v>
      </c>
      <c r="P878">
        <v>2</v>
      </c>
      <c r="Q878" s="5">
        <v>1995.28</v>
      </c>
      <c r="R878" s="5">
        <v>2200.86</v>
      </c>
      <c r="S878" s="5">
        <v>997.64</v>
      </c>
    </row>
    <row r="879" spans="1:19">
      <c r="A879">
        <v>88</v>
      </c>
      <c r="B879" t="s">
        <v>276</v>
      </c>
      <c r="C879" t="s">
        <v>277</v>
      </c>
      <c r="D879" t="s">
        <v>231</v>
      </c>
      <c r="E879">
        <v>153020498</v>
      </c>
      <c r="F879" t="s">
        <v>483</v>
      </c>
      <c r="G879" t="s">
        <v>484</v>
      </c>
      <c r="H879" t="s">
        <v>74</v>
      </c>
      <c r="I879" t="s">
        <v>338</v>
      </c>
      <c r="J879">
        <v>0</v>
      </c>
      <c r="L879" s="5">
        <v>0</v>
      </c>
      <c r="M879">
        <v>0</v>
      </c>
      <c r="N879" s="5">
        <v>0</v>
      </c>
      <c r="O879" s="5">
        <v>0</v>
      </c>
      <c r="P879">
        <v>3</v>
      </c>
      <c r="Q879" s="5">
        <v>1620</v>
      </c>
      <c r="R879" s="5">
        <v>1459.4</v>
      </c>
      <c r="S879" s="5">
        <v>540</v>
      </c>
    </row>
    <row r="880" spans="1:19">
      <c r="A880">
        <v>88</v>
      </c>
      <c r="B880" t="s">
        <v>276</v>
      </c>
      <c r="C880" t="s">
        <v>277</v>
      </c>
      <c r="D880" t="s">
        <v>231</v>
      </c>
      <c r="E880">
        <v>153021509</v>
      </c>
      <c r="F880" t="s">
        <v>483</v>
      </c>
      <c r="G880" t="s">
        <v>484</v>
      </c>
      <c r="H880" t="s">
        <v>74</v>
      </c>
      <c r="I880" t="s">
        <v>334</v>
      </c>
      <c r="J880">
        <v>4</v>
      </c>
      <c r="K880" s="5">
        <v>2817.06</v>
      </c>
      <c r="L880" s="5">
        <v>2060</v>
      </c>
      <c r="M880">
        <v>0.268741169</v>
      </c>
      <c r="N880" s="5">
        <v>757.06</v>
      </c>
      <c r="O880" s="5">
        <v>189.26</v>
      </c>
      <c r="P880">
        <v>0</v>
      </c>
      <c r="Q880" s="5">
        <v>0</v>
      </c>
      <c r="R880" s="5">
        <v>0</v>
      </c>
      <c r="S880" s="5">
        <v>515</v>
      </c>
    </row>
    <row r="881" spans="1:19">
      <c r="A881">
        <v>88</v>
      </c>
      <c r="B881" t="s">
        <v>276</v>
      </c>
      <c r="C881" t="s">
        <v>277</v>
      </c>
      <c r="D881" t="s">
        <v>231</v>
      </c>
      <c r="E881">
        <v>153021509</v>
      </c>
      <c r="F881" t="s">
        <v>483</v>
      </c>
      <c r="G881" t="s">
        <v>484</v>
      </c>
      <c r="H881" t="s">
        <v>74</v>
      </c>
      <c r="I881" t="s">
        <v>333</v>
      </c>
      <c r="J881">
        <v>0</v>
      </c>
      <c r="L881" s="5">
        <v>0</v>
      </c>
      <c r="M881">
        <v>0</v>
      </c>
      <c r="N881" s="5">
        <v>0</v>
      </c>
      <c r="O881" s="5">
        <v>0</v>
      </c>
      <c r="P881">
        <v>4</v>
      </c>
      <c r="Q881" s="5">
        <v>1680</v>
      </c>
      <c r="R881" s="5">
        <v>1789.55</v>
      </c>
      <c r="S881" s="5">
        <v>420</v>
      </c>
    </row>
    <row r="882" spans="1:19">
      <c r="A882">
        <v>88</v>
      </c>
      <c r="B882" t="s">
        <v>276</v>
      </c>
      <c r="C882" t="s">
        <v>277</v>
      </c>
      <c r="D882" t="s">
        <v>231</v>
      </c>
      <c r="E882">
        <v>153021509</v>
      </c>
      <c r="F882" t="s">
        <v>483</v>
      </c>
      <c r="G882" t="s">
        <v>484</v>
      </c>
      <c r="H882" t="s">
        <v>74</v>
      </c>
      <c r="I882" t="s">
        <v>337</v>
      </c>
      <c r="J882">
        <v>4</v>
      </c>
      <c r="K882" s="5">
        <v>1241.6600000000001</v>
      </c>
      <c r="L882" s="5">
        <v>780</v>
      </c>
      <c r="M882">
        <v>0.37180870700000002</v>
      </c>
      <c r="N882" s="5">
        <v>461.66</v>
      </c>
      <c r="O882" s="5">
        <v>115.42</v>
      </c>
      <c r="P882">
        <v>0</v>
      </c>
      <c r="Q882" s="5">
        <v>0</v>
      </c>
      <c r="R882" s="5">
        <v>0</v>
      </c>
      <c r="S882" s="5">
        <v>195</v>
      </c>
    </row>
    <row r="883" spans="1:19">
      <c r="A883">
        <v>88</v>
      </c>
      <c r="B883" t="s">
        <v>276</v>
      </c>
      <c r="C883" t="s">
        <v>277</v>
      </c>
      <c r="D883" t="s">
        <v>231</v>
      </c>
      <c r="E883">
        <v>153021509</v>
      </c>
      <c r="F883" t="s">
        <v>483</v>
      </c>
      <c r="G883" t="s">
        <v>484</v>
      </c>
      <c r="H883" t="s">
        <v>74</v>
      </c>
      <c r="I883" t="s">
        <v>333</v>
      </c>
      <c r="J883">
        <v>0</v>
      </c>
      <c r="L883" s="5">
        <v>0</v>
      </c>
      <c r="M883">
        <v>0</v>
      </c>
      <c r="N883" s="5">
        <v>0</v>
      </c>
      <c r="O883" s="5">
        <v>0</v>
      </c>
      <c r="P883">
        <v>4</v>
      </c>
      <c r="Q883" s="5">
        <v>1680</v>
      </c>
      <c r="R883" s="5">
        <v>1263.1099999999999</v>
      </c>
      <c r="S883" s="5">
        <v>420</v>
      </c>
    </row>
    <row r="884" spans="1:19">
      <c r="A884">
        <v>88</v>
      </c>
      <c r="B884" t="s">
        <v>276</v>
      </c>
      <c r="C884" t="s">
        <v>277</v>
      </c>
      <c r="D884" t="s">
        <v>231</v>
      </c>
      <c r="E884">
        <v>153021509</v>
      </c>
      <c r="F884" t="s">
        <v>483</v>
      </c>
      <c r="G884" t="s">
        <v>484</v>
      </c>
      <c r="H884" t="s">
        <v>74</v>
      </c>
      <c r="I884" t="s">
        <v>343</v>
      </c>
      <c r="J884">
        <v>0</v>
      </c>
      <c r="L884" s="5">
        <v>0</v>
      </c>
      <c r="M884">
        <v>0</v>
      </c>
      <c r="N884" s="5">
        <v>0</v>
      </c>
      <c r="O884" s="5">
        <v>0</v>
      </c>
      <c r="P884">
        <v>2</v>
      </c>
      <c r="Q884" s="5">
        <v>880</v>
      </c>
      <c r="R884" s="5">
        <v>645.1</v>
      </c>
      <c r="S884" s="5">
        <v>440</v>
      </c>
    </row>
    <row r="885" spans="1:19">
      <c r="A885">
        <v>88</v>
      </c>
      <c r="B885" t="s">
        <v>276</v>
      </c>
      <c r="C885" t="s">
        <v>277</v>
      </c>
      <c r="D885" t="s">
        <v>231</v>
      </c>
      <c r="E885">
        <v>153021509</v>
      </c>
      <c r="F885" t="s">
        <v>483</v>
      </c>
      <c r="G885" t="s">
        <v>484</v>
      </c>
      <c r="H885" t="s">
        <v>74</v>
      </c>
      <c r="I885" t="s">
        <v>334</v>
      </c>
      <c r="J885">
        <v>0</v>
      </c>
      <c r="L885" s="5">
        <v>0</v>
      </c>
      <c r="M885">
        <v>0</v>
      </c>
      <c r="N885" s="5">
        <v>0</v>
      </c>
      <c r="O885" s="5">
        <v>0</v>
      </c>
      <c r="P885">
        <v>4</v>
      </c>
      <c r="Q885" s="5">
        <v>2060</v>
      </c>
      <c r="R885" s="5">
        <v>1567.31</v>
      </c>
      <c r="S885" s="5">
        <v>515</v>
      </c>
    </row>
    <row r="886" spans="1:19">
      <c r="A886">
        <v>88</v>
      </c>
      <c r="B886" t="s">
        <v>276</v>
      </c>
      <c r="C886" t="s">
        <v>277</v>
      </c>
      <c r="D886" t="s">
        <v>231</v>
      </c>
      <c r="E886">
        <v>153021509</v>
      </c>
      <c r="F886" t="s">
        <v>483</v>
      </c>
      <c r="G886" t="s">
        <v>484</v>
      </c>
      <c r="H886" t="s">
        <v>74</v>
      </c>
      <c r="I886" t="s">
        <v>333</v>
      </c>
      <c r="J886">
        <v>0</v>
      </c>
      <c r="L886" s="5">
        <v>0</v>
      </c>
      <c r="M886">
        <v>0</v>
      </c>
      <c r="N886" s="5">
        <v>0</v>
      </c>
      <c r="O886" s="5">
        <v>0</v>
      </c>
      <c r="P886">
        <v>4</v>
      </c>
      <c r="Q886" s="5">
        <v>1680</v>
      </c>
      <c r="R886" s="5">
        <v>2556.5</v>
      </c>
      <c r="S886" s="5">
        <v>420</v>
      </c>
    </row>
    <row r="887" spans="1:19">
      <c r="A887">
        <v>88</v>
      </c>
      <c r="B887" t="s">
        <v>276</v>
      </c>
      <c r="C887" t="s">
        <v>277</v>
      </c>
      <c r="D887" t="s">
        <v>231</v>
      </c>
      <c r="E887">
        <v>153021509</v>
      </c>
      <c r="F887" t="s">
        <v>483</v>
      </c>
      <c r="G887" t="s">
        <v>484</v>
      </c>
      <c r="H887" t="s">
        <v>74</v>
      </c>
      <c r="I887" t="s">
        <v>333</v>
      </c>
      <c r="J887">
        <v>4</v>
      </c>
      <c r="K887" s="5">
        <v>3003.78</v>
      </c>
      <c r="L887" s="5">
        <v>1440</v>
      </c>
      <c r="M887">
        <v>0.52060403799999999</v>
      </c>
      <c r="N887" s="5">
        <v>1563.78</v>
      </c>
      <c r="O887" s="5">
        <v>390.94</v>
      </c>
      <c r="P887">
        <v>0</v>
      </c>
      <c r="Q887" s="5">
        <v>0</v>
      </c>
      <c r="R887" s="5">
        <v>0</v>
      </c>
      <c r="S887" s="5">
        <v>360</v>
      </c>
    </row>
    <row r="888" spans="1:19">
      <c r="A888">
        <v>88</v>
      </c>
      <c r="B888" t="s">
        <v>276</v>
      </c>
      <c r="C888" t="s">
        <v>277</v>
      </c>
      <c r="D888" t="s">
        <v>231</v>
      </c>
      <c r="E888">
        <v>153021509</v>
      </c>
      <c r="F888" t="s">
        <v>483</v>
      </c>
      <c r="G888" t="s">
        <v>484</v>
      </c>
      <c r="H888" t="s">
        <v>74</v>
      </c>
      <c r="I888" t="s">
        <v>333</v>
      </c>
      <c r="J888">
        <v>0</v>
      </c>
      <c r="L888" s="5">
        <v>0</v>
      </c>
      <c r="M888">
        <v>0</v>
      </c>
      <c r="N888" s="5">
        <v>0</v>
      </c>
      <c r="O888" s="5">
        <v>0</v>
      </c>
      <c r="P888">
        <v>4</v>
      </c>
      <c r="Q888" s="5">
        <v>1680</v>
      </c>
      <c r="R888" s="5">
        <v>2812.15</v>
      </c>
      <c r="S888" s="5">
        <v>420</v>
      </c>
    </row>
    <row r="889" spans="1:19">
      <c r="A889">
        <v>88</v>
      </c>
      <c r="B889" t="s">
        <v>276</v>
      </c>
      <c r="C889" t="s">
        <v>277</v>
      </c>
      <c r="D889" t="s">
        <v>231</v>
      </c>
      <c r="E889">
        <v>153021509</v>
      </c>
      <c r="F889" t="s">
        <v>483</v>
      </c>
      <c r="G889" t="s">
        <v>484</v>
      </c>
      <c r="H889" t="s">
        <v>74</v>
      </c>
      <c r="I889" t="s">
        <v>333</v>
      </c>
      <c r="J889">
        <v>0</v>
      </c>
      <c r="L889" s="5">
        <v>0</v>
      </c>
      <c r="M889">
        <v>0</v>
      </c>
      <c r="N889" s="5">
        <v>0</v>
      </c>
      <c r="O889" s="5">
        <v>0</v>
      </c>
      <c r="P889">
        <v>4</v>
      </c>
      <c r="Q889" s="5">
        <v>1680</v>
      </c>
      <c r="R889" s="5">
        <v>1533.9</v>
      </c>
      <c r="S889" s="5">
        <v>420</v>
      </c>
    </row>
    <row r="890" spans="1:19">
      <c r="A890">
        <v>88</v>
      </c>
      <c r="B890" t="s">
        <v>276</v>
      </c>
      <c r="C890" t="s">
        <v>277</v>
      </c>
      <c r="D890" t="s">
        <v>231</v>
      </c>
      <c r="E890">
        <v>153021509</v>
      </c>
      <c r="F890" t="s">
        <v>483</v>
      </c>
      <c r="G890" t="s">
        <v>484</v>
      </c>
      <c r="H890" t="s">
        <v>74</v>
      </c>
      <c r="I890" t="s">
        <v>333</v>
      </c>
      <c r="J890">
        <v>0</v>
      </c>
      <c r="L890" s="5">
        <v>0</v>
      </c>
      <c r="M890">
        <v>0</v>
      </c>
      <c r="N890" s="5">
        <v>0</v>
      </c>
      <c r="O890" s="5">
        <v>0</v>
      </c>
      <c r="P890">
        <v>4</v>
      </c>
      <c r="Q890" s="5">
        <v>1680</v>
      </c>
      <c r="R890" s="5">
        <v>2045.2</v>
      </c>
      <c r="S890" s="5">
        <v>420</v>
      </c>
    </row>
    <row r="891" spans="1:19">
      <c r="A891">
        <v>88</v>
      </c>
      <c r="B891" t="s">
        <v>276</v>
      </c>
      <c r="C891" t="s">
        <v>277</v>
      </c>
      <c r="D891" t="s">
        <v>231</v>
      </c>
      <c r="E891">
        <v>153021509</v>
      </c>
      <c r="F891" t="s">
        <v>483</v>
      </c>
      <c r="G891" t="s">
        <v>484</v>
      </c>
      <c r="H891" t="s">
        <v>74</v>
      </c>
      <c r="I891" t="s">
        <v>333</v>
      </c>
      <c r="J891">
        <v>0</v>
      </c>
      <c r="L891" s="5">
        <v>0</v>
      </c>
      <c r="M891">
        <v>0</v>
      </c>
      <c r="N891" s="5">
        <v>0</v>
      </c>
      <c r="O891" s="5">
        <v>0</v>
      </c>
      <c r="P891">
        <v>4</v>
      </c>
      <c r="Q891" s="5">
        <v>1680</v>
      </c>
      <c r="R891" s="5">
        <v>2300.85</v>
      </c>
      <c r="S891" s="5">
        <v>420</v>
      </c>
    </row>
    <row r="892" spans="1:19">
      <c r="A892">
        <v>86</v>
      </c>
      <c r="B892" t="s">
        <v>270</v>
      </c>
      <c r="C892" t="s">
        <v>271</v>
      </c>
      <c r="D892" t="s">
        <v>231</v>
      </c>
      <c r="E892">
        <v>153021509</v>
      </c>
      <c r="F892" t="s">
        <v>485</v>
      </c>
      <c r="G892" t="s">
        <v>486</v>
      </c>
      <c r="H892" t="s">
        <v>370</v>
      </c>
      <c r="I892" t="s">
        <v>333</v>
      </c>
      <c r="J892">
        <v>0</v>
      </c>
      <c r="L892" s="5">
        <v>0</v>
      </c>
      <c r="M892">
        <v>0</v>
      </c>
      <c r="N892" s="5">
        <v>0</v>
      </c>
      <c r="O892" s="5">
        <v>0</v>
      </c>
      <c r="P892">
        <v>4</v>
      </c>
      <c r="Q892" s="5">
        <v>1440</v>
      </c>
      <c r="R892" s="5">
        <v>3003.06</v>
      </c>
      <c r="S892" s="5">
        <v>360</v>
      </c>
    </row>
    <row r="893" spans="1:19">
      <c r="A893">
        <v>86</v>
      </c>
      <c r="B893" t="s">
        <v>270</v>
      </c>
      <c r="C893" t="s">
        <v>271</v>
      </c>
      <c r="D893" t="s">
        <v>231</v>
      </c>
      <c r="E893">
        <v>153023861</v>
      </c>
      <c r="F893" t="s">
        <v>485</v>
      </c>
      <c r="G893" t="s">
        <v>486</v>
      </c>
      <c r="H893" t="s">
        <v>370</v>
      </c>
      <c r="I893" t="s">
        <v>337</v>
      </c>
      <c r="J893">
        <v>0</v>
      </c>
      <c r="L893" s="5">
        <v>0</v>
      </c>
      <c r="M893">
        <v>0</v>
      </c>
      <c r="N893" s="5">
        <v>0</v>
      </c>
      <c r="O893" s="5">
        <v>0</v>
      </c>
      <c r="P893">
        <v>4</v>
      </c>
      <c r="Q893" s="5">
        <v>780</v>
      </c>
      <c r="R893" s="5">
        <v>2184.2199999999998</v>
      </c>
      <c r="S893" s="5">
        <v>195</v>
      </c>
    </row>
    <row r="894" spans="1:19">
      <c r="A894">
        <v>86</v>
      </c>
      <c r="B894" t="s">
        <v>270</v>
      </c>
      <c r="C894" t="s">
        <v>271</v>
      </c>
      <c r="D894" t="s">
        <v>231</v>
      </c>
      <c r="E894">
        <v>153023861</v>
      </c>
      <c r="F894" t="s">
        <v>485</v>
      </c>
      <c r="G894" t="s">
        <v>486</v>
      </c>
      <c r="H894" t="s">
        <v>370</v>
      </c>
      <c r="I894" t="s">
        <v>334</v>
      </c>
      <c r="J894">
        <v>0</v>
      </c>
      <c r="L894" s="5">
        <v>0</v>
      </c>
      <c r="M894">
        <v>0</v>
      </c>
      <c r="N894" s="5">
        <v>0</v>
      </c>
      <c r="O894" s="5">
        <v>0</v>
      </c>
      <c r="P894">
        <v>4</v>
      </c>
      <c r="Q894" s="5">
        <v>2020</v>
      </c>
      <c r="R894" s="5">
        <v>3592.02</v>
      </c>
      <c r="S894" s="5">
        <v>505</v>
      </c>
    </row>
    <row r="895" spans="1:19">
      <c r="A895">
        <v>86</v>
      </c>
      <c r="B895" t="s">
        <v>270</v>
      </c>
      <c r="C895" t="s">
        <v>271</v>
      </c>
      <c r="D895" t="s">
        <v>231</v>
      </c>
      <c r="E895">
        <v>153023861</v>
      </c>
      <c r="F895" t="s">
        <v>485</v>
      </c>
      <c r="G895" t="s">
        <v>486</v>
      </c>
      <c r="H895" t="s">
        <v>370</v>
      </c>
      <c r="I895" t="s">
        <v>487</v>
      </c>
      <c r="J895">
        <v>0</v>
      </c>
      <c r="L895" s="5">
        <v>0</v>
      </c>
      <c r="M895">
        <v>0</v>
      </c>
      <c r="N895" s="5">
        <v>0</v>
      </c>
      <c r="O895" s="5">
        <v>0</v>
      </c>
      <c r="P895">
        <v>2</v>
      </c>
      <c r="Q895" s="5">
        <v>2940.08</v>
      </c>
      <c r="R895" s="5">
        <v>3592.02</v>
      </c>
      <c r="S895" s="5">
        <v>1470.04</v>
      </c>
    </row>
    <row r="896" spans="1:19">
      <c r="A896">
        <v>87</v>
      </c>
      <c r="B896" t="s">
        <v>273</v>
      </c>
      <c r="C896" t="s">
        <v>274</v>
      </c>
      <c r="D896" t="s">
        <v>231</v>
      </c>
      <c r="E896">
        <v>153023861</v>
      </c>
      <c r="F896" t="s">
        <v>488</v>
      </c>
      <c r="G896" t="s">
        <v>489</v>
      </c>
      <c r="H896" t="s">
        <v>68</v>
      </c>
      <c r="I896" t="s">
        <v>334</v>
      </c>
      <c r="J896">
        <v>0</v>
      </c>
      <c r="L896" s="5">
        <v>0</v>
      </c>
      <c r="M896">
        <v>0</v>
      </c>
      <c r="N896" s="5">
        <v>0</v>
      </c>
      <c r="O896" s="5">
        <v>0</v>
      </c>
      <c r="P896">
        <v>4</v>
      </c>
      <c r="Q896" s="5">
        <v>1880</v>
      </c>
      <c r="R896" s="5">
        <v>1674.83</v>
      </c>
      <c r="S896" s="5">
        <v>470</v>
      </c>
    </row>
    <row r="897" spans="1:19">
      <c r="A897">
        <v>87</v>
      </c>
      <c r="B897" t="s">
        <v>273</v>
      </c>
      <c r="C897" t="s">
        <v>274</v>
      </c>
      <c r="D897" t="s">
        <v>231</v>
      </c>
      <c r="E897">
        <v>153021573</v>
      </c>
      <c r="F897" t="s">
        <v>488</v>
      </c>
      <c r="G897" t="s">
        <v>489</v>
      </c>
      <c r="H897" t="s">
        <v>68</v>
      </c>
      <c r="I897" t="s">
        <v>334</v>
      </c>
      <c r="J897">
        <v>0</v>
      </c>
      <c r="L897" s="5">
        <v>0</v>
      </c>
      <c r="M897">
        <v>0</v>
      </c>
      <c r="N897" s="5">
        <v>0</v>
      </c>
      <c r="O897" s="5">
        <v>0</v>
      </c>
      <c r="P897">
        <v>4</v>
      </c>
      <c r="Q897" s="5">
        <v>1880</v>
      </c>
      <c r="R897" s="5">
        <v>2991.57</v>
      </c>
      <c r="S897" s="5">
        <v>470</v>
      </c>
    </row>
    <row r="898" spans="1:19">
      <c r="A898">
        <v>87</v>
      </c>
      <c r="B898" t="s">
        <v>273</v>
      </c>
      <c r="C898" t="s">
        <v>274</v>
      </c>
      <c r="D898" t="s">
        <v>231</v>
      </c>
      <c r="E898">
        <v>153021573</v>
      </c>
      <c r="F898" t="s">
        <v>488</v>
      </c>
      <c r="G898" t="s">
        <v>489</v>
      </c>
      <c r="H898" t="s">
        <v>68</v>
      </c>
      <c r="I898" t="s">
        <v>337</v>
      </c>
      <c r="J898">
        <v>0</v>
      </c>
      <c r="L898" s="5">
        <v>0</v>
      </c>
      <c r="M898">
        <v>0</v>
      </c>
      <c r="N898" s="5">
        <v>0</v>
      </c>
      <c r="O898" s="5">
        <v>0</v>
      </c>
      <c r="P898">
        <v>4</v>
      </c>
      <c r="Q898" s="5">
        <v>640</v>
      </c>
      <c r="R898" s="5">
        <v>1353.58</v>
      </c>
      <c r="S898" s="5">
        <v>160</v>
      </c>
    </row>
    <row r="899" spans="1:19">
      <c r="A899">
        <v>87</v>
      </c>
      <c r="B899" t="s">
        <v>273</v>
      </c>
      <c r="C899" t="s">
        <v>274</v>
      </c>
      <c r="D899" t="s">
        <v>231</v>
      </c>
      <c r="E899">
        <v>153021573</v>
      </c>
      <c r="F899" t="s">
        <v>488</v>
      </c>
      <c r="G899" t="s">
        <v>489</v>
      </c>
      <c r="H899" t="s">
        <v>68</v>
      </c>
      <c r="I899" t="s">
        <v>334</v>
      </c>
      <c r="J899">
        <v>0</v>
      </c>
      <c r="L899" s="5">
        <v>0</v>
      </c>
      <c r="M899">
        <v>0</v>
      </c>
      <c r="N899" s="5">
        <v>0</v>
      </c>
      <c r="O899" s="5">
        <v>0</v>
      </c>
      <c r="P899">
        <v>4</v>
      </c>
      <c r="Q899" s="5">
        <v>1880</v>
      </c>
      <c r="R899" s="5">
        <v>2839.46</v>
      </c>
      <c r="S899" s="5">
        <v>470</v>
      </c>
    </row>
    <row r="900" spans="1:19">
      <c r="A900">
        <v>87</v>
      </c>
      <c r="B900" t="s">
        <v>273</v>
      </c>
      <c r="C900" t="s">
        <v>274</v>
      </c>
      <c r="D900" t="s">
        <v>231</v>
      </c>
      <c r="E900">
        <v>153021573</v>
      </c>
      <c r="F900" t="s">
        <v>488</v>
      </c>
      <c r="G900" t="s">
        <v>489</v>
      </c>
      <c r="H900" t="s">
        <v>68</v>
      </c>
      <c r="I900" t="s">
        <v>338</v>
      </c>
      <c r="J900">
        <v>0</v>
      </c>
      <c r="L900" s="5">
        <v>0</v>
      </c>
      <c r="M900">
        <v>0</v>
      </c>
      <c r="N900" s="5">
        <v>0</v>
      </c>
      <c r="O900" s="5">
        <v>0</v>
      </c>
      <c r="P900">
        <v>3</v>
      </c>
      <c r="Q900" s="5">
        <v>1560</v>
      </c>
      <c r="R900" s="5">
        <v>739.66</v>
      </c>
      <c r="S900" s="5">
        <v>520</v>
      </c>
    </row>
    <row r="901" spans="1:19">
      <c r="A901">
        <v>87</v>
      </c>
      <c r="B901" t="s">
        <v>273</v>
      </c>
      <c r="C901" t="s">
        <v>274</v>
      </c>
      <c r="D901" t="s">
        <v>231</v>
      </c>
      <c r="E901">
        <v>153021573</v>
      </c>
      <c r="F901" t="s">
        <v>488</v>
      </c>
      <c r="G901" t="s">
        <v>489</v>
      </c>
      <c r="H901" t="s">
        <v>68</v>
      </c>
      <c r="I901" t="s">
        <v>334</v>
      </c>
      <c r="J901">
        <v>0</v>
      </c>
      <c r="L901" s="5">
        <v>0</v>
      </c>
      <c r="M901">
        <v>0</v>
      </c>
      <c r="N901" s="5">
        <v>0</v>
      </c>
      <c r="O901" s="5">
        <v>0</v>
      </c>
      <c r="P901">
        <v>4</v>
      </c>
      <c r="Q901" s="5">
        <v>1880</v>
      </c>
      <c r="R901" s="5">
        <v>1774.66</v>
      </c>
      <c r="S901" s="5">
        <v>470</v>
      </c>
    </row>
    <row r="902" spans="1:19">
      <c r="A902">
        <v>87</v>
      </c>
      <c r="B902" t="s">
        <v>273</v>
      </c>
      <c r="C902" t="s">
        <v>274</v>
      </c>
      <c r="D902" t="s">
        <v>231</v>
      </c>
      <c r="E902">
        <v>153021573</v>
      </c>
      <c r="F902" t="s">
        <v>488</v>
      </c>
      <c r="G902" t="s">
        <v>489</v>
      </c>
      <c r="H902" t="s">
        <v>68</v>
      </c>
      <c r="I902" t="s">
        <v>404</v>
      </c>
      <c r="J902">
        <v>0</v>
      </c>
      <c r="L902" s="5">
        <v>0</v>
      </c>
      <c r="M902">
        <v>0</v>
      </c>
      <c r="N902" s="5">
        <v>0</v>
      </c>
      <c r="O902" s="5">
        <v>0</v>
      </c>
      <c r="P902">
        <v>4</v>
      </c>
      <c r="Q902" s="5">
        <v>1782.44</v>
      </c>
      <c r="R902" s="5">
        <v>1366.59</v>
      </c>
      <c r="S902" s="5">
        <v>445.61</v>
      </c>
    </row>
    <row r="903" spans="1:19">
      <c r="A903">
        <v>87</v>
      </c>
      <c r="B903" t="s">
        <v>273</v>
      </c>
      <c r="C903" t="s">
        <v>274</v>
      </c>
      <c r="D903" t="s">
        <v>231</v>
      </c>
      <c r="E903">
        <v>153021573</v>
      </c>
      <c r="F903" t="s">
        <v>488</v>
      </c>
      <c r="G903" t="s">
        <v>489</v>
      </c>
      <c r="H903" t="s">
        <v>68</v>
      </c>
      <c r="I903" t="s">
        <v>337</v>
      </c>
      <c r="J903">
        <v>0</v>
      </c>
      <c r="L903" s="5">
        <v>0</v>
      </c>
      <c r="M903">
        <v>0</v>
      </c>
      <c r="N903" s="5">
        <v>0</v>
      </c>
      <c r="O903" s="5">
        <v>0</v>
      </c>
      <c r="P903">
        <v>4</v>
      </c>
      <c r="Q903" s="5">
        <v>1834.96</v>
      </c>
      <c r="R903" s="5">
        <v>1906.12</v>
      </c>
      <c r="S903" s="5">
        <v>458.74</v>
      </c>
    </row>
    <row r="904" spans="1:19">
      <c r="A904">
        <v>87</v>
      </c>
      <c r="B904" t="s">
        <v>273</v>
      </c>
      <c r="C904" t="s">
        <v>274</v>
      </c>
      <c r="D904" t="s">
        <v>231</v>
      </c>
      <c r="E904">
        <v>153021573</v>
      </c>
      <c r="F904" t="s">
        <v>488</v>
      </c>
      <c r="G904" t="s">
        <v>489</v>
      </c>
      <c r="H904" t="s">
        <v>68</v>
      </c>
      <c r="I904" t="s">
        <v>337</v>
      </c>
      <c r="J904">
        <v>0</v>
      </c>
      <c r="L904" s="5">
        <v>0</v>
      </c>
      <c r="M904">
        <v>0</v>
      </c>
      <c r="N904" s="5">
        <v>0</v>
      </c>
      <c r="O904" s="5">
        <v>0</v>
      </c>
      <c r="P904">
        <v>2</v>
      </c>
      <c r="Q904" s="5">
        <v>891</v>
      </c>
      <c r="R904" s="5">
        <v>761.02</v>
      </c>
      <c r="S904" s="5">
        <v>445.5</v>
      </c>
    </row>
    <row r="905" spans="1:19">
      <c r="A905">
        <v>87</v>
      </c>
      <c r="B905" t="s">
        <v>273</v>
      </c>
      <c r="C905" t="s">
        <v>274</v>
      </c>
      <c r="D905" t="s">
        <v>231</v>
      </c>
      <c r="E905">
        <v>153021573</v>
      </c>
      <c r="F905" t="s">
        <v>488</v>
      </c>
      <c r="G905" t="s">
        <v>489</v>
      </c>
      <c r="H905" t="s">
        <v>68</v>
      </c>
      <c r="I905" t="s">
        <v>334</v>
      </c>
      <c r="J905">
        <v>0</v>
      </c>
      <c r="L905" s="5">
        <v>0</v>
      </c>
      <c r="M905">
        <v>0</v>
      </c>
      <c r="N905" s="5">
        <v>0</v>
      </c>
      <c r="O905" s="5">
        <v>0</v>
      </c>
      <c r="P905">
        <v>4</v>
      </c>
      <c r="Q905" s="5">
        <v>1880</v>
      </c>
      <c r="R905" s="5">
        <v>3295.8</v>
      </c>
      <c r="S905" s="5">
        <v>470</v>
      </c>
    </row>
    <row r="906" spans="1:19">
      <c r="A906">
        <v>87</v>
      </c>
      <c r="B906" t="s">
        <v>273</v>
      </c>
      <c r="C906" t="s">
        <v>274</v>
      </c>
      <c r="D906" t="s">
        <v>231</v>
      </c>
      <c r="E906">
        <v>153021573</v>
      </c>
      <c r="F906" t="s">
        <v>488</v>
      </c>
      <c r="G906" t="s">
        <v>489</v>
      </c>
      <c r="H906" t="s">
        <v>68</v>
      </c>
      <c r="I906" t="s">
        <v>334</v>
      </c>
      <c r="J906">
        <v>0</v>
      </c>
      <c r="L906" s="5">
        <v>0</v>
      </c>
      <c r="M906">
        <v>0</v>
      </c>
      <c r="N906" s="5">
        <v>0</v>
      </c>
      <c r="O906" s="5">
        <v>0</v>
      </c>
      <c r="P906">
        <v>4</v>
      </c>
      <c r="Q906" s="5">
        <v>1880</v>
      </c>
      <c r="R906" s="5">
        <v>2687.34</v>
      </c>
      <c r="S906" s="5">
        <v>470</v>
      </c>
    </row>
    <row r="907" spans="1:19">
      <c r="A907">
        <v>87</v>
      </c>
      <c r="B907" t="s">
        <v>273</v>
      </c>
      <c r="C907" t="s">
        <v>274</v>
      </c>
      <c r="D907" t="s">
        <v>231</v>
      </c>
      <c r="E907">
        <v>153021573</v>
      </c>
      <c r="F907" t="s">
        <v>488</v>
      </c>
      <c r="G907" t="s">
        <v>489</v>
      </c>
      <c r="H907" t="s">
        <v>68</v>
      </c>
      <c r="I907" t="s">
        <v>334</v>
      </c>
      <c r="J907">
        <v>0</v>
      </c>
      <c r="L907" s="5">
        <v>0</v>
      </c>
      <c r="M907">
        <v>0</v>
      </c>
      <c r="N907" s="5">
        <v>0</v>
      </c>
      <c r="O907" s="5">
        <v>0</v>
      </c>
      <c r="P907">
        <v>4</v>
      </c>
      <c r="Q907" s="5">
        <v>1880</v>
      </c>
      <c r="R907" s="5">
        <v>1578.15</v>
      </c>
      <c r="S907" s="5">
        <v>470</v>
      </c>
    </row>
    <row r="908" spans="1:19">
      <c r="A908">
        <v>87</v>
      </c>
      <c r="B908" t="s">
        <v>273</v>
      </c>
      <c r="C908" t="s">
        <v>274</v>
      </c>
      <c r="D908" t="s">
        <v>231</v>
      </c>
      <c r="E908">
        <v>153021573</v>
      </c>
      <c r="F908" t="s">
        <v>488</v>
      </c>
      <c r="G908" t="s">
        <v>489</v>
      </c>
      <c r="H908" t="s">
        <v>68</v>
      </c>
      <c r="I908" t="s">
        <v>333</v>
      </c>
      <c r="J908">
        <v>0</v>
      </c>
      <c r="L908" s="5">
        <v>0</v>
      </c>
      <c r="M908">
        <v>0</v>
      </c>
      <c r="N908" s="5">
        <v>0</v>
      </c>
      <c r="O908" s="5">
        <v>0</v>
      </c>
      <c r="P908">
        <v>4</v>
      </c>
      <c r="Q908" s="5">
        <v>1420</v>
      </c>
      <c r="R908" s="5">
        <v>1119.5</v>
      </c>
      <c r="S908" s="5">
        <v>355</v>
      </c>
    </row>
    <row r="909" spans="1:19">
      <c r="A909">
        <v>87</v>
      </c>
      <c r="B909" t="s">
        <v>273</v>
      </c>
      <c r="C909" t="s">
        <v>274</v>
      </c>
      <c r="D909" t="s">
        <v>231</v>
      </c>
      <c r="E909">
        <v>153021573</v>
      </c>
      <c r="F909" t="s">
        <v>488</v>
      </c>
      <c r="G909" t="s">
        <v>489</v>
      </c>
      <c r="H909" t="s">
        <v>68</v>
      </c>
      <c r="I909" t="s">
        <v>334</v>
      </c>
      <c r="J909">
        <v>0</v>
      </c>
      <c r="L909" s="5">
        <v>0</v>
      </c>
      <c r="M909">
        <v>0</v>
      </c>
      <c r="N909" s="5">
        <v>0</v>
      </c>
      <c r="O909" s="5">
        <v>0</v>
      </c>
      <c r="P909">
        <v>4</v>
      </c>
      <c r="Q909" s="5">
        <v>1880</v>
      </c>
      <c r="R909" s="5">
        <v>836.26</v>
      </c>
      <c r="S909" s="5">
        <v>470</v>
      </c>
    </row>
    <row r="910" spans="1:19">
      <c r="A910">
        <v>87</v>
      </c>
      <c r="B910" t="s">
        <v>273</v>
      </c>
      <c r="C910" t="s">
        <v>274</v>
      </c>
      <c r="D910" t="s">
        <v>231</v>
      </c>
      <c r="E910">
        <v>153021573</v>
      </c>
      <c r="F910" t="s">
        <v>488</v>
      </c>
      <c r="G910" t="s">
        <v>489</v>
      </c>
      <c r="H910" t="s">
        <v>68</v>
      </c>
      <c r="I910" t="s">
        <v>334</v>
      </c>
      <c r="J910">
        <v>0</v>
      </c>
      <c r="L910" s="5">
        <v>0</v>
      </c>
      <c r="M910">
        <v>0</v>
      </c>
      <c r="N910" s="5">
        <v>0</v>
      </c>
      <c r="O910" s="5">
        <v>0</v>
      </c>
      <c r="P910">
        <v>4</v>
      </c>
      <c r="Q910" s="5">
        <v>1880</v>
      </c>
      <c r="R910" s="5">
        <v>2231</v>
      </c>
      <c r="S910" s="5">
        <v>470</v>
      </c>
    </row>
    <row r="911" spans="1:19">
      <c r="A911">
        <v>87</v>
      </c>
      <c r="B911" t="s">
        <v>273</v>
      </c>
      <c r="C911" t="s">
        <v>274</v>
      </c>
      <c r="D911" t="s">
        <v>231</v>
      </c>
      <c r="E911">
        <v>153021573</v>
      </c>
      <c r="F911" t="s">
        <v>488</v>
      </c>
      <c r="G911" t="s">
        <v>489</v>
      </c>
      <c r="H911" t="s">
        <v>68</v>
      </c>
      <c r="I911" t="s">
        <v>337</v>
      </c>
      <c r="J911">
        <v>0</v>
      </c>
      <c r="L911" s="5">
        <v>0</v>
      </c>
      <c r="M911">
        <v>0</v>
      </c>
      <c r="N911" s="5">
        <v>0</v>
      </c>
      <c r="O911" s="5">
        <v>0</v>
      </c>
      <c r="P911">
        <v>2</v>
      </c>
      <c r="Q911" s="5">
        <v>947.6</v>
      </c>
      <c r="R911" s="5">
        <v>682.19</v>
      </c>
      <c r="S911" s="5">
        <v>473.8</v>
      </c>
    </row>
    <row r="912" spans="1:19">
      <c r="A912">
        <v>87</v>
      </c>
      <c r="B912" t="s">
        <v>273</v>
      </c>
      <c r="C912" t="s">
        <v>274</v>
      </c>
      <c r="D912" t="s">
        <v>231</v>
      </c>
      <c r="E912">
        <v>153021573</v>
      </c>
      <c r="F912" t="s">
        <v>488</v>
      </c>
      <c r="G912" t="s">
        <v>489</v>
      </c>
      <c r="H912" t="s">
        <v>68</v>
      </c>
      <c r="I912" t="s">
        <v>334</v>
      </c>
      <c r="J912">
        <v>0</v>
      </c>
      <c r="L912" s="5">
        <v>0</v>
      </c>
      <c r="M912">
        <v>0</v>
      </c>
      <c r="N912" s="5">
        <v>0</v>
      </c>
      <c r="O912" s="5">
        <v>0</v>
      </c>
      <c r="P912">
        <v>4</v>
      </c>
      <c r="Q912" s="5">
        <v>1880</v>
      </c>
      <c r="R912" s="5">
        <v>3752.14</v>
      </c>
      <c r="S912" s="5">
        <v>470</v>
      </c>
    </row>
    <row r="913" spans="1:19">
      <c r="A913">
        <v>87</v>
      </c>
      <c r="B913" t="s">
        <v>273</v>
      </c>
      <c r="C913" t="s">
        <v>274</v>
      </c>
      <c r="D913" t="s">
        <v>231</v>
      </c>
      <c r="E913">
        <v>153021573</v>
      </c>
      <c r="F913" t="s">
        <v>488</v>
      </c>
      <c r="G913" t="s">
        <v>489</v>
      </c>
      <c r="H913" t="s">
        <v>68</v>
      </c>
      <c r="I913" t="s">
        <v>334</v>
      </c>
      <c r="J913">
        <v>0</v>
      </c>
      <c r="L913" s="5">
        <v>0</v>
      </c>
      <c r="M913">
        <v>0</v>
      </c>
      <c r="N913" s="5">
        <v>0</v>
      </c>
      <c r="O913" s="5">
        <v>0</v>
      </c>
      <c r="P913">
        <v>4</v>
      </c>
      <c r="Q913" s="5">
        <v>1880</v>
      </c>
      <c r="R913" s="5">
        <v>932.87</v>
      </c>
      <c r="S913" s="5">
        <v>470</v>
      </c>
    </row>
    <row r="914" spans="1:19">
      <c r="A914">
        <v>87</v>
      </c>
      <c r="B914" t="s">
        <v>273</v>
      </c>
      <c r="C914" t="s">
        <v>274</v>
      </c>
      <c r="D914" t="s">
        <v>231</v>
      </c>
      <c r="E914">
        <v>153021573</v>
      </c>
      <c r="F914" t="s">
        <v>488</v>
      </c>
      <c r="G914" t="s">
        <v>489</v>
      </c>
      <c r="H914" t="s">
        <v>68</v>
      </c>
      <c r="I914" t="s">
        <v>334</v>
      </c>
      <c r="J914">
        <v>0</v>
      </c>
      <c r="L914" s="5">
        <v>0</v>
      </c>
      <c r="M914">
        <v>0</v>
      </c>
      <c r="N914" s="5">
        <v>0</v>
      </c>
      <c r="O914" s="5">
        <v>0</v>
      </c>
      <c r="P914">
        <v>4</v>
      </c>
      <c r="Q914" s="5">
        <v>1880</v>
      </c>
      <c r="R914" s="5">
        <v>2535.23</v>
      </c>
      <c r="S914" s="5">
        <v>470</v>
      </c>
    </row>
    <row r="915" spans="1:19">
      <c r="A915">
        <v>87</v>
      </c>
      <c r="B915" t="s">
        <v>273</v>
      </c>
      <c r="C915" t="s">
        <v>274</v>
      </c>
      <c r="D915" t="s">
        <v>231</v>
      </c>
      <c r="E915">
        <v>153021573</v>
      </c>
      <c r="F915" t="s">
        <v>488</v>
      </c>
      <c r="G915" t="s">
        <v>489</v>
      </c>
      <c r="H915" t="s">
        <v>68</v>
      </c>
      <c r="I915" t="s">
        <v>336</v>
      </c>
      <c r="J915">
        <v>0</v>
      </c>
      <c r="L915" s="5">
        <v>0</v>
      </c>
      <c r="M915">
        <v>0</v>
      </c>
      <c r="N915" s="5">
        <v>0</v>
      </c>
      <c r="O915" s="5">
        <v>0</v>
      </c>
      <c r="P915">
        <v>4</v>
      </c>
      <c r="Q915" s="5">
        <v>1896.16</v>
      </c>
      <c r="R915" s="5">
        <v>1755.64</v>
      </c>
      <c r="S915" s="5">
        <v>474.04</v>
      </c>
    </row>
    <row r="916" spans="1:19">
      <c r="A916">
        <v>87</v>
      </c>
      <c r="B916" t="s">
        <v>273</v>
      </c>
      <c r="C916" t="s">
        <v>274</v>
      </c>
      <c r="D916" t="s">
        <v>231</v>
      </c>
      <c r="E916">
        <v>153021573</v>
      </c>
      <c r="F916" t="s">
        <v>488</v>
      </c>
      <c r="G916" t="s">
        <v>489</v>
      </c>
      <c r="H916" t="s">
        <v>68</v>
      </c>
      <c r="I916" t="s">
        <v>337</v>
      </c>
      <c r="J916">
        <v>0</v>
      </c>
      <c r="L916" s="5">
        <v>0</v>
      </c>
      <c r="M916">
        <v>0</v>
      </c>
      <c r="N916" s="5">
        <v>0</v>
      </c>
      <c r="O916" s="5">
        <v>0</v>
      </c>
      <c r="P916">
        <v>4</v>
      </c>
      <c r="Q916" s="5">
        <v>620</v>
      </c>
      <c r="R916" s="5">
        <v>2207.09</v>
      </c>
      <c r="S916" s="5">
        <v>155</v>
      </c>
    </row>
    <row r="917" spans="1:19">
      <c r="A917">
        <v>87</v>
      </c>
      <c r="B917" t="s">
        <v>273</v>
      </c>
      <c r="C917" t="s">
        <v>274</v>
      </c>
      <c r="D917" t="s">
        <v>231</v>
      </c>
      <c r="E917">
        <v>153021573</v>
      </c>
      <c r="F917" t="s">
        <v>488</v>
      </c>
      <c r="G917" t="s">
        <v>489</v>
      </c>
      <c r="H917" t="s">
        <v>68</v>
      </c>
      <c r="I917" t="s">
        <v>337</v>
      </c>
      <c r="J917">
        <v>0</v>
      </c>
      <c r="L917" s="5">
        <v>0</v>
      </c>
      <c r="M917">
        <v>0</v>
      </c>
      <c r="N917" s="5">
        <v>0</v>
      </c>
      <c r="O917" s="5">
        <v>0</v>
      </c>
      <c r="P917">
        <v>4</v>
      </c>
      <c r="Q917" s="5">
        <v>720</v>
      </c>
      <c r="R917" s="5">
        <v>2658.54</v>
      </c>
      <c r="S917" s="5">
        <v>180</v>
      </c>
    </row>
    <row r="918" spans="1:19">
      <c r="A918">
        <v>87</v>
      </c>
      <c r="B918" t="s">
        <v>273</v>
      </c>
      <c r="C918" t="s">
        <v>274</v>
      </c>
      <c r="D918" t="s">
        <v>231</v>
      </c>
      <c r="E918">
        <v>153021573</v>
      </c>
      <c r="F918" t="s">
        <v>488</v>
      </c>
      <c r="G918" t="s">
        <v>489</v>
      </c>
      <c r="H918" t="s">
        <v>68</v>
      </c>
      <c r="I918" t="s">
        <v>337</v>
      </c>
      <c r="J918">
        <v>0</v>
      </c>
      <c r="L918" s="5">
        <v>0</v>
      </c>
      <c r="M918">
        <v>0</v>
      </c>
      <c r="N918" s="5">
        <v>0</v>
      </c>
      <c r="O918" s="5">
        <v>0</v>
      </c>
      <c r="P918">
        <v>4</v>
      </c>
      <c r="Q918" s="5">
        <v>640</v>
      </c>
      <c r="R918" s="5">
        <v>2508.0500000000002</v>
      </c>
      <c r="S918" s="5">
        <v>160</v>
      </c>
    </row>
    <row r="919" spans="1:19">
      <c r="A919">
        <v>87</v>
      </c>
      <c r="B919" t="s">
        <v>273</v>
      </c>
      <c r="C919" t="s">
        <v>274</v>
      </c>
      <c r="D919" t="s">
        <v>231</v>
      </c>
      <c r="E919">
        <v>153021573</v>
      </c>
      <c r="F919" t="s">
        <v>488</v>
      </c>
      <c r="G919" t="s">
        <v>489</v>
      </c>
      <c r="H919" t="s">
        <v>68</v>
      </c>
      <c r="I919" t="s">
        <v>334</v>
      </c>
      <c r="J919">
        <v>0</v>
      </c>
      <c r="L919" s="5">
        <v>0</v>
      </c>
      <c r="M919">
        <v>0</v>
      </c>
      <c r="N919" s="5">
        <v>0</v>
      </c>
      <c r="O919" s="5">
        <v>0</v>
      </c>
      <c r="P919">
        <v>4</v>
      </c>
      <c r="Q919" s="5">
        <v>1880</v>
      </c>
      <c r="R919" s="5">
        <v>3600.02</v>
      </c>
      <c r="S919" s="5">
        <v>470</v>
      </c>
    </row>
    <row r="920" spans="1:19">
      <c r="A920">
        <v>87</v>
      </c>
      <c r="B920" t="s">
        <v>273</v>
      </c>
      <c r="C920" t="s">
        <v>274</v>
      </c>
      <c r="D920" t="s">
        <v>231</v>
      </c>
      <c r="E920">
        <v>153021573</v>
      </c>
      <c r="F920" t="s">
        <v>488</v>
      </c>
      <c r="G920" t="s">
        <v>489</v>
      </c>
      <c r="H920" t="s">
        <v>68</v>
      </c>
      <c r="I920" t="s">
        <v>334</v>
      </c>
      <c r="J920">
        <v>0</v>
      </c>
      <c r="L920" s="5">
        <v>0</v>
      </c>
      <c r="M920">
        <v>0</v>
      </c>
      <c r="N920" s="5">
        <v>0</v>
      </c>
      <c r="O920" s="5">
        <v>0</v>
      </c>
      <c r="P920">
        <v>4</v>
      </c>
      <c r="Q920" s="5">
        <v>1880</v>
      </c>
      <c r="R920" s="5">
        <v>2118.04</v>
      </c>
      <c r="S920" s="5">
        <v>470</v>
      </c>
    </row>
    <row r="921" spans="1:19">
      <c r="A921">
        <v>87</v>
      </c>
      <c r="B921" t="s">
        <v>273</v>
      </c>
      <c r="C921" t="s">
        <v>274</v>
      </c>
      <c r="D921" t="s">
        <v>231</v>
      </c>
      <c r="E921">
        <v>153021573</v>
      </c>
      <c r="F921" t="s">
        <v>488</v>
      </c>
      <c r="G921" t="s">
        <v>489</v>
      </c>
      <c r="H921" t="s">
        <v>68</v>
      </c>
      <c r="I921" t="s">
        <v>334</v>
      </c>
      <c r="J921">
        <v>0</v>
      </c>
      <c r="L921" s="5">
        <v>0</v>
      </c>
      <c r="M921">
        <v>0</v>
      </c>
      <c r="N921" s="5">
        <v>0</v>
      </c>
      <c r="O921" s="5">
        <v>0</v>
      </c>
      <c r="P921">
        <v>4</v>
      </c>
      <c r="Q921" s="5">
        <v>1880</v>
      </c>
      <c r="R921" s="5">
        <v>1926.78</v>
      </c>
      <c r="S921" s="5">
        <v>470</v>
      </c>
    </row>
    <row r="922" spans="1:19">
      <c r="A922">
        <v>87</v>
      </c>
      <c r="B922" t="s">
        <v>273</v>
      </c>
      <c r="C922" t="s">
        <v>274</v>
      </c>
      <c r="D922" t="s">
        <v>231</v>
      </c>
      <c r="E922">
        <v>153021573</v>
      </c>
      <c r="F922" t="s">
        <v>488</v>
      </c>
      <c r="G922" t="s">
        <v>489</v>
      </c>
      <c r="H922" t="s">
        <v>68</v>
      </c>
      <c r="I922" t="s">
        <v>334</v>
      </c>
      <c r="J922">
        <v>0</v>
      </c>
      <c r="L922" s="5">
        <v>0</v>
      </c>
      <c r="M922">
        <v>0</v>
      </c>
      <c r="N922" s="5">
        <v>0</v>
      </c>
      <c r="O922" s="5">
        <v>0</v>
      </c>
      <c r="P922">
        <v>4</v>
      </c>
      <c r="Q922" s="5">
        <v>1880</v>
      </c>
      <c r="R922" s="5">
        <v>2078.89</v>
      </c>
      <c r="S922" s="5">
        <v>470</v>
      </c>
    </row>
    <row r="923" spans="1:19">
      <c r="A923">
        <v>87</v>
      </c>
      <c r="B923" t="s">
        <v>273</v>
      </c>
      <c r="C923" t="s">
        <v>274</v>
      </c>
      <c r="D923" t="s">
        <v>231</v>
      </c>
      <c r="E923">
        <v>153021573</v>
      </c>
      <c r="F923" t="s">
        <v>488</v>
      </c>
      <c r="G923" t="s">
        <v>489</v>
      </c>
      <c r="H923" t="s">
        <v>68</v>
      </c>
      <c r="I923" t="s">
        <v>336</v>
      </c>
      <c r="J923">
        <v>0</v>
      </c>
      <c r="L923" s="5">
        <v>0</v>
      </c>
      <c r="M923">
        <v>0</v>
      </c>
      <c r="N923" s="5">
        <v>0</v>
      </c>
      <c r="O923" s="5">
        <v>0</v>
      </c>
      <c r="P923">
        <v>4</v>
      </c>
      <c r="Q923" s="5">
        <v>1835.04</v>
      </c>
      <c r="R923" s="5">
        <v>2056.61</v>
      </c>
      <c r="S923" s="5">
        <v>458.76</v>
      </c>
    </row>
    <row r="924" spans="1:19">
      <c r="A924">
        <v>87</v>
      </c>
      <c r="B924" t="s">
        <v>273</v>
      </c>
      <c r="C924" t="s">
        <v>274</v>
      </c>
      <c r="D924" t="s">
        <v>231</v>
      </c>
      <c r="E924">
        <v>153021573</v>
      </c>
      <c r="F924" t="s">
        <v>488</v>
      </c>
      <c r="G924" t="s">
        <v>489</v>
      </c>
      <c r="H924" t="s">
        <v>68</v>
      </c>
      <c r="I924" t="s">
        <v>337</v>
      </c>
      <c r="J924">
        <v>0</v>
      </c>
      <c r="L924" s="5">
        <v>0</v>
      </c>
      <c r="M924">
        <v>0</v>
      </c>
      <c r="N924" s="5">
        <v>0</v>
      </c>
      <c r="O924" s="5">
        <v>0</v>
      </c>
      <c r="P924">
        <v>2</v>
      </c>
      <c r="Q924" s="5">
        <v>916.7</v>
      </c>
      <c r="R924" s="5">
        <v>650.36</v>
      </c>
      <c r="S924" s="5">
        <v>458.35</v>
      </c>
    </row>
    <row r="925" spans="1:19">
      <c r="A925">
        <v>87</v>
      </c>
      <c r="B925" t="s">
        <v>273</v>
      </c>
      <c r="C925" t="s">
        <v>274</v>
      </c>
      <c r="D925" t="s">
        <v>231</v>
      </c>
      <c r="E925">
        <v>153021573</v>
      </c>
      <c r="F925" t="s">
        <v>488</v>
      </c>
      <c r="G925" t="s">
        <v>489</v>
      </c>
      <c r="H925" t="s">
        <v>68</v>
      </c>
      <c r="I925" t="s">
        <v>337</v>
      </c>
      <c r="J925">
        <v>0</v>
      </c>
      <c r="L925" s="5">
        <v>0</v>
      </c>
      <c r="M925">
        <v>0</v>
      </c>
      <c r="N925" s="5">
        <v>0</v>
      </c>
      <c r="O925" s="5">
        <v>0</v>
      </c>
      <c r="P925">
        <v>2</v>
      </c>
      <c r="Q925" s="5">
        <v>916.7</v>
      </c>
      <c r="R925" s="5">
        <v>835.19</v>
      </c>
      <c r="S925" s="5">
        <v>458.35</v>
      </c>
    </row>
    <row r="926" spans="1:19">
      <c r="A926">
        <v>87</v>
      </c>
      <c r="B926" t="s">
        <v>273</v>
      </c>
      <c r="C926" t="s">
        <v>274</v>
      </c>
      <c r="D926" t="s">
        <v>231</v>
      </c>
      <c r="E926">
        <v>153021573</v>
      </c>
      <c r="F926" t="s">
        <v>488</v>
      </c>
      <c r="G926" t="s">
        <v>489</v>
      </c>
      <c r="H926" t="s">
        <v>68</v>
      </c>
      <c r="I926" t="s">
        <v>334</v>
      </c>
      <c r="J926">
        <v>0</v>
      </c>
      <c r="L926" s="5">
        <v>0</v>
      </c>
      <c r="M926">
        <v>0</v>
      </c>
      <c r="N926" s="5">
        <v>0</v>
      </c>
      <c r="O926" s="5">
        <v>0</v>
      </c>
      <c r="P926">
        <v>4</v>
      </c>
      <c r="Q926" s="5">
        <v>1880</v>
      </c>
      <c r="R926" s="5">
        <v>3447.91</v>
      </c>
      <c r="S926" s="5">
        <v>470</v>
      </c>
    </row>
    <row r="927" spans="1:19">
      <c r="A927">
        <v>87</v>
      </c>
      <c r="B927" t="s">
        <v>273</v>
      </c>
      <c r="C927" t="s">
        <v>274</v>
      </c>
      <c r="D927" t="s">
        <v>231</v>
      </c>
      <c r="E927">
        <v>153021573</v>
      </c>
      <c r="F927" t="s">
        <v>488</v>
      </c>
      <c r="G927" t="s">
        <v>489</v>
      </c>
      <c r="H927" t="s">
        <v>68</v>
      </c>
      <c r="I927" t="s">
        <v>334</v>
      </c>
      <c r="J927">
        <v>0</v>
      </c>
      <c r="L927" s="5">
        <v>0</v>
      </c>
      <c r="M927">
        <v>0</v>
      </c>
      <c r="N927" s="5">
        <v>0</v>
      </c>
      <c r="O927" s="5">
        <v>0</v>
      </c>
      <c r="P927">
        <v>4</v>
      </c>
      <c r="Q927" s="5">
        <v>1880</v>
      </c>
      <c r="R927" s="5">
        <v>2383.12</v>
      </c>
      <c r="S927" s="5">
        <v>470</v>
      </c>
    </row>
    <row r="928" spans="1:19">
      <c r="A928">
        <v>90</v>
      </c>
      <c r="B928" t="s">
        <v>284</v>
      </c>
      <c r="C928" t="s">
        <v>285</v>
      </c>
      <c r="D928" t="s">
        <v>281</v>
      </c>
      <c r="E928">
        <v>153021573</v>
      </c>
      <c r="F928" t="s">
        <v>490</v>
      </c>
      <c r="G928" t="s">
        <v>491</v>
      </c>
      <c r="H928" t="s">
        <v>355</v>
      </c>
      <c r="I928" t="s">
        <v>333</v>
      </c>
      <c r="J928">
        <v>0</v>
      </c>
      <c r="L928" s="5">
        <v>0</v>
      </c>
      <c r="M928">
        <v>0</v>
      </c>
      <c r="N928" s="5">
        <v>0</v>
      </c>
      <c r="O928" s="5">
        <v>0</v>
      </c>
      <c r="P928">
        <v>4</v>
      </c>
      <c r="Q928" s="5">
        <v>1800</v>
      </c>
      <c r="R928" s="5">
        <v>1545.92</v>
      </c>
      <c r="S928" s="5">
        <v>450</v>
      </c>
    </row>
    <row r="929" spans="1:19">
      <c r="A929">
        <v>90</v>
      </c>
      <c r="B929" t="s">
        <v>284</v>
      </c>
      <c r="C929" t="s">
        <v>285</v>
      </c>
      <c r="D929" t="s">
        <v>281</v>
      </c>
      <c r="E929">
        <v>153021196</v>
      </c>
      <c r="F929" t="s">
        <v>490</v>
      </c>
      <c r="G929" t="s">
        <v>491</v>
      </c>
      <c r="H929" t="s">
        <v>355</v>
      </c>
      <c r="I929" t="s">
        <v>335</v>
      </c>
      <c r="J929">
        <v>0</v>
      </c>
      <c r="L929" s="5">
        <v>0</v>
      </c>
      <c r="M929">
        <v>0</v>
      </c>
      <c r="N929" s="5">
        <v>0</v>
      </c>
      <c r="O929" s="5">
        <v>0</v>
      </c>
      <c r="P929">
        <v>4</v>
      </c>
      <c r="Q929" s="5">
        <v>2678</v>
      </c>
      <c r="R929" s="5">
        <v>0</v>
      </c>
      <c r="S929" s="5">
        <v>669.5</v>
      </c>
    </row>
    <row r="930" spans="1:19">
      <c r="A930">
        <v>90</v>
      </c>
      <c r="B930" t="s">
        <v>284</v>
      </c>
      <c r="C930" t="s">
        <v>285</v>
      </c>
      <c r="D930" t="s">
        <v>281</v>
      </c>
      <c r="E930">
        <v>153021196</v>
      </c>
      <c r="F930" t="s">
        <v>490</v>
      </c>
      <c r="G930" t="s">
        <v>491</v>
      </c>
      <c r="H930" t="s">
        <v>355</v>
      </c>
      <c r="I930" t="s">
        <v>333</v>
      </c>
      <c r="J930">
        <v>0</v>
      </c>
      <c r="L930" s="5">
        <v>0</v>
      </c>
      <c r="M930">
        <v>0</v>
      </c>
      <c r="N930" s="5">
        <v>0</v>
      </c>
      <c r="O930" s="5">
        <v>0</v>
      </c>
      <c r="P930">
        <v>4</v>
      </c>
      <c r="Q930" s="5">
        <v>1800</v>
      </c>
      <c r="R930" s="5">
        <v>862.4</v>
      </c>
      <c r="S930" s="5">
        <v>450</v>
      </c>
    </row>
    <row r="931" spans="1:19">
      <c r="A931">
        <v>90</v>
      </c>
      <c r="B931" t="s">
        <v>284</v>
      </c>
      <c r="C931" t="s">
        <v>285</v>
      </c>
      <c r="D931" t="s">
        <v>281</v>
      </c>
      <c r="E931">
        <v>153021196</v>
      </c>
      <c r="F931" t="s">
        <v>490</v>
      </c>
      <c r="G931" t="s">
        <v>491</v>
      </c>
      <c r="H931" t="s">
        <v>355</v>
      </c>
      <c r="I931" t="s">
        <v>333</v>
      </c>
      <c r="J931">
        <v>0</v>
      </c>
      <c r="L931" s="5">
        <v>0</v>
      </c>
      <c r="M931">
        <v>0</v>
      </c>
      <c r="N931" s="5">
        <v>0</v>
      </c>
      <c r="O931" s="5">
        <v>0</v>
      </c>
      <c r="P931">
        <v>4</v>
      </c>
      <c r="Q931" s="5">
        <v>2020</v>
      </c>
      <c r="R931" s="5">
        <v>1247.93</v>
      </c>
      <c r="S931" s="5">
        <v>505</v>
      </c>
    </row>
    <row r="932" spans="1:19">
      <c r="A932">
        <v>90</v>
      </c>
      <c r="B932" t="s">
        <v>284</v>
      </c>
      <c r="C932" t="s">
        <v>285</v>
      </c>
      <c r="D932" t="s">
        <v>281</v>
      </c>
      <c r="E932">
        <v>153021196</v>
      </c>
      <c r="F932" t="s">
        <v>490</v>
      </c>
      <c r="G932" t="s">
        <v>491</v>
      </c>
      <c r="H932" t="s">
        <v>355</v>
      </c>
      <c r="I932" t="s">
        <v>333</v>
      </c>
      <c r="J932">
        <v>0</v>
      </c>
      <c r="L932" s="5">
        <v>0</v>
      </c>
      <c r="M932">
        <v>0</v>
      </c>
      <c r="N932" s="5">
        <v>0</v>
      </c>
      <c r="O932" s="5">
        <v>0</v>
      </c>
      <c r="P932">
        <v>4</v>
      </c>
      <c r="Q932" s="5">
        <v>2020</v>
      </c>
      <c r="R932" s="5">
        <v>2085.5500000000002</v>
      </c>
      <c r="S932" s="5">
        <v>505</v>
      </c>
    </row>
    <row r="933" spans="1:19">
      <c r="A933">
        <v>90</v>
      </c>
      <c r="B933" t="s">
        <v>284</v>
      </c>
      <c r="C933" t="s">
        <v>285</v>
      </c>
      <c r="D933" t="s">
        <v>281</v>
      </c>
      <c r="E933">
        <v>153021196</v>
      </c>
      <c r="F933" t="s">
        <v>490</v>
      </c>
      <c r="G933" t="s">
        <v>491</v>
      </c>
      <c r="H933" t="s">
        <v>355</v>
      </c>
      <c r="I933" t="s">
        <v>337</v>
      </c>
      <c r="J933">
        <v>0</v>
      </c>
      <c r="L933" s="5">
        <v>0</v>
      </c>
      <c r="M933">
        <v>0</v>
      </c>
      <c r="N933" s="5">
        <v>0</v>
      </c>
      <c r="O933" s="5">
        <v>0</v>
      </c>
      <c r="P933">
        <v>4</v>
      </c>
      <c r="Q933" s="5">
        <v>2732.4</v>
      </c>
      <c r="R933" s="5">
        <v>0</v>
      </c>
      <c r="S933" s="5">
        <v>683.1</v>
      </c>
    </row>
    <row r="934" spans="1:19">
      <c r="A934">
        <v>90</v>
      </c>
      <c r="B934" t="s">
        <v>284</v>
      </c>
      <c r="C934" t="s">
        <v>285</v>
      </c>
      <c r="D934" t="s">
        <v>281</v>
      </c>
      <c r="E934">
        <v>153021196</v>
      </c>
      <c r="F934" t="s">
        <v>490</v>
      </c>
      <c r="G934" t="s">
        <v>491</v>
      </c>
      <c r="H934" t="s">
        <v>355</v>
      </c>
      <c r="I934" t="s">
        <v>336</v>
      </c>
      <c r="J934">
        <v>0</v>
      </c>
      <c r="L934" s="5">
        <v>0</v>
      </c>
      <c r="M934">
        <v>0</v>
      </c>
      <c r="N934" s="5">
        <v>0</v>
      </c>
      <c r="O934" s="5">
        <v>0</v>
      </c>
      <c r="P934">
        <v>2</v>
      </c>
      <c r="Q934" s="5">
        <v>1337.97</v>
      </c>
      <c r="R934" s="5">
        <v>1326.44</v>
      </c>
      <c r="S934" s="5">
        <v>668.98</v>
      </c>
    </row>
    <row r="935" spans="1:19">
      <c r="A935">
        <v>90</v>
      </c>
      <c r="B935" t="s">
        <v>284</v>
      </c>
      <c r="C935" t="s">
        <v>285</v>
      </c>
      <c r="D935" t="s">
        <v>281</v>
      </c>
      <c r="E935">
        <v>153021196</v>
      </c>
      <c r="F935" t="s">
        <v>490</v>
      </c>
      <c r="G935" t="s">
        <v>491</v>
      </c>
      <c r="H935" t="s">
        <v>355</v>
      </c>
      <c r="I935" t="s">
        <v>335</v>
      </c>
      <c r="J935">
        <v>0</v>
      </c>
      <c r="L935" s="5">
        <v>0</v>
      </c>
      <c r="M935">
        <v>0</v>
      </c>
      <c r="N935" s="5">
        <v>0</v>
      </c>
      <c r="O935" s="5">
        <v>0</v>
      </c>
      <c r="P935">
        <v>4</v>
      </c>
      <c r="Q935" s="5">
        <v>2568.7199999999998</v>
      </c>
      <c r="R935" s="5">
        <v>0</v>
      </c>
      <c r="S935" s="5">
        <v>642.17999999999995</v>
      </c>
    </row>
    <row r="936" spans="1:19">
      <c r="A936">
        <v>90</v>
      </c>
      <c r="B936" t="s">
        <v>284</v>
      </c>
      <c r="C936" t="s">
        <v>285</v>
      </c>
      <c r="D936" t="s">
        <v>281</v>
      </c>
      <c r="E936">
        <v>153021196</v>
      </c>
      <c r="F936" t="s">
        <v>490</v>
      </c>
      <c r="G936" t="s">
        <v>491</v>
      </c>
      <c r="H936" t="s">
        <v>355</v>
      </c>
      <c r="I936" t="s">
        <v>333</v>
      </c>
      <c r="J936">
        <v>0</v>
      </c>
      <c r="L936" s="5">
        <v>0</v>
      </c>
      <c r="M936">
        <v>0</v>
      </c>
      <c r="N936" s="5">
        <v>0</v>
      </c>
      <c r="O936" s="5">
        <v>0</v>
      </c>
      <c r="P936">
        <v>4</v>
      </c>
      <c r="Q936" s="5">
        <v>2020</v>
      </c>
      <c r="R936" s="5">
        <v>1137.73</v>
      </c>
      <c r="S936" s="5">
        <v>505</v>
      </c>
    </row>
    <row r="937" spans="1:19">
      <c r="A937">
        <v>90</v>
      </c>
      <c r="B937" t="s">
        <v>284</v>
      </c>
      <c r="C937" t="s">
        <v>285</v>
      </c>
      <c r="D937" t="s">
        <v>281</v>
      </c>
      <c r="E937">
        <v>153021196</v>
      </c>
      <c r="F937" t="s">
        <v>490</v>
      </c>
      <c r="G937" t="s">
        <v>491</v>
      </c>
      <c r="H937" t="s">
        <v>355</v>
      </c>
      <c r="I937" t="s">
        <v>333</v>
      </c>
      <c r="J937">
        <v>0</v>
      </c>
      <c r="L937" s="5">
        <v>0</v>
      </c>
      <c r="M937">
        <v>0</v>
      </c>
      <c r="N937" s="5">
        <v>0</v>
      </c>
      <c r="O937" s="5">
        <v>0</v>
      </c>
      <c r="P937">
        <v>4</v>
      </c>
      <c r="Q937" s="5">
        <v>3040.16</v>
      </c>
      <c r="R937" s="5">
        <v>0</v>
      </c>
      <c r="S937" s="5">
        <v>760.04</v>
      </c>
    </row>
    <row r="938" spans="1:19">
      <c r="A938">
        <v>90</v>
      </c>
      <c r="B938" t="s">
        <v>284</v>
      </c>
      <c r="C938" t="s">
        <v>285</v>
      </c>
      <c r="D938" t="s">
        <v>281</v>
      </c>
      <c r="E938">
        <v>153021196</v>
      </c>
      <c r="F938" t="s">
        <v>490</v>
      </c>
      <c r="G938" t="s">
        <v>491</v>
      </c>
      <c r="H938" t="s">
        <v>355</v>
      </c>
      <c r="I938" t="s">
        <v>333</v>
      </c>
      <c r="J938">
        <v>0</v>
      </c>
      <c r="L938" s="5">
        <v>0</v>
      </c>
      <c r="M938">
        <v>0</v>
      </c>
      <c r="N938" s="5">
        <v>0</v>
      </c>
      <c r="O938" s="5">
        <v>0</v>
      </c>
      <c r="P938">
        <v>4</v>
      </c>
      <c r="Q938" s="5">
        <v>3028.44</v>
      </c>
      <c r="R938" s="5">
        <v>0</v>
      </c>
      <c r="S938" s="5">
        <v>757.11</v>
      </c>
    </row>
    <row r="939" spans="1:19">
      <c r="A939">
        <v>90</v>
      </c>
      <c r="B939" t="s">
        <v>284</v>
      </c>
      <c r="C939" t="s">
        <v>285</v>
      </c>
      <c r="D939" t="s">
        <v>281</v>
      </c>
      <c r="E939">
        <v>153021196</v>
      </c>
      <c r="F939" t="s">
        <v>490</v>
      </c>
      <c r="G939" t="s">
        <v>491</v>
      </c>
      <c r="H939" t="s">
        <v>355</v>
      </c>
      <c r="I939" t="s">
        <v>333</v>
      </c>
      <c r="J939">
        <v>0</v>
      </c>
      <c r="L939" s="5">
        <v>0</v>
      </c>
      <c r="M939">
        <v>0</v>
      </c>
      <c r="N939" s="5">
        <v>0</v>
      </c>
      <c r="O939" s="5">
        <v>0</v>
      </c>
      <c r="P939">
        <v>4</v>
      </c>
      <c r="Q939" s="5">
        <v>2020</v>
      </c>
      <c r="R939" s="5">
        <v>1977.62</v>
      </c>
      <c r="S939" s="5">
        <v>505</v>
      </c>
    </row>
    <row r="940" spans="1:19">
      <c r="A940">
        <v>90</v>
      </c>
      <c r="B940" t="s">
        <v>284</v>
      </c>
      <c r="C940" t="s">
        <v>285</v>
      </c>
      <c r="D940" t="s">
        <v>281</v>
      </c>
      <c r="E940">
        <v>153021196</v>
      </c>
      <c r="F940" t="s">
        <v>490</v>
      </c>
      <c r="G940" t="s">
        <v>491</v>
      </c>
      <c r="H940" t="s">
        <v>355</v>
      </c>
      <c r="I940" t="s">
        <v>333</v>
      </c>
      <c r="J940">
        <v>0</v>
      </c>
      <c r="L940" s="5">
        <v>0</v>
      </c>
      <c r="M940">
        <v>0</v>
      </c>
      <c r="N940" s="5">
        <v>0</v>
      </c>
      <c r="O940" s="5">
        <v>0</v>
      </c>
      <c r="P940">
        <v>2</v>
      </c>
      <c r="Q940" s="5">
        <v>1512.06</v>
      </c>
      <c r="R940" s="5">
        <v>0</v>
      </c>
      <c r="S940" s="5">
        <v>756.03</v>
      </c>
    </row>
    <row r="941" spans="1:19">
      <c r="A941">
        <v>90</v>
      </c>
      <c r="B941" t="s">
        <v>284</v>
      </c>
      <c r="C941" t="s">
        <v>285</v>
      </c>
      <c r="D941" t="s">
        <v>281</v>
      </c>
      <c r="E941">
        <v>153021196</v>
      </c>
      <c r="F941" t="s">
        <v>490</v>
      </c>
      <c r="G941" t="s">
        <v>491</v>
      </c>
      <c r="H941" t="s">
        <v>355</v>
      </c>
      <c r="I941" t="s">
        <v>334</v>
      </c>
      <c r="J941">
        <v>0</v>
      </c>
      <c r="L941" s="5">
        <v>0</v>
      </c>
      <c r="M941">
        <v>0</v>
      </c>
      <c r="N941" s="5">
        <v>0</v>
      </c>
      <c r="O941" s="5">
        <v>0</v>
      </c>
      <c r="P941">
        <v>4</v>
      </c>
      <c r="Q941" s="5">
        <v>2480</v>
      </c>
      <c r="R941" s="5">
        <v>1284.07</v>
      </c>
      <c r="S941" s="5">
        <v>620</v>
      </c>
    </row>
    <row r="942" spans="1:19">
      <c r="A942">
        <v>90</v>
      </c>
      <c r="B942" t="s">
        <v>284</v>
      </c>
      <c r="C942" t="s">
        <v>285</v>
      </c>
      <c r="D942" t="s">
        <v>281</v>
      </c>
      <c r="E942">
        <v>153021196</v>
      </c>
      <c r="F942" t="s">
        <v>490</v>
      </c>
      <c r="G942" t="s">
        <v>491</v>
      </c>
      <c r="H942" t="s">
        <v>355</v>
      </c>
      <c r="I942" t="s">
        <v>337</v>
      </c>
      <c r="J942">
        <v>0</v>
      </c>
      <c r="L942" s="5">
        <v>0</v>
      </c>
      <c r="M942">
        <v>0</v>
      </c>
      <c r="N942" s="5">
        <v>0</v>
      </c>
      <c r="O942" s="5">
        <v>0</v>
      </c>
      <c r="P942">
        <v>2</v>
      </c>
      <c r="Q942" s="5">
        <v>1342.64</v>
      </c>
      <c r="R942" s="5">
        <v>0</v>
      </c>
      <c r="S942" s="5">
        <v>671.32</v>
      </c>
    </row>
    <row r="943" spans="1:19">
      <c r="A943">
        <v>90</v>
      </c>
      <c r="B943" t="s">
        <v>284</v>
      </c>
      <c r="C943" t="s">
        <v>285</v>
      </c>
      <c r="D943" t="s">
        <v>281</v>
      </c>
      <c r="E943">
        <v>153021196</v>
      </c>
      <c r="F943" t="s">
        <v>490</v>
      </c>
      <c r="G943" t="s">
        <v>491</v>
      </c>
      <c r="H943" t="s">
        <v>355</v>
      </c>
      <c r="I943" t="s">
        <v>334</v>
      </c>
      <c r="J943">
        <v>0</v>
      </c>
      <c r="L943" s="5">
        <v>0</v>
      </c>
      <c r="M943">
        <v>0</v>
      </c>
      <c r="N943" s="5">
        <v>0</v>
      </c>
      <c r="O943" s="5">
        <v>0</v>
      </c>
      <c r="P943">
        <v>4</v>
      </c>
      <c r="Q943" s="5">
        <v>2480</v>
      </c>
      <c r="R943" s="5">
        <v>1946.41</v>
      </c>
      <c r="S943" s="5">
        <v>620</v>
      </c>
    </row>
    <row r="944" spans="1:19">
      <c r="A944">
        <v>90</v>
      </c>
      <c r="B944" t="s">
        <v>284</v>
      </c>
      <c r="C944" t="s">
        <v>285</v>
      </c>
      <c r="D944" t="s">
        <v>281</v>
      </c>
      <c r="E944">
        <v>153021196</v>
      </c>
      <c r="F944" t="s">
        <v>490</v>
      </c>
      <c r="G944" t="s">
        <v>491</v>
      </c>
      <c r="H944" t="s">
        <v>355</v>
      </c>
      <c r="I944" t="s">
        <v>333</v>
      </c>
      <c r="J944">
        <v>0</v>
      </c>
      <c r="L944" s="5">
        <v>0</v>
      </c>
      <c r="M944">
        <v>0</v>
      </c>
      <c r="N944" s="5">
        <v>0</v>
      </c>
      <c r="O944" s="5">
        <v>0</v>
      </c>
      <c r="P944">
        <v>4</v>
      </c>
      <c r="Q944" s="5">
        <v>2020</v>
      </c>
      <c r="R944" s="5">
        <v>1653.85</v>
      </c>
      <c r="S944" s="5">
        <v>505</v>
      </c>
    </row>
    <row r="945" spans="1:19">
      <c r="A945">
        <v>90</v>
      </c>
      <c r="B945" t="s">
        <v>284</v>
      </c>
      <c r="C945" t="s">
        <v>285</v>
      </c>
      <c r="D945" t="s">
        <v>281</v>
      </c>
      <c r="E945">
        <v>153021196</v>
      </c>
      <c r="F945" t="s">
        <v>490</v>
      </c>
      <c r="G945" t="s">
        <v>491</v>
      </c>
      <c r="H945" t="s">
        <v>355</v>
      </c>
      <c r="I945" t="s">
        <v>334</v>
      </c>
      <c r="J945">
        <v>0</v>
      </c>
      <c r="L945" s="5">
        <v>0</v>
      </c>
      <c r="M945">
        <v>0</v>
      </c>
      <c r="N945" s="5">
        <v>0</v>
      </c>
      <c r="O945" s="5">
        <v>0</v>
      </c>
      <c r="P945">
        <v>4</v>
      </c>
      <c r="Q945" s="5">
        <v>2480</v>
      </c>
      <c r="R945" s="5">
        <v>1810.54</v>
      </c>
      <c r="S945" s="5">
        <v>620</v>
      </c>
    </row>
    <row r="946" spans="1:19">
      <c r="A946">
        <v>89</v>
      </c>
      <c r="B946" t="s">
        <v>279</v>
      </c>
      <c r="C946" t="s">
        <v>280</v>
      </c>
      <c r="D946" t="s">
        <v>281</v>
      </c>
      <c r="E946">
        <v>153021196</v>
      </c>
      <c r="F946" t="s">
        <v>492</v>
      </c>
      <c r="G946" t="s">
        <v>493</v>
      </c>
      <c r="H946" t="s">
        <v>171</v>
      </c>
      <c r="I946" t="s">
        <v>334</v>
      </c>
      <c r="J946">
        <v>0</v>
      </c>
      <c r="L946" s="5">
        <v>0</v>
      </c>
      <c r="M946">
        <v>0</v>
      </c>
      <c r="N946" s="5">
        <v>0</v>
      </c>
      <c r="O946" s="5">
        <v>0</v>
      </c>
      <c r="P946">
        <v>4</v>
      </c>
      <c r="Q946" s="5">
        <v>3040</v>
      </c>
      <c r="R946" s="5">
        <v>1502.52</v>
      </c>
      <c r="S946" s="5">
        <v>760</v>
      </c>
    </row>
    <row r="947" spans="1:19">
      <c r="A947">
        <v>89</v>
      </c>
      <c r="B947" t="s">
        <v>279</v>
      </c>
      <c r="C947" t="s">
        <v>280</v>
      </c>
      <c r="D947" t="s">
        <v>281</v>
      </c>
      <c r="E947">
        <v>153023863</v>
      </c>
      <c r="F947" t="s">
        <v>492</v>
      </c>
      <c r="G947" t="s">
        <v>493</v>
      </c>
      <c r="H947" t="s">
        <v>171</v>
      </c>
      <c r="I947" t="s">
        <v>334</v>
      </c>
      <c r="J947">
        <v>0</v>
      </c>
      <c r="L947" s="5">
        <v>0</v>
      </c>
      <c r="M947">
        <v>0</v>
      </c>
      <c r="N947" s="5">
        <v>0</v>
      </c>
      <c r="O947" s="5">
        <v>0</v>
      </c>
      <c r="P947">
        <v>4</v>
      </c>
      <c r="Q947" s="5">
        <v>3040</v>
      </c>
      <c r="R947" s="5">
        <v>2595.9899999999998</v>
      </c>
      <c r="S947" s="5">
        <v>760</v>
      </c>
    </row>
    <row r="948" spans="1:19">
      <c r="A948">
        <v>89</v>
      </c>
      <c r="B948" t="s">
        <v>279</v>
      </c>
      <c r="C948" t="s">
        <v>280</v>
      </c>
      <c r="D948" t="s">
        <v>281</v>
      </c>
      <c r="E948">
        <v>153023863</v>
      </c>
      <c r="F948" t="s">
        <v>492</v>
      </c>
      <c r="G948" t="s">
        <v>493</v>
      </c>
      <c r="H948" t="s">
        <v>171</v>
      </c>
      <c r="I948" t="s">
        <v>334</v>
      </c>
      <c r="J948">
        <v>0</v>
      </c>
      <c r="L948" s="5">
        <v>0</v>
      </c>
      <c r="M948">
        <v>0</v>
      </c>
      <c r="N948" s="5">
        <v>0</v>
      </c>
      <c r="O948" s="5">
        <v>0</v>
      </c>
      <c r="P948">
        <v>4</v>
      </c>
      <c r="Q948" s="5">
        <v>3040</v>
      </c>
      <c r="R948" s="5">
        <v>2322.62</v>
      </c>
      <c r="S948" s="5">
        <v>760</v>
      </c>
    </row>
    <row r="949" spans="1:19">
      <c r="A949">
        <v>89</v>
      </c>
      <c r="B949" t="s">
        <v>279</v>
      </c>
      <c r="C949" t="s">
        <v>280</v>
      </c>
      <c r="D949" t="s">
        <v>281</v>
      </c>
      <c r="E949">
        <v>153023863</v>
      </c>
      <c r="F949" t="s">
        <v>492</v>
      </c>
      <c r="G949" t="s">
        <v>493</v>
      </c>
      <c r="H949" t="s">
        <v>171</v>
      </c>
      <c r="I949" t="s">
        <v>337</v>
      </c>
      <c r="J949">
        <v>0</v>
      </c>
      <c r="L949" s="5">
        <v>0</v>
      </c>
      <c r="M949">
        <v>0</v>
      </c>
      <c r="N949" s="5">
        <v>0</v>
      </c>
      <c r="O949" s="5">
        <v>0</v>
      </c>
      <c r="P949">
        <v>4</v>
      </c>
      <c r="Q949" s="5">
        <v>1160</v>
      </c>
      <c r="R949" s="5">
        <v>1677.26</v>
      </c>
      <c r="S949" s="5">
        <v>290</v>
      </c>
    </row>
    <row r="950" spans="1:19">
      <c r="A950">
        <v>89</v>
      </c>
      <c r="B950" t="s">
        <v>279</v>
      </c>
      <c r="C950" t="s">
        <v>280</v>
      </c>
      <c r="D950" t="s">
        <v>281</v>
      </c>
      <c r="E950">
        <v>153023863</v>
      </c>
      <c r="F950" t="s">
        <v>492</v>
      </c>
      <c r="G950" t="s">
        <v>493</v>
      </c>
      <c r="H950" t="s">
        <v>171</v>
      </c>
      <c r="I950" t="s">
        <v>334</v>
      </c>
      <c r="J950">
        <v>0</v>
      </c>
      <c r="L950" s="5">
        <v>0</v>
      </c>
      <c r="M950">
        <v>0</v>
      </c>
      <c r="N950" s="5">
        <v>0</v>
      </c>
      <c r="O950" s="5">
        <v>0</v>
      </c>
      <c r="P950">
        <v>4</v>
      </c>
      <c r="Q950" s="5">
        <v>3040</v>
      </c>
      <c r="R950" s="5">
        <v>3244.62</v>
      </c>
      <c r="S950" s="5">
        <v>760</v>
      </c>
    </row>
    <row r="951" spans="1:19">
      <c r="A951">
        <v>89</v>
      </c>
      <c r="B951" t="s">
        <v>279</v>
      </c>
      <c r="C951" t="s">
        <v>280</v>
      </c>
      <c r="D951" t="s">
        <v>281</v>
      </c>
      <c r="E951">
        <v>153023863</v>
      </c>
      <c r="F951" t="s">
        <v>492</v>
      </c>
      <c r="G951" t="s">
        <v>493</v>
      </c>
      <c r="H951" t="s">
        <v>171</v>
      </c>
      <c r="I951" t="s">
        <v>334</v>
      </c>
      <c r="J951">
        <v>0</v>
      </c>
      <c r="L951" s="5">
        <v>0</v>
      </c>
      <c r="M951">
        <v>0</v>
      </c>
      <c r="N951" s="5">
        <v>0</v>
      </c>
      <c r="O951" s="5">
        <v>0</v>
      </c>
      <c r="P951">
        <v>4</v>
      </c>
      <c r="Q951" s="5">
        <v>3040</v>
      </c>
      <c r="R951" s="5">
        <v>4596.96</v>
      </c>
      <c r="S951" s="5">
        <v>760</v>
      </c>
    </row>
    <row r="952" spans="1:19">
      <c r="A952">
        <v>89</v>
      </c>
      <c r="B952" t="s">
        <v>279</v>
      </c>
      <c r="C952" t="s">
        <v>280</v>
      </c>
      <c r="D952" t="s">
        <v>281</v>
      </c>
      <c r="E952">
        <v>153023863</v>
      </c>
      <c r="F952" t="s">
        <v>492</v>
      </c>
      <c r="G952" t="s">
        <v>493</v>
      </c>
      <c r="H952" t="s">
        <v>171</v>
      </c>
      <c r="I952" t="s">
        <v>334</v>
      </c>
      <c r="J952">
        <v>0</v>
      </c>
      <c r="L952" s="5">
        <v>0</v>
      </c>
      <c r="M952">
        <v>0</v>
      </c>
      <c r="N952" s="5">
        <v>0</v>
      </c>
      <c r="O952" s="5">
        <v>0</v>
      </c>
      <c r="P952">
        <v>4</v>
      </c>
      <c r="Q952" s="5">
        <v>3040</v>
      </c>
      <c r="R952" s="5">
        <v>4326.49</v>
      </c>
      <c r="S952" s="5">
        <v>760</v>
      </c>
    </row>
    <row r="953" spans="1:19">
      <c r="A953">
        <v>89</v>
      </c>
      <c r="B953" t="s">
        <v>279</v>
      </c>
      <c r="C953" t="s">
        <v>280</v>
      </c>
      <c r="D953" t="s">
        <v>281</v>
      </c>
      <c r="E953">
        <v>153023863</v>
      </c>
      <c r="F953" t="s">
        <v>492</v>
      </c>
      <c r="G953" t="s">
        <v>493</v>
      </c>
      <c r="H953" t="s">
        <v>171</v>
      </c>
      <c r="I953" t="s">
        <v>334</v>
      </c>
      <c r="J953">
        <v>0</v>
      </c>
      <c r="L953" s="5">
        <v>0</v>
      </c>
      <c r="M953">
        <v>0</v>
      </c>
      <c r="N953" s="5">
        <v>0</v>
      </c>
      <c r="O953" s="5">
        <v>0</v>
      </c>
      <c r="P953">
        <v>4</v>
      </c>
      <c r="Q953" s="5">
        <v>3040</v>
      </c>
      <c r="R953" s="5">
        <v>4056.02</v>
      </c>
      <c r="S953" s="5">
        <v>760</v>
      </c>
    </row>
    <row r="954" spans="1:19">
      <c r="A954">
        <v>89</v>
      </c>
      <c r="B954" t="s">
        <v>279</v>
      </c>
      <c r="C954" t="s">
        <v>280</v>
      </c>
      <c r="D954" t="s">
        <v>281</v>
      </c>
      <c r="E954">
        <v>153023863</v>
      </c>
      <c r="F954" t="s">
        <v>492</v>
      </c>
      <c r="G954" t="s">
        <v>493</v>
      </c>
      <c r="H954" t="s">
        <v>171</v>
      </c>
      <c r="I954" t="s">
        <v>334</v>
      </c>
      <c r="J954">
        <v>0</v>
      </c>
      <c r="L954" s="5">
        <v>0</v>
      </c>
      <c r="M954">
        <v>0</v>
      </c>
      <c r="N954" s="5">
        <v>0</v>
      </c>
      <c r="O954" s="5">
        <v>0</v>
      </c>
      <c r="P954">
        <v>4</v>
      </c>
      <c r="Q954" s="5">
        <v>3040</v>
      </c>
      <c r="R954" s="5">
        <v>4867.42</v>
      </c>
      <c r="S954" s="5">
        <v>760</v>
      </c>
    </row>
    <row r="955" spans="1:19">
      <c r="A955">
        <v>89</v>
      </c>
      <c r="B955" t="s">
        <v>279</v>
      </c>
      <c r="C955" t="s">
        <v>280</v>
      </c>
      <c r="D955" t="s">
        <v>281</v>
      </c>
      <c r="E955">
        <v>153023863</v>
      </c>
      <c r="F955" t="s">
        <v>492</v>
      </c>
      <c r="G955" t="s">
        <v>493</v>
      </c>
      <c r="H955" t="s">
        <v>171</v>
      </c>
      <c r="I955" t="s">
        <v>334</v>
      </c>
      <c r="J955">
        <v>0</v>
      </c>
      <c r="L955" s="5">
        <v>0</v>
      </c>
      <c r="M955">
        <v>0</v>
      </c>
      <c r="N955" s="5">
        <v>0</v>
      </c>
      <c r="O955" s="5">
        <v>0</v>
      </c>
      <c r="P955">
        <v>4</v>
      </c>
      <c r="Q955" s="5">
        <v>3040</v>
      </c>
      <c r="R955" s="5">
        <v>2974.15</v>
      </c>
      <c r="S955" s="5">
        <v>760</v>
      </c>
    </row>
    <row r="956" spans="1:19">
      <c r="A956">
        <v>89</v>
      </c>
      <c r="B956" t="s">
        <v>279</v>
      </c>
      <c r="C956" t="s">
        <v>280</v>
      </c>
      <c r="D956" t="s">
        <v>281</v>
      </c>
      <c r="E956">
        <v>153023863</v>
      </c>
      <c r="F956" t="s">
        <v>492</v>
      </c>
      <c r="G956" t="s">
        <v>493</v>
      </c>
      <c r="H956" t="s">
        <v>171</v>
      </c>
      <c r="I956" t="s">
        <v>337</v>
      </c>
      <c r="J956">
        <v>0</v>
      </c>
      <c r="L956" s="5">
        <v>0</v>
      </c>
      <c r="M956">
        <v>0</v>
      </c>
      <c r="N956" s="5">
        <v>0</v>
      </c>
      <c r="O956" s="5">
        <v>0</v>
      </c>
      <c r="P956">
        <v>4</v>
      </c>
      <c r="Q956" s="5">
        <v>560</v>
      </c>
      <c r="R956" s="5">
        <v>1095.03</v>
      </c>
      <c r="S956" s="5">
        <v>140</v>
      </c>
    </row>
    <row r="957" spans="1:19">
      <c r="A957">
        <v>91</v>
      </c>
      <c r="B957" t="s">
        <v>287</v>
      </c>
      <c r="C957" t="s">
        <v>288</v>
      </c>
      <c r="D957" t="s">
        <v>281</v>
      </c>
      <c r="E957">
        <v>153023863</v>
      </c>
      <c r="F957" t="s">
        <v>494</v>
      </c>
      <c r="G957" t="s">
        <v>495</v>
      </c>
      <c r="H957" t="s">
        <v>91</v>
      </c>
      <c r="I957" t="s">
        <v>333</v>
      </c>
      <c r="J957">
        <v>0</v>
      </c>
      <c r="L957" s="5">
        <v>0</v>
      </c>
      <c r="M957">
        <v>0</v>
      </c>
      <c r="N957" s="5">
        <v>0</v>
      </c>
      <c r="O957" s="5">
        <v>0</v>
      </c>
      <c r="P957">
        <v>4</v>
      </c>
      <c r="Q957" s="5">
        <v>3140</v>
      </c>
      <c r="R957" s="5">
        <v>5067.83</v>
      </c>
      <c r="S957" s="5">
        <v>785</v>
      </c>
    </row>
    <row r="958" spans="1:19">
      <c r="A958">
        <v>91</v>
      </c>
      <c r="B958" t="s">
        <v>287</v>
      </c>
      <c r="C958" t="s">
        <v>288</v>
      </c>
      <c r="D958" t="s">
        <v>281</v>
      </c>
      <c r="E958">
        <v>153023886</v>
      </c>
      <c r="F958" t="s">
        <v>494</v>
      </c>
      <c r="G958" t="s">
        <v>495</v>
      </c>
      <c r="H958" t="s">
        <v>91</v>
      </c>
      <c r="I958" t="s">
        <v>334</v>
      </c>
      <c r="J958">
        <v>0</v>
      </c>
      <c r="L958" s="5">
        <v>0</v>
      </c>
      <c r="M958">
        <v>0</v>
      </c>
      <c r="N958" s="5">
        <v>0</v>
      </c>
      <c r="O958" s="5">
        <v>0</v>
      </c>
      <c r="P958">
        <v>4</v>
      </c>
      <c r="Q958" s="5">
        <v>3920</v>
      </c>
      <c r="R958" s="5">
        <v>4238.3</v>
      </c>
      <c r="S958" s="5">
        <v>980</v>
      </c>
    </row>
    <row r="959" spans="1:19">
      <c r="A959">
        <v>91</v>
      </c>
      <c r="B959" t="s">
        <v>287</v>
      </c>
      <c r="C959" t="s">
        <v>288</v>
      </c>
      <c r="D959" t="s">
        <v>281</v>
      </c>
      <c r="E959">
        <v>153023886</v>
      </c>
      <c r="F959" t="s">
        <v>494</v>
      </c>
      <c r="G959" t="s">
        <v>495</v>
      </c>
      <c r="H959" t="s">
        <v>91</v>
      </c>
      <c r="I959" t="s">
        <v>337</v>
      </c>
      <c r="J959">
        <v>0</v>
      </c>
      <c r="L959" s="5">
        <v>0</v>
      </c>
      <c r="M959">
        <v>0</v>
      </c>
      <c r="N959" s="5">
        <v>0</v>
      </c>
      <c r="O959" s="5">
        <v>0</v>
      </c>
      <c r="P959">
        <v>4</v>
      </c>
      <c r="Q959" s="5">
        <v>1460</v>
      </c>
      <c r="R959" s="5">
        <v>2257.1999999999998</v>
      </c>
      <c r="S959" s="5">
        <v>365</v>
      </c>
    </row>
    <row r="960" spans="1:19">
      <c r="A960">
        <v>91</v>
      </c>
      <c r="B960" t="s">
        <v>287</v>
      </c>
      <c r="C960" t="s">
        <v>288</v>
      </c>
      <c r="D960" t="s">
        <v>281</v>
      </c>
      <c r="E960">
        <v>153023886</v>
      </c>
      <c r="F960" t="s">
        <v>494</v>
      </c>
      <c r="G960" t="s">
        <v>495</v>
      </c>
      <c r="H960" t="s">
        <v>91</v>
      </c>
      <c r="I960" t="s">
        <v>333</v>
      </c>
      <c r="J960">
        <v>0</v>
      </c>
      <c r="L960" s="5">
        <v>0</v>
      </c>
      <c r="M960">
        <v>0</v>
      </c>
      <c r="N960" s="5">
        <v>0</v>
      </c>
      <c r="O960" s="5">
        <v>0</v>
      </c>
      <c r="P960">
        <v>4</v>
      </c>
      <c r="Q960" s="5">
        <v>3140</v>
      </c>
      <c r="R960" s="5">
        <v>4054.26</v>
      </c>
      <c r="S960" s="5">
        <v>785</v>
      </c>
    </row>
    <row r="961" spans="1:19">
      <c r="A961">
        <v>91</v>
      </c>
      <c r="B961" t="s">
        <v>287</v>
      </c>
      <c r="C961" t="s">
        <v>288</v>
      </c>
      <c r="D961" t="s">
        <v>281</v>
      </c>
      <c r="E961">
        <v>153023886</v>
      </c>
      <c r="F961" t="s">
        <v>494</v>
      </c>
      <c r="G961" t="s">
        <v>495</v>
      </c>
      <c r="H961" t="s">
        <v>91</v>
      </c>
      <c r="I961" t="s">
        <v>333</v>
      </c>
      <c r="J961">
        <v>0</v>
      </c>
      <c r="L961" s="5">
        <v>0</v>
      </c>
      <c r="M961">
        <v>0</v>
      </c>
      <c r="N961" s="5">
        <v>0</v>
      </c>
      <c r="O961" s="5">
        <v>0</v>
      </c>
      <c r="P961">
        <v>4</v>
      </c>
      <c r="Q961" s="5">
        <v>3140</v>
      </c>
      <c r="R961" s="5">
        <v>1228.5899999999999</v>
      </c>
      <c r="S961" s="5">
        <v>785</v>
      </c>
    </row>
    <row r="962" spans="1:19">
      <c r="A962">
        <v>91</v>
      </c>
      <c r="B962" t="s">
        <v>287</v>
      </c>
      <c r="C962" t="s">
        <v>288</v>
      </c>
      <c r="D962" t="s">
        <v>281</v>
      </c>
      <c r="E962">
        <v>153023886</v>
      </c>
      <c r="F962" t="s">
        <v>494</v>
      </c>
      <c r="G962" t="s">
        <v>495</v>
      </c>
      <c r="H962" t="s">
        <v>91</v>
      </c>
      <c r="I962" t="s">
        <v>334</v>
      </c>
      <c r="J962">
        <v>0</v>
      </c>
      <c r="L962" s="5">
        <v>0</v>
      </c>
      <c r="M962">
        <v>0</v>
      </c>
      <c r="N962" s="5">
        <v>0</v>
      </c>
      <c r="O962" s="5">
        <v>0</v>
      </c>
      <c r="P962">
        <v>4</v>
      </c>
      <c r="Q962" s="5">
        <v>3920</v>
      </c>
      <c r="R962" s="5">
        <v>2288.67</v>
      </c>
      <c r="S962" s="5">
        <v>980</v>
      </c>
    </row>
    <row r="963" spans="1:19">
      <c r="A963">
        <v>91</v>
      </c>
      <c r="B963" t="s">
        <v>287</v>
      </c>
      <c r="C963" t="s">
        <v>288</v>
      </c>
      <c r="D963" t="s">
        <v>281</v>
      </c>
      <c r="E963">
        <v>153023886</v>
      </c>
      <c r="F963" t="s">
        <v>494</v>
      </c>
      <c r="G963" t="s">
        <v>495</v>
      </c>
      <c r="H963" t="s">
        <v>91</v>
      </c>
      <c r="I963" t="s">
        <v>334</v>
      </c>
      <c r="J963">
        <v>0</v>
      </c>
      <c r="L963" s="5">
        <v>0</v>
      </c>
      <c r="M963">
        <v>0</v>
      </c>
      <c r="N963" s="5">
        <v>0</v>
      </c>
      <c r="O963" s="5">
        <v>0</v>
      </c>
      <c r="P963">
        <v>4</v>
      </c>
      <c r="Q963" s="5">
        <v>3920</v>
      </c>
      <c r="R963" s="5">
        <v>3390.44</v>
      </c>
      <c r="S963" s="5">
        <v>980</v>
      </c>
    </row>
    <row r="964" spans="1:19">
      <c r="A964">
        <v>91</v>
      </c>
      <c r="B964" t="s">
        <v>287</v>
      </c>
      <c r="C964" t="s">
        <v>288</v>
      </c>
      <c r="D964" t="s">
        <v>281</v>
      </c>
      <c r="E964">
        <v>153023886</v>
      </c>
      <c r="F964" t="s">
        <v>494</v>
      </c>
      <c r="G964" t="s">
        <v>495</v>
      </c>
      <c r="H964" t="s">
        <v>91</v>
      </c>
      <c r="I964" t="s">
        <v>337</v>
      </c>
      <c r="J964">
        <v>0</v>
      </c>
      <c r="L964" s="5">
        <v>0</v>
      </c>
      <c r="M964">
        <v>0</v>
      </c>
      <c r="N964" s="5">
        <v>0</v>
      </c>
      <c r="O964" s="5">
        <v>0</v>
      </c>
      <c r="P964">
        <v>4</v>
      </c>
      <c r="Q964" s="5">
        <v>1460</v>
      </c>
      <c r="R964" s="5">
        <v>993.22</v>
      </c>
      <c r="S964" s="5">
        <v>365</v>
      </c>
    </row>
    <row r="965" spans="1:19">
      <c r="A965">
        <v>91</v>
      </c>
      <c r="B965" t="s">
        <v>287</v>
      </c>
      <c r="C965" t="s">
        <v>288</v>
      </c>
      <c r="D965" t="s">
        <v>281</v>
      </c>
      <c r="E965">
        <v>153023886</v>
      </c>
      <c r="F965" t="s">
        <v>494</v>
      </c>
      <c r="G965" t="s">
        <v>495</v>
      </c>
      <c r="H965" t="s">
        <v>91</v>
      </c>
      <c r="I965" t="s">
        <v>333</v>
      </c>
      <c r="J965">
        <v>0</v>
      </c>
      <c r="L965" s="5">
        <v>0</v>
      </c>
      <c r="M965">
        <v>0</v>
      </c>
      <c r="N965" s="5">
        <v>0</v>
      </c>
      <c r="O965" s="5">
        <v>0</v>
      </c>
      <c r="P965">
        <v>4</v>
      </c>
      <c r="Q965" s="5">
        <v>3140</v>
      </c>
      <c r="R965" s="5">
        <v>2745.25</v>
      </c>
      <c r="S965" s="5">
        <v>785</v>
      </c>
    </row>
    <row r="966" spans="1:19">
      <c r="A966">
        <v>91</v>
      </c>
      <c r="B966" t="s">
        <v>287</v>
      </c>
      <c r="C966" t="s">
        <v>288</v>
      </c>
      <c r="D966" t="s">
        <v>281</v>
      </c>
      <c r="E966">
        <v>153023886</v>
      </c>
      <c r="F966" t="s">
        <v>494</v>
      </c>
      <c r="G966" t="s">
        <v>495</v>
      </c>
      <c r="H966" t="s">
        <v>91</v>
      </c>
      <c r="I966" t="s">
        <v>334</v>
      </c>
      <c r="J966">
        <v>0</v>
      </c>
      <c r="L966" s="5">
        <v>0</v>
      </c>
      <c r="M966">
        <v>0</v>
      </c>
      <c r="N966" s="5">
        <v>0</v>
      </c>
      <c r="O966" s="5">
        <v>0</v>
      </c>
      <c r="P966">
        <v>4</v>
      </c>
      <c r="Q966" s="5">
        <v>3920</v>
      </c>
      <c r="R966" s="5">
        <v>4947.25</v>
      </c>
      <c r="S966" s="5">
        <v>980</v>
      </c>
    </row>
    <row r="967" spans="1:19">
      <c r="A967">
        <v>92</v>
      </c>
      <c r="B967" t="s">
        <v>290</v>
      </c>
      <c r="C967" t="s">
        <v>291</v>
      </c>
      <c r="D967" t="s">
        <v>281</v>
      </c>
      <c r="E967">
        <v>153023886</v>
      </c>
      <c r="F967" t="s">
        <v>496</v>
      </c>
      <c r="G967" t="s">
        <v>497</v>
      </c>
      <c r="H967" t="s">
        <v>56</v>
      </c>
      <c r="I967" t="s">
        <v>335</v>
      </c>
      <c r="J967">
        <v>0</v>
      </c>
      <c r="L967" s="5">
        <v>0</v>
      </c>
      <c r="M967">
        <v>0</v>
      </c>
      <c r="N967" s="5">
        <v>0</v>
      </c>
      <c r="O967" s="5">
        <v>0</v>
      </c>
      <c r="P967">
        <v>4</v>
      </c>
      <c r="Q967" s="5">
        <v>3193</v>
      </c>
      <c r="R967" s="5">
        <v>1974</v>
      </c>
      <c r="S967" s="5">
        <v>798.25</v>
      </c>
    </row>
    <row r="968" spans="1:19">
      <c r="A968">
        <v>92</v>
      </c>
      <c r="B968" t="s">
        <v>290</v>
      </c>
      <c r="C968" t="s">
        <v>291</v>
      </c>
      <c r="D968" t="s">
        <v>281</v>
      </c>
      <c r="E968">
        <v>153033507</v>
      </c>
      <c r="F968" t="s">
        <v>496</v>
      </c>
      <c r="G968" t="s">
        <v>497</v>
      </c>
      <c r="H968" t="s">
        <v>56</v>
      </c>
      <c r="I968" t="s">
        <v>335</v>
      </c>
      <c r="J968">
        <v>0</v>
      </c>
      <c r="L968" s="5">
        <v>0</v>
      </c>
      <c r="M968">
        <v>0</v>
      </c>
      <c r="N968" s="5">
        <v>0</v>
      </c>
      <c r="O968" s="5">
        <v>0</v>
      </c>
      <c r="P968">
        <v>4</v>
      </c>
      <c r="Q968" s="5">
        <v>3252.6</v>
      </c>
      <c r="R968" s="5">
        <v>1974</v>
      </c>
      <c r="S968" s="5">
        <v>813.15</v>
      </c>
    </row>
    <row r="969" spans="1:19">
      <c r="A969">
        <v>92</v>
      </c>
      <c r="B969" t="s">
        <v>290</v>
      </c>
      <c r="C969" t="s">
        <v>291</v>
      </c>
      <c r="D969" t="s">
        <v>281</v>
      </c>
      <c r="E969">
        <v>153033507</v>
      </c>
      <c r="F969" t="s">
        <v>496</v>
      </c>
      <c r="G969" t="s">
        <v>497</v>
      </c>
      <c r="H969" t="s">
        <v>56</v>
      </c>
      <c r="I969" t="s">
        <v>335</v>
      </c>
      <c r="J969">
        <v>0</v>
      </c>
      <c r="L969" s="5">
        <v>0</v>
      </c>
      <c r="M969">
        <v>0</v>
      </c>
      <c r="N969" s="5">
        <v>0</v>
      </c>
      <c r="O969" s="5">
        <v>0</v>
      </c>
      <c r="P969">
        <v>4</v>
      </c>
      <c r="Q969" s="5">
        <v>2897.6</v>
      </c>
      <c r="R969" s="5">
        <v>1132.79</v>
      </c>
      <c r="S969" s="5">
        <v>724.4</v>
      </c>
    </row>
    <row r="970" spans="1:19">
      <c r="A970">
        <v>93</v>
      </c>
      <c r="B970" t="s">
        <v>293</v>
      </c>
      <c r="C970" t="s">
        <v>294</v>
      </c>
      <c r="D970" t="s">
        <v>281</v>
      </c>
      <c r="E970">
        <v>153033507</v>
      </c>
      <c r="F970" t="s">
        <v>498</v>
      </c>
      <c r="G970" t="s">
        <v>499</v>
      </c>
      <c r="H970" t="s">
        <v>74</v>
      </c>
      <c r="I970" t="s">
        <v>334</v>
      </c>
      <c r="J970">
        <v>2</v>
      </c>
      <c r="K970" s="5">
        <v>2499.38</v>
      </c>
      <c r="L970" s="5">
        <v>1280</v>
      </c>
      <c r="M970">
        <v>0.48787299200000001</v>
      </c>
      <c r="N970" s="5">
        <v>1219.3800000000001</v>
      </c>
      <c r="O970" s="5">
        <v>609.69000000000005</v>
      </c>
      <c r="P970">
        <v>2</v>
      </c>
      <c r="Q970" s="5">
        <v>1280</v>
      </c>
      <c r="R970" s="5">
        <v>2321.86</v>
      </c>
      <c r="S970" s="5">
        <v>640</v>
      </c>
    </row>
    <row r="971" spans="1:19">
      <c r="A971">
        <v>93</v>
      </c>
      <c r="B971" t="s">
        <v>293</v>
      </c>
      <c r="C971" t="s">
        <v>294</v>
      </c>
      <c r="D971" t="s">
        <v>281</v>
      </c>
      <c r="E971">
        <v>153021528</v>
      </c>
      <c r="F971" t="s">
        <v>498</v>
      </c>
      <c r="G971" t="s">
        <v>499</v>
      </c>
      <c r="H971" t="s">
        <v>74</v>
      </c>
      <c r="I971" t="s">
        <v>333</v>
      </c>
      <c r="J971">
        <v>0</v>
      </c>
      <c r="L971" s="5">
        <v>0</v>
      </c>
      <c r="M971">
        <v>0</v>
      </c>
      <c r="N971" s="5">
        <v>0</v>
      </c>
      <c r="O971" s="5">
        <v>0</v>
      </c>
      <c r="P971">
        <v>4</v>
      </c>
      <c r="Q971" s="5">
        <v>1940</v>
      </c>
      <c r="R971" s="5">
        <v>1959.49</v>
      </c>
      <c r="S971" s="5">
        <v>485</v>
      </c>
    </row>
    <row r="972" spans="1:19">
      <c r="A972">
        <v>93</v>
      </c>
      <c r="B972" t="s">
        <v>293</v>
      </c>
      <c r="C972" t="s">
        <v>294</v>
      </c>
      <c r="D972" t="s">
        <v>281</v>
      </c>
      <c r="E972">
        <v>153021528</v>
      </c>
      <c r="F972" t="s">
        <v>498</v>
      </c>
      <c r="G972" t="s">
        <v>499</v>
      </c>
      <c r="H972" t="s">
        <v>74</v>
      </c>
      <c r="I972" t="s">
        <v>333</v>
      </c>
      <c r="J972">
        <v>0</v>
      </c>
      <c r="L972" s="5">
        <v>0</v>
      </c>
      <c r="M972">
        <v>0</v>
      </c>
      <c r="N972" s="5">
        <v>0</v>
      </c>
      <c r="O972" s="5">
        <v>0</v>
      </c>
      <c r="P972">
        <v>4</v>
      </c>
      <c r="Q972" s="5">
        <v>2060</v>
      </c>
      <c r="R972" s="5">
        <v>1693.33</v>
      </c>
      <c r="S972" s="5">
        <v>515</v>
      </c>
    </row>
    <row r="973" spans="1:19">
      <c r="A973">
        <v>93</v>
      </c>
      <c r="B973" t="s">
        <v>293</v>
      </c>
      <c r="C973" t="s">
        <v>294</v>
      </c>
      <c r="D973" t="s">
        <v>281</v>
      </c>
      <c r="E973">
        <v>153021528</v>
      </c>
      <c r="F973" t="s">
        <v>498</v>
      </c>
      <c r="G973" t="s">
        <v>499</v>
      </c>
      <c r="H973" t="s">
        <v>74</v>
      </c>
      <c r="I973" t="s">
        <v>334</v>
      </c>
      <c r="J973">
        <v>4</v>
      </c>
      <c r="K973" s="5">
        <v>4229.84</v>
      </c>
      <c r="L973" s="5">
        <v>2560</v>
      </c>
      <c r="M973">
        <v>0.39477616100000001</v>
      </c>
      <c r="N973" s="5">
        <v>1669.84</v>
      </c>
      <c r="O973" s="5">
        <v>417.46</v>
      </c>
      <c r="P973">
        <v>0</v>
      </c>
      <c r="Q973" s="5">
        <v>0</v>
      </c>
      <c r="R973" s="5">
        <v>0</v>
      </c>
      <c r="S973" s="5">
        <v>640</v>
      </c>
    </row>
    <row r="974" spans="1:19">
      <c r="A974">
        <v>93</v>
      </c>
      <c r="B974" t="s">
        <v>293</v>
      </c>
      <c r="C974" t="s">
        <v>294</v>
      </c>
      <c r="D974" t="s">
        <v>281</v>
      </c>
      <c r="E974">
        <v>153021528</v>
      </c>
      <c r="F974" t="s">
        <v>498</v>
      </c>
      <c r="G974" t="s">
        <v>499</v>
      </c>
      <c r="H974" t="s">
        <v>74</v>
      </c>
      <c r="I974" t="s">
        <v>333</v>
      </c>
      <c r="J974">
        <v>0</v>
      </c>
      <c r="L974" s="5">
        <v>0</v>
      </c>
      <c r="M974">
        <v>0</v>
      </c>
      <c r="N974" s="5">
        <v>0</v>
      </c>
      <c r="O974" s="5">
        <v>0</v>
      </c>
      <c r="P974">
        <v>4</v>
      </c>
      <c r="Q974" s="5">
        <v>2060</v>
      </c>
      <c r="R974" s="5">
        <v>2672.39</v>
      </c>
      <c r="S974" s="5">
        <v>515</v>
      </c>
    </row>
    <row r="975" spans="1:19">
      <c r="A975">
        <v>93</v>
      </c>
      <c r="B975" t="s">
        <v>293</v>
      </c>
      <c r="C975" t="s">
        <v>294</v>
      </c>
      <c r="D975" t="s">
        <v>281</v>
      </c>
      <c r="E975">
        <v>153021528</v>
      </c>
      <c r="F975" t="s">
        <v>498</v>
      </c>
      <c r="G975" t="s">
        <v>499</v>
      </c>
      <c r="H975" t="s">
        <v>74</v>
      </c>
      <c r="I975" t="s">
        <v>333</v>
      </c>
      <c r="J975">
        <v>0</v>
      </c>
      <c r="L975" s="5">
        <v>0</v>
      </c>
      <c r="M975">
        <v>0</v>
      </c>
      <c r="N975" s="5">
        <v>0</v>
      </c>
      <c r="O975" s="5">
        <v>0</v>
      </c>
      <c r="P975">
        <v>4</v>
      </c>
      <c r="Q975" s="5">
        <v>2060</v>
      </c>
      <c r="R975" s="5">
        <v>2315.94</v>
      </c>
      <c r="S975" s="5">
        <v>515</v>
      </c>
    </row>
    <row r="976" spans="1:19">
      <c r="A976">
        <v>93</v>
      </c>
      <c r="B976" t="s">
        <v>293</v>
      </c>
      <c r="C976" t="s">
        <v>294</v>
      </c>
      <c r="D976" t="s">
        <v>281</v>
      </c>
      <c r="E976">
        <v>153021528</v>
      </c>
      <c r="F976" t="s">
        <v>498</v>
      </c>
      <c r="G976" t="s">
        <v>499</v>
      </c>
      <c r="H976" t="s">
        <v>74</v>
      </c>
      <c r="I976" t="s">
        <v>333</v>
      </c>
      <c r="J976">
        <v>2</v>
      </c>
      <c r="K976" s="5">
        <v>1786.25</v>
      </c>
      <c r="L976" s="5">
        <v>970</v>
      </c>
      <c r="M976">
        <v>0.45696291100000003</v>
      </c>
      <c r="N976" s="5">
        <v>816.25</v>
      </c>
      <c r="O976" s="5">
        <v>408.12</v>
      </c>
      <c r="P976">
        <v>2</v>
      </c>
      <c r="Q976" s="5">
        <v>970</v>
      </c>
      <c r="R976" s="5">
        <v>3562.52</v>
      </c>
      <c r="S976" s="5">
        <v>485</v>
      </c>
    </row>
    <row r="977" spans="1:19">
      <c r="A977">
        <v>93</v>
      </c>
      <c r="B977" t="s">
        <v>293</v>
      </c>
      <c r="C977" t="s">
        <v>294</v>
      </c>
      <c r="D977" t="s">
        <v>281</v>
      </c>
      <c r="E977">
        <v>153021528</v>
      </c>
      <c r="F977" t="s">
        <v>498</v>
      </c>
      <c r="G977" t="s">
        <v>499</v>
      </c>
      <c r="H977" t="s">
        <v>74</v>
      </c>
      <c r="I977" t="s">
        <v>333</v>
      </c>
      <c r="J977">
        <v>0</v>
      </c>
      <c r="L977" s="5">
        <v>0</v>
      </c>
      <c r="M977">
        <v>0</v>
      </c>
      <c r="N977" s="5">
        <v>0</v>
      </c>
      <c r="O977" s="5">
        <v>0</v>
      </c>
      <c r="P977">
        <v>4</v>
      </c>
      <c r="Q977" s="5">
        <v>1940</v>
      </c>
      <c r="R977" s="5">
        <v>1336.63</v>
      </c>
      <c r="S977" s="5">
        <v>485</v>
      </c>
    </row>
    <row r="978" spans="1:19">
      <c r="A978">
        <v>94</v>
      </c>
      <c r="B978" t="s">
        <v>296</v>
      </c>
      <c r="C978" t="s">
        <v>297</v>
      </c>
      <c r="D978" t="s">
        <v>281</v>
      </c>
      <c r="E978">
        <v>153021528</v>
      </c>
      <c r="F978" t="s">
        <v>500</v>
      </c>
      <c r="G978" t="s">
        <v>501</v>
      </c>
      <c r="H978" t="s">
        <v>365</v>
      </c>
      <c r="I978" t="s">
        <v>333</v>
      </c>
      <c r="J978">
        <v>0</v>
      </c>
      <c r="L978" s="5">
        <v>0</v>
      </c>
      <c r="M978">
        <v>0</v>
      </c>
      <c r="N978" s="5">
        <v>0</v>
      </c>
      <c r="O978" s="5">
        <v>0</v>
      </c>
      <c r="P978">
        <v>4</v>
      </c>
      <c r="Q978" s="5">
        <v>2260</v>
      </c>
      <c r="R978" s="5">
        <v>2141.85</v>
      </c>
      <c r="S978" s="5">
        <v>565</v>
      </c>
    </row>
    <row r="979" spans="1:19">
      <c r="A979">
        <v>94</v>
      </c>
      <c r="B979" t="s">
        <v>296</v>
      </c>
      <c r="C979" t="s">
        <v>297</v>
      </c>
      <c r="D979" t="s">
        <v>281</v>
      </c>
      <c r="E979">
        <v>153020574</v>
      </c>
      <c r="F979" t="s">
        <v>500</v>
      </c>
      <c r="G979" t="s">
        <v>501</v>
      </c>
      <c r="H979" t="s">
        <v>365</v>
      </c>
      <c r="I979" t="s">
        <v>337</v>
      </c>
      <c r="J979">
        <v>0</v>
      </c>
      <c r="L979" s="5">
        <v>0</v>
      </c>
      <c r="M979">
        <v>0</v>
      </c>
      <c r="N979" s="5">
        <v>0</v>
      </c>
      <c r="O979" s="5">
        <v>0</v>
      </c>
      <c r="P979">
        <v>4</v>
      </c>
      <c r="Q979" s="5">
        <v>1080</v>
      </c>
      <c r="R979" s="5">
        <v>1559.38</v>
      </c>
      <c r="S979" s="5">
        <v>270</v>
      </c>
    </row>
    <row r="980" spans="1:19">
      <c r="A980">
        <v>94</v>
      </c>
      <c r="B980" t="s">
        <v>296</v>
      </c>
      <c r="C980" t="s">
        <v>297</v>
      </c>
      <c r="D980" t="s">
        <v>281</v>
      </c>
      <c r="E980">
        <v>153020574</v>
      </c>
      <c r="F980" t="s">
        <v>500</v>
      </c>
      <c r="G980" t="s">
        <v>501</v>
      </c>
      <c r="H980" t="s">
        <v>365</v>
      </c>
      <c r="I980" t="s">
        <v>334</v>
      </c>
      <c r="J980">
        <v>0</v>
      </c>
      <c r="L980" s="5">
        <v>0</v>
      </c>
      <c r="M980">
        <v>0</v>
      </c>
      <c r="N980" s="5">
        <v>0</v>
      </c>
      <c r="O980" s="5">
        <v>0</v>
      </c>
      <c r="P980">
        <v>4</v>
      </c>
      <c r="Q980" s="5">
        <v>2780</v>
      </c>
      <c r="R980" s="5">
        <v>2190.54</v>
      </c>
      <c r="S980" s="5">
        <v>695</v>
      </c>
    </row>
    <row r="981" spans="1:19">
      <c r="A981">
        <v>94</v>
      </c>
      <c r="B981" t="s">
        <v>296</v>
      </c>
      <c r="C981" t="s">
        <v>297</v>
      </c>
      <c r="D981" t="s">
        <v>281</v>
      </c>
      <c r="E981">
        <v>153020574</v>
      </c>
      <c r="F981" t="s">
        <v>500</v>
      </c>
      <c r="G981" t="s">
        <v>501</v>
      </c>
      <c r="H981" t="s">
        <v>365</v>
      </c>
      <c r="I981" t="s">
        <v>334</v>
      </c>
      <c r="J981">
        <v>4</v>
      </c>
      <c r="K981" s="5">
        <v>6308.12</v>
      </c>
      <c r="L981" s="5">
        <v>2780</v>
      </c>
      <c r="M981">
        <v>0.55929817400000004</v>
      </c>
      <c r="N981" s="5">
        <v>3528.12</v>
      </c>
      <c r="O981" s="5">
        <v>882.03</v>
      </c>
      <c r="P981">
        <v>0</v>
      </c>
      <c r="Q981" s="5">
        <v>0</v>
      </c>
      <c r="R981" s="5">
        <v>0</v>
      </c>
      <c r="S981" s="5">
        <v>695</v>
      </c>
    </row>
    <row r="982" spans="1:19">
      <c r="A982">
        <v>94</v>
      </c>
      <c r="B982" t="s">
        <v>296</v>
      </c>
      <c r="C982" t="s">
        <v>297</v>
      </c>
      <c r="D982" t="s">
        <v>281</v>
      </c>
      <c r="E982">
        <v>153020574</v>
      </c>
      <c r="F982" t="s">
        <v>500</v>
      </c>
      <c r="G982" t="s">
        <v>501</v>
      </c>
      <c r="H982" t="s">
        <v>365</v>
      </c>
      <c r="I982" t="s">
        <v>334</v>
      </c>
      <c r="J982">
        <v>0</v>
      </c>
      <c r="L982" s="5">
        <v>0</v>
      </c>
      <c r="M982">
        <v>0</v>
      </c>
      <c r="N982" s="5">
        <v>0</v>
      </c>
      <c r="O982" s="5">
        <v>0</v>
      </c>
      <c r="P982">
        <v>4</v>
      </c>
      <c r="Q982" s="5">
        <v>2780</v>
      </c>
      <c r="R982" s="5">
        <v>2519.27</v>
      </c>
      <c r="S982" s="5">
        <v>695</v>
      </c>
    </row>
    <row r="983" spans="1:19">
      <c r="A983">
        <v>94</v>
      </c>
      <c r="B983" t="s">
        <v>296</v>
      </c>
      <c r="C983" t="s">
        <v>297</v>
      </c>
      <c r="D983" t="s">
        <v>281</v>
      </c>
      <c r="E983">
        <v>153020574</v>
      </c>
      <c r="F983" t="s">
        <v>500</v>
      </c>
      <c r="G983" t="s">
        <v>501</v>
      </c>
      <c r="H983" t="s">
        <v>365</v>
      </c>
      <c r="I983" t="s">
        <v>333</v>
      </c>
      <c r="J983">
        <v>0</v>
      </c>
      <c r="L983" s="5">
        <v>0</v>
      </c>
      <c r="M983">
        <v>0</v>
      </c>
      <c r="N983" s="5">
        <v>0</v>
      </c>
      <c r="O983" s="5">
        <v>0</v>
      </c>
      <c r="P983">
        <v>4</v>
      </c>
      <c r="Q983" s="5">
        <v>2260</v>
      </c>
      <c r="R983" s="5">
        <v>1862.35</v>
      </c>
      <c r="S983" s="5">
        <v>565</v>
      </c>
    </row>
    <row r="984" spans="1:19">
      <c r="A984">
        <v>94</v>
      </c>
      <c r="B984" t="s">
        <v>296</v>
      </c>
      <c r="C984" t="s">
        <v>297</v>
      </c>
      <c r="D984" t="s">
        <v>281</v>
      </c>
      <c r="E984">
        <v>153020574</v>
      </c>
      <c r="F984" t="s">
        <v>500</v>
      </c>
      <c r="G984" t="s">
        <v>501</v>
      </c>
      <c r="H984" t="s">
        <v>365</v>
      </c>
      <c r="I984" t="s">
        <v>333</v>
      </c>
      <c r="J984">
        <v>4</v>
      </c>
      <c r="K984" s="5">
        <v>3572.52</v>
      </c>
      <c r="L984" s="5">
        <v>1940</v>
      </c>
      <c r="M984">
        <v>0.45696595099999998</v>
      </c>
      <c r="N984" s="5">
        <v>1632.52</v>
      </c>
      <c r="O984" s="5">
        <v>408.13</v>
      </c>
      <c r="P984">
        <v>0</v>
      </c>
      <c r="Q984" s="5">
        <v>0</v>
      </c>
      <c r="R984" s="5">
        <v>0</v>
      </c>
      <c r="S984" s="5">
        <v>485</v>
      </c>
    </row>
    <row r="985" spans="1:19">
      <c r="A985">
        <v>94</v>
      </c>
      <c r="B985" t="s">
        <v>296</v>
      </c>
      <c r="C985" t="s">
        <v>297</v>
      </c>
      <c r="D985" t="s">
        <v>281</v>
      </c>
      <c r="E985">
        <v>153020574</v>
      </c>
      <c r="F985" t="s">
        <v>500</v>
      </c>
      <c r="G985" t="s">
        <v>501</v>
      </c>
      <c r="H985" t="s">
        <v>365</v>
      </c>
      <c r="I985" t="s">
        <v>334</v>
      </c>
      <c r="J985">
        <v>4</v>
      </c>
      <c r="K985" s="5">
        <v>7106.18</v>
      </c>
      <c r="L985" s="5">
        <v>2780</v>
      </c>
      <c r="M985">
        <v>0.60879122100000005</v>
      </c>
      <c r="N985" s="5">
        <v>4326.18</v>
      </c>
      <c r="O985" s="5">
        <v>1081.54</v>
      </c>
      <c r="P985">
        <v>0</v>
      </c>
      <c r="Q985" s="5">
        <v>0</v>
      </c>
      <c r="R985" s="5">
        <v>0</v>
      </c>
      <c r="S985" s="5">
        <v>695</v>
      </c>
    </row>
    <row r="986" spans="1:19">
      <c r="A986">
        <v>94</v>
      </c>
      <c r="B986" t="s">
        <v>296</v>
      </c>
      <c r="C986" t="s">
        <v>297</v>
      </c>
      <c r="D986" t="s">
        <v>281</v>
      </c>
      <c r="E986">
        <v>153020574</v>
      </c>
      <c r="F986" t="s">
        <v>500</v>
      </c>
      <c r="G986" t="s">
        <v>501</v>
      </c>
      <c r="H986" t="s">
        <v>365</v>
      </c>
      <c r="I986" t="s">
        <v>334</v>
      </c>
      <c r="J986">
        <v>0</v>
      </c>
      <c r="L986" s="5">
        <v>0</v>
      </c>
      <c r="M986">
        <v>0</v>
      </c>
      <c r="N986" s="5">
        <v>0</v>
      </c>
      <c r="O986" s="5">
        <v>0</v>
      </c>
      <c r="P986">
        <v>4</v>
      </c>
      <c r="Q986" s="5">
        <v>2780</v>
      </c>
      <c r="R986" s="5">
        <v>2354.91</v>
      </c>
      <c r="S986" s="5">
        <v>695</v>
      </c>
    </row>
    <row r="987" spans="1:19">
      <c r="A987">
        <v>94</v>
      </c>
      <c r="B987" t="s">
        <v>296</v>
      </c>
      <c r="C987" t="s">
        <v>297</v>
      </c>
      <c r="D987" t="s">
        <v>281</v>
      </c>
      <c r="E987">
        <v>153020574</v>
      </c>
      <c r="F987" t="s">
        <v>500</v>
      </c>
      <c r="G987" t="s">
        <v>501</v>
      </c>
      <c r="H987" t="s">
        <v>365</v>
      </c>
      <c r="I987" t="s">
        <v>337</v>
      </c>
      <c r="J987">
        <v>4</v>
      </c>
      <c r="K987" s="5">
        <v>3075.35</v>
      </c>
      <c r="L987" s="5">
        <v>880</v>
      </c>
      <c r="M987">
        <v>0.71385370699999995</v>
      </c>
      <c r="N987" s="5">
        <v>2195.35</v>
      </c>
      <c r="O987" s="5">
        <v>548.84</v>
      </c>
      <c r="P987">
        <v>0</v>
      </c>
      <c r="Q987" s="5">
        <v>0</v>
      </c>
      <c r="R987" s="5">
        <v>0</v>
      </c>
      <c r="S987" s="5">
        <v>220</v>
      </c>
    </row>
    <row r="988" spans="1:19">
      <c r="A988">
        <v>94</v>
      </c>
      <c r="B988" t="s">
        <v>296</v>
      </c>
      <c r="C988" t="s">
        <v>297</v>
      </c>
      <c r="D988" t="s">
        <v>281</v>
      </c>
      <c r="E988">
        <v>153020574</v>
      </c>
      <c r="F988" t="s">
        <v>500</v>
      </c>
      <c r="G988" t="s">
        <v>501</v>
      </c>
      <c r="H988" t="s">
        <v>365</v>
      </c>
      <c r="I988" t="s">
        <v>338</v>
      </c>
      <c r="J988">
        <v>4</v>
      </c>
      <c r="K988" s="5">
        <v>5462.98</v>
      </c>
      <c r="L988" s="5">
        <v>5234.92</v>
      </c>
      <c r="M988">
        <v>4.1746446E-2</v>
      </c>
      <c r="N988" s="5">
        <v>228.06</v>
      </c>
      <c r="O988" s="5">
        <v>57.02</v>
      </c>
      <c r="P988">
        <v>0</v>
      </c>
      <c r="Q988" s="5">
        <v>0</v>
      </c>
      <c r="R988" s="5">
        <v>0</v>
      </c>
      <c r="S988" s="5">
        <v>1308.73</v>
      </c>
    </row>
    <row r="989" spans="1:19">
      <c r="A989">
        <v>94</v>
      </c>
      <c r="B989" t="s">
        <v>296</v>
      </c>
      <c r="C989" t="s">
        <v>297</v>
      </c>
      <c r="D989" t="s">
        <v>281</v>
      </c>
      <c r="E989">
        <v>153020574</v>
      </c>
      <c r="F989" t="s">
        <v>500</v>
      </c>
      <c r="G989" t="s">
        <v>501</v>
      </c>
      <c r="H989" t="s">
        <v>365</v>
      </c>
      <c r="I989" t="s">
        <v>337</v>
      </c>
      <c r="J989">
        <v>0</v>
      </c>
      <c r="L989" s="5">
        <v>0</v>
      </c>
      <c r="M989">
        <v>0</v>
      </c>
      <c r="N989" s="5">
        <v>0</v>
      </c>
      <c r="O989" s="5">
        <v>0</v>
      </c>
      <c r="P989">
        <v>4</v>
      </c>
      <c r="Q989" s="5">
        <v>1080</v>
      </c>
      <c r="R989" s="5">
        <v>799.06</v>
      </c>
      <c r="S989" s="5">
        <v>270</v>
      </c>
    </row>
    <row r="990" spans="1:19">
      <c r="A990">
        <v>94</v>
      </c>
      <c r="B990" t="s">
        <v>296</v>
      </c>
      <c r="C990" t="s">
        <v>297</v>
      </c>
      <c r="D990" t="s">
        <v>281</v>
      </c>
      <c r="E990">
        <v>153020574</v>
      </c>
      <c r="F990" t="s">
        <v>500</v>
      </c>
      <c r="G990" t="s">
        <v>501</v>
      </c>
      <c r="H990" t="s">
        <v>365</v>
      </c>
      <c r="I990" t="s">
        <v>333</v>
      </c>
      <c r="J990">
        <v>0</v>
      </c>
      <c r="L990" s="5">
        <v>0</v>
      </c>
      <c r="M990">
        <v>0</v>
      </c>
      <c r="N990" s="5">
        <v>0</v>
      </c>
      <c r="O990" s="5">
        <v>0</v>
      </c>
      <c r="P990">
        <v>4</v>
      </c>
      <c r="Q990" s="5">
        <v>2260</v>
      </c>
      <c r="R990" s="5">
        <v>1164.45</v>
      </c>
      <c r="S990" s="5">
        <v>565</v>
      </c>
    </row>
    <row r="991" spans="1:19">
      <c r="A991">
        <v>95</v>
      </c>
      <c r="B991" t="s">
        <v>299</v>
      </c>
      <c r="C991" t="s">
        <v>300</v>
      </c>
      <c r="D991" t="s">
        <v>281</v>
      </c>
      <c r="E991">
        <v>153020574</v>
      </c>
      <c r="F991" t="s">
        <v>502</v>
      </c>
      <c r="G991" t="s">
        <v>503</v>
      </c>
      <c r="H991" t="s">
        <v>79</v>
      </c>
      <c r="I991" t="s">
        <v>333</v>
      </c>
      <c r="J991">
        <v>2</v>
      </c>
      <c r="K991" s="5">
        <v>1426.6</v>
      </c>
      <c r="L991" s="5">
        <v>1050</v>
      </c>
      <c r="M991">
        <v>0.26398429800000001</v>
      </c>
      <c r="N991" s="5">
        <v>376.6</v>
      </c>
      <c r="O991" s="5">
        <v>188.3</v>
      </c>
      <c r="P991">
        <v>2</v>
      </c>
      <c r="Q991" s="5">
        <v>1050</v>
      </c>
      <c r="R991" s="5">
        <v>1884.16</v>
      </c>
      <c r="S991" s="5">
        <v>525</v>
      </c>
    </row>
    <row r="992" spans="1:19">
      <c r="A992">
        <v>95</v>
      </c>
      <c r="B992" t="s">
        <v>299</v>
      </c>
      <c r="C992" t="s">
        <v>300</v>
      </c>
      <c r="D992" t="s">
        <v>281</v>
      </c>
      <c r="E992">
        <v>155049347</v>
      </c>
      <c r="F992" t="s">
        <v>502</v>
      </c>
      <c r="G992" t="s">
        <v>503</v>
      </c>
      <c r="H992" t="s">
        <v>79</v>
      </c>
      <c r="I992" t="s">
        <v>333</v>
      </c>
      <c r="J992">
        <v>0</v>
      </c>
      <c r="L992" s="5">
        <v>0</v>
      </c>
      <c r="M992">
        <v>0</v>
      </c>
      <c r="N992" s="5">
        <v>0</v>
      </c>
      <c r="O992" s="5">
        <v>0</v>
      </c>
      <c r="P992">
        <v>4</v>
      </c>
      <c r="Q992" s="5">
        <v>2100</v>
      </c>
      <c r="R992" s="5">
        <v>1585.09</v>
      </c>
      <c r="S992" s="5">
        <v>525</v>
      </c>
    </row>
    <row r="993" spans="1:19">
      <c r="A993">
        <v>95</v>
      </c>
      <c r="B993" t="s">
        <v>299</v>
      </c>
      <c r="C993" t="s">
        <v>300</v>
      </c>
      <c r="D993" t="s">
        <v>281</v>
      </c>
      <c r="E993">
        <v>155049347</v>
      </c>
      <c r="F993" t="s">
        <v>502</v>
      </c>
      <c r="G993" t="s">
        <v>503</v>
      </c>
      <c r="H993" t="s">
        <v>79</v>
      </c>
      <c r="I993" t="s">
        <v>504</v>
      </c>
      <c r="J993">
        <v>0</v>
      </c>
      <c r="L993" s="5">
        <v>0</v>
      </c>
      <c r="M993">
        <v>0</v>
      </c>
      <c r="N993" s="5">
        <v>0</v>
      </c>
      <c r="O993" s="5">
        <v>0</v>
      </c>
      <c r="P993">
        <v>2</v>
      </c>
      <c r="Q993" s="5">
        <v>1210</v>
      </c>
      <c r="R993" s="5">
        <v>9799.02</v>
      </c>
      <c r="S993" s="5">
        <v>605</v>
      </c>
    </row>
    <row r="994" spans="1:19">
      <c r="A994">
        <v>95</v>
      </c>
      <c r="B994" t="s">
        <v>299</v>
      </c>
      <c r="C994" t="s">
        <v>300</v>
      </c>
      <c r="D994" t="s">
        <v>281</v>
      </c>
      <c r="E994">
        <v>155049347</v>
      </c>
      <c r="F994" t="s">
        <v>502</v>
      </c>
      <c r="G994" t="s">
        <v>503</v>
      </c>
      <c r="H994" t="s">
        <v>79</v>
      </c>
      <c r="I994" t="s">
        <v>333</v>
      </c>
      <c r="J994">
        <v>0</v>
      </c>
      <c r="L994" s="5">
        <v>0</v>
      </c>
      <c r="M994">
        <v>0</v>
      </c>
      <c r="N994" s="5">
        <v>0</v>
      </c>
      <c r="O994" s="5">
        <v>0</v>
      </c>
      <c r="P994">
        <v>4</v>
      </c>
      <c r="Q994" s="5">
        <v>2100</v>
      </c>
      <c r="R994" s="5">
        <v>2079</v>
      </c>
      <c r="S994" s="5">
        <v>525</v>
      </c>
    </row>
    <row r="995" spans="1:19">
      <c r="A995">
        <v>95</v>
      </c>
      <c r="B995" t="s">
        <v>299</v>
      </c>
      <c r="C995" t="s">
        <v>300</v>
      </c>
      <c r="D995" t="s">
        <v>281</v>
      </c>
      <c r="E995">
        <v>155049347</v>
      </c>
      <c r="F995" t="s">
        <v>502</v>
      </c>
      <c r="G995" t="s">
        <v>503</v>
      </c>
      <c r="H995" t="s">
        <v>79</v>
      </c>
      <c r="I995" t="s">
        <v>333</v>
      </c>
      <c r="J995">
        <v>0</v>
      </c>
      <c r="L995" s="5">
        <v>0</v>
      </c>
      <c r="M995">
        <v>0</v>
      </c>
      <c r="N995" s="5">
        <v>0</v>
      </c>
      <c r="O995" s="5">
        <v>0</v>
      </c>
      <c r="P995">
        <v>4</v>
      </c>
      <c r="Q995" s="5">
        <v>2100</v>
      </c>
      <c r="R995" s="5">
        <v>2898.72</v>
      </c>
      <c r="S995" s="5">
        <v>525</v>
      </c>
    </row>
    <row r="996" spans="1:19">
      <c r="A996">
        <v>95</v>
      </c>
      <c r="B996" t="s">
        <v>299</v>
      </c>
      <c r="C996" t="s">
        <v>300</v>
      </c>
      <c r="D996" t="s">
        <v>281</v>
      </c>
      <c r="E996">
        <v>155049347</v>
      </c>
      <c r="F996" t="s">
        <v>502</v>
      </c>
      <c r="G996" t="s">
        <v>503</v>
      </c>
      <c r="H996" t="s">
        <v>79</v>
      </c>
      <c r="I996" t="s">
        <v>333</v>
      </c>
      <c r="J996">
        <v>0</v>
      </c>
      <c r="L996" s="5">
        <v>0</v>
      </c>
      <c r="M996">
        <v>0</v>
      </c>
      <c r="N996" s="5">
        <v>0</v>
      </c>
      <c r="O996" s="5">
        <v>0</v>
      </c>
      <c r="P996">
        <v>4</v>
      </c>
      <c r="Q996" s="5">
        <v>2100</v>
      </c>
      <c r="R996" s="5">
        <v>2013.76</v>
      </c>
      <c r="S996" s="5">
        <v>525</v>
      </c>
    </row>
    <row r="997" spans="1:19">
      <c r="A997">
        <v>95</v>
      </c>
      <c r="B997" t="s">
        <v>299</v>
      </c>
      <c r="C997" t="s">
        <v>300</v>
      </c>
      <c r="D997" t="s">
        <v>281</v>
      </c>
      <c r="E997">
        <v>155049347</v>
      </c>
      <c r="F997" t="s">
        <v>502</v>
      </c>
      <c r="G997" t="s">
        <v>503</v>
      </c>
      <c r="H997" t="s">
        <v>79</v>
      </c>
      <c r="I997" t="s">
        <v>333</v>
      </c>
      <c r="J997">
        <v>0</v>
      </c>
      <c r="L997" s="5">
        <v>0</v>
      </c>
      <c r="M997">
        <v>0</v>
      </c>
      <c r="N997" s="5">
        <v>0</v>
      </c>
      <c r="O997" s="5">
        <v>0</v>
      </c>
      <c r="P997">
        <v>4</v>
      </c>
      <c r="Q997" s="5">
        <v>2100</v>
      </c>
      <c r="R997" s="5">
        <v>2228.1</v>
      </c>
      <c r="S997" s="5">
        <v>525</v>
      </c>
    </row>
    <row r="998" spans="1:19">
      <c r="A998">
        <v>95</v>
      </c>
      <c r="B998" t="s">
        <v>299</v>
      </c>
      <c r="C998" t="s">
        <v>300</v>
      </c>
      <c r="D998" t="s">
        <v>281</v>
      </c>
      <c r="E998">
        <v>155049347</v>
      </c>
      <c r="F998" t="s">
        <v>502</v>
      </c>
      <c r="G998" t="s">
        <v>503</v>
      </c>
      <c r="H998" t="s">
        <v>79</v>
      </c>
      <c r="I998" t="s">
        <v>333</v>
      </c>
      <c r="J998">
        <v>0</v>
      </c>
      <c r="L998" s="5">
        <v>0</v>
      </c>
      <c r="M998">
        <v>0</v>
      </c>
      <c r="N998" s="5">
        <v>0</v>
      </c>
      <c r="O998" s="5">
        <v>0</v>
      </c>
      <c r="P998">
        <v>4</v>
      </c>
      <c r="Q998" s="5">
        <v>2100</v>
      </c>
      <c r="R998" s="5">
        <v>1871</v>
      </c>
      <c r="S998" s="5">
        <v>525</v>
      </c>
    </row>
    <row r="999" spans="1:19">
      <c r="A999">
        <v>95</v>
      </c>
      <c r="B999" t="s">
        <v>299</v>
      </c>
      <c r="C999" t="s">
        <v>300</v>
      </c>
      <c r="D999" t="s">
        <v>281</v>
      </c>
      <c r="E999">
        <v>155049347</v>
      </c>
      <c r="F999" t="s">
        <v>502</v>
      </c>
      <c r="G999" t="s">
        <v>503</v>
      </c>
      <c r="H999" t="s">
        <v>79</v>
      </c>
      <c r="I999" t="s">
        <v>333</v>
      </c>
      <c r="J999">
        <v>4</v>
      </c>
      <c r="K999" s="5">
        <v>2843.48</v>
      </c>
      <c r="L999" s="5">
        <v>2100</v>
      </c>
      <c r="M999">
        <v>0.26146834099999999</v>
      </c>
      <c r="N999" s="5">
        <v>743.48</v>
      </c>
      <c r="O999" s="5">
        <v>185.87</v>
      </c>
      <c r="P999">
        <v>0</v>
      </c>
      <c r="Q999" s="5">
        <v>0</v>
      </c>
      <c r="R999" s="5">
        <v>0</v>
      </c>
      <c r="S999" s="5">
        <v>525</v>
      </c>
    </row>
    <row r="1000" spans="1:19">
      <c r="A1000">
        <v>95</v>
      </c>
      <c r="B1000" t="s">
        <v>299</v>
      </c>
      <c r="C1000" t="s">
        <v>300</v>
      </c>
      <c r="D1000" t="s">
        <v>281</v>
      </c>
      <c r="E1000">
        <v>155049347</v>
      </c>
      <c r="F1000" t="s">
        <v>502</v>
      </c>
      <c r="G1000" t="s">
        <v>503</v>
      </c>
      <c r="H1000" t="s">
        <v>79</v>
      </c>
      <c r="I1000" t="s">
        <v>333</v>
      </c>
      <c r="J1000">
        <v>0</v>
      </c>
      <c r="L1000" s="5">
        <v>0</v>
      </c>
      <c r="M1000">
        <v>0</v>
      </c>
      <c r="N1000" s="5">
        <v>0</v>
      </c>
      <c r="O1000" s="5">
        <v>0</v>
      </c>
      <c r="P1000">
        <v>4</v>
      </c>
      <c r="Q1000" s="5">
        <v>2100</v>
      </c>
      <c r="R1000" s="5">
        <v>3985.74</v>
      </c>
      <c r="S1000" s="5">
        <v>525</v>
      </c>
    </row>
    <row r="1001" spans="1:19">
      <c r="A1001">
        <v>95</v>
      </c>
      <c r="B1001" t="s">
        <v>299</v>
      </c>
      <c r="C1001" t="s">
        <v>300</v>
      </c>
      <c r="D1001" t="s">
        <v>281</v>
      </c>
      <c r="E1001">
        <v>155049347</v>
      </c>
      <c r="F1001" t="s">
        <v>502</v>
      </c>
      <c r="G1001" t="s">
        <v>503</v>
      </c>
      <c r="H1001" t="s">
        <v>79</v>
      </c>
      <c r="I1001" t="s">
        <v>337</v>
      </c>
      <c r="J1001">
        <v>0</v>
      </c>
      <c r="L1001" s="5">
        <v>0</v>
      </c>
      <c r="M1001">
        <v>0</v>
      </c>
      <c r="N1001" s="5">
        <v>0</v>
      </c>
      <c r="O1001" s="5">
        <v>0</v>
      </c>
      <c r="P1001">
        <v>4</v>
      </c>
      <c r="Q1001" s="5">
        <v>980</v>
      </c>
      <c r="R1001" s="5">
        <v>1555.37</v>
      </c>
      <c r="S1001" s="5">
        <v>245</v>
      </c>
    </row>
    <row r="1002" spans="1:19">
      <c r="A1002">
        <v>95</v>
      </c>
      <c r="B1002" t="s">
        <v>299</v>
      </c>
      <c r="C1002" t="s">
        <v>300</v>
      </c>
      <c r="D1002" t="s">
        <v>281</v>
      </c>
      <c r="E1002">
        <v>155049347</v>
      </c>
      <c r="F1002" t="s">
        <v>502</v>
      </c>
      <c r="G1002" t="s">
        <v>503</v>
      </c>
      <c r="H1002" t="s">
        <v>79</v>
      </c>
      <c r="I1002" t="s">
        <v>337</v>
      </c>
      <c r="J1002">
        <v>0</v>
      </c>
      <c r="L1002" s="5">
        <v>0</v>
      </c>
      <c r="M1002">
        <v>0</v>
      </c>
      <c r="N1002" s="5">
        <v>0</v>
      </c>
      <c r="O1002" s="5">
        <v>0</v>
      </c>
      <c r="P1002">
        <v>4</v>
      </c>
      <c r="Q1002" s="5">
        <v>980</v>
      </c>
      <c r="R1002" s="5">
        <v>1382.44</v>
      </c>
      <c r="S1002" s="5">
        <v>245</v>
      </c>
    </row>
    <row r="1003" spans="1:19">
      <c r="A1003">
        <v>95</v>
      </c>
      <c r="B1003" t="s">
        <v>299</v>
      </c>
      <c r="C1003" t="s">
        <v>300</v>
      </c>
      <c r="D1003" t="s">
        <v>281</v>
      </c>
      <c r="E1003">
        <v>155049347</v>
      </c>
      <c r="F1003" t="s">
        <v>502</v>
      </c>
      <c r="G1003" t="s">
        <v>503</v>
      </c>
      <c r="H1003" t="s">
        <v>79</v>
      </c>
      <c r="I1003" t="s">
        <v>337</v>
      </c>
      <c r="J1003">
        <v>0</v>
      </c>
      <c r="L1003" s="5">
        <v>0</v>
      </c>
      <c r="M1003">
        <v>0</v>
      </c>
      <c r="N1003" s="5">
        <v>0</v>
      </c>
      <c r="O1003" s="5">
        <v>0</v>
      </c>
      <c r="P1003">
        <v>4</v>
      </c>
      <c r="Q1003" s="5">
        <v>980</v>
      </c>
      <c r="R1003" s="5">
        <v>1728.3</v>
      </c>
      <c r="S1003" s="5">
        <v>245</v>
      </c>
    </row>
    <row r="1004" spans="1:19">
      <c r="A1004">
        <v>95</v>
      </c>
      <c r="B1004" t="s">
        <v>299</v>
      </c>
      <c r="C1004" t="s">
        <v>300</v>
      </c>
      <c r="D1004" t="s">
        <v>281</v>
      </c>
      <c r="E1004">
        <v>155049347</v>
      </c>
      <c r="F1004" t="s">
        <v>502</v>
      </c>
      <c r="G1004" t="s">
        <v>503</v>
      </c>
      <c r="H1004" t="s">
        <v>79</v>
      </c>
      <c r="I1004" t="s">
        <v>333</v>
      </c>
      <c r="J1004">
        <v>0</v>
      </c>
      <c r="L1004" s="5">
        <v>0</v>
      </c>
      <c r="M1004">
        <v>0</v>
      </c>
      <c r="N1004" s="5">
        <v>0</v>
      </c>
      <c r="O1004" s="5">
        <v>0</v>
      </c>
      <c r="P1004">
        <v>4</v>
      </c>
      <c r="Q1004" s="5">
        <v>2100</v>
      </c>
      <c r="R1004" s="5">
        <v>4348.08</v>
      </c>
      <c r="S1004" s="5">
        <v>525</v>
      </c>
    </row>
    <row r="1005" spans="1:19">
      <c r="A1005">
        <v>95</v>
      </c>
      <c r="B1005" t="s">
        <v>299</v>
      </c>
      <c r="C1005" t="s">
        <v>300</v>
      </c>
      <c r="D1005" t="s">
        <v>281</v>
      </c>
      <c r="E1005">
        <v>155049347</v>
      </c>
      <c r="F1005" t="s">
        <v>502</v>
      </c>
      <c r="G1005" t="s">
        <v>503</v>
      </c>
      <c r="H1005" t="s">
        <v>79</v>
      </c>
      <c r="I1005" t="s">
        <v>337</v>
      </c>
      <c r="J1005">
        <v>4</v>
      </c>
      <c r="K1005" s="5">
        <v>1372.08</v>
      </c>
      <c r="L1005" s="5">
        <v>880</v>
      </c>
      <c r="M1005">
        <v>0.35863798000000002</v>
      </c>
      <c r="N1005" s="5">
        <v>492.08</v>
      </c>
      <c r="O1005" s="5">
        <v>123.02</v>
      </c>
      <c r="P1005">
        <v>0</v>
      </c>
      <c r="Q1005" s="5">
        <v>0</v>
      </c>
      <c r="R1005" s="5">
        <v>0</v>
      </c>
      <c r="S1005" s="5">
        <v>220</v>
      </c>
    </row>
    <row r="1006" spans="1:19">
      <c r="A1006">
        <v>96</v>
      </c>
      <c r="B1006" t="s">
        <v>302</v>
      </c>
      <c r="C1006" t="s">
        <v>303</v>
      </c>
      <c r="D1006" t="s">
        <v>281</v>
      </c>
      <c r="E1006">
        <v>155049347</v>
      </c>
      <c r="F1006" t="s">
        <v>505</v>
      </c>
      <c r="G1006" t="s">
        <v>506</v>
      </c>
      <c r="H1006" t="s">
        <v>164</v>
      </c>
      <c r="I1006" t="s">
        <v>334</v>
      </c>
      <c r="J1006">
        <v>0</v>
      </c>
      <c r="L1006" s="5">
        <v>0</v>
      </c>
      <c r="M1006">
        <v>0</v>
      </c>
      <c r="N1006" s="5">
        <v>0</v>
      </c>
      <c r="O1006" s="5">
        <v>0</v>
      </c>
      <c r="P1006">
        <v>2</v>
      </c>
      <c r="Q1006" s="5">
        <v>3169.88</v>
      </c>
      <c r="R1006" s="5">
        <v>2011.93</v>
      </c>
      <c r="S1006" s="5">
        <v>1584.94</v>
      </c>
    </row>
    <row r="1007" spans="1:19">
      <c r="A1007">
        <v>96</v>
      </c>
      <c r="B1007" t="s">
        <v>302</v>
      </c>
      <c r="C1007" t="s">
        <v>303</v>
      </c>
      <c r="D1007" t="s">
        <v>281</v>
      </c>
      <c r="E1007">
        <v>153020500</v>
      </c>
      <c r="F1007" t="s">
        <v>505</v>
      </c>
      <c r="G1007" t="s">
        <v>506</v>
      </c>
      <c r="H1007" t="s">
        <v>164</v>
      </c>
      <c r="I1007" t="s">
        <v>333</v>
      </c>
      <c r="J1007">
        <v>0</v>
      </c>
      <c r="L1007" s="5">
        <v>0</v>
      </c>
      <c r="M1007">
        <v>0</v>
      </c>
      <c r="N1007" s="5">
        <v>0</v>
      </c>
      <c r="O1007" s="5">
        <v>0</v>
      </c>
      <c r="P1007">
        <v>3</v>
      </c>
      <c r="Q1007" s="5">
        <v>3234.9</v>
      </c>
      <c r="R1007" s="5">
        <v>2412.89</v>
      </c>
      <c r="S1007" s="5">
        <v>1078.3</v>
      </c>
    </row>
    <row r="1008" spans="1:19">
      <c r="A1008">
        <v>96</v>
      </c>
      <c r="B1008" t="s">
        <v>302</v>
      </c>
      <c r="C1008" t="s">
        <v>303</v>
      </c>
      <c r="D1008" t="s">
        <v>281</v>
      </c>
      <c r="E1008">
        <v>153020500</v>
      </c>
      <c r="F1008" t="s">
        <v>505</v>
      </c>
      <c r="G1008" t="s">
        <v>506</v>
      </c>
      <c r="H1008" t="s">
        <v>164</v>
      </c>
      <c r="I1008" t="s">
        <v>334</v>
      </c>
      <c r="J1008">
        <v>0</v>
      </c>
      <c r="L1008" s="5">
        <v>0</v>
      </c>
      <c r="M1008">
        <v>0</v>
      </c>
      <c r="N1008" s="5">
        <v>0</v>
      </c>
      <c r="O1008" s="5">
        <v>0</v>
      </c>
      <c r="P1008">
        <v>2</v>
      </c>
      <c r="Q1008" s="5">
        <v>3193.02</v>
      </c>
      <c r="R1008" s="5">
        <v>2503.71</v>
      </c>
      <c r="S1008" s="5">
        <v>1596.51</v>
      </c>
    </row>
    <row r="1009" spans="1:19">
      <c r="A1009">
        <v>96</v>
      </c>
      <c r="B1009" t="s">
        <v>302</v>
      </c>
      <c r="C1009" t="s">
        <v>303</v>
      </c>
      <c r="D1009" t="s">
        <v>281</v>
      </c>
      <c r="E1009">
        <v>153020500</v>
      </c>
      <c r="F1009" t="s">
        <v>505</v>
      </c>
      <c r="G1009" t="s">
        <v>506</v>
      </c>
      <c r="H1009" t="s">
        <v>164</v>
      </c>
      <c r="I1009" t="s">
        <v>336</v>
      </c>
      <c r="J1009">
        <v>0</v>
      </c>
      <c r="L1009" s="5">
        <v>0</v>
      </c>
      <c r="M1009">
        <v>0</v>
      </c>
      <c r="N1009" s="5">
        <v>0</v>
      </c>
      <c r="O1009" s="5">
        <v>0</v>
      </c>
      <c r="P1009">
        <v>2</v>
      </c>
      <c r="Q1009" s="5">
        <v>1596.5</v>
      </c>
      <c r="R1009" s="5">
        <v>1385.66</v>
      </c>
      <c r="S1009" s="5">
        <v>798.25</v>
      </c>
    </row>
    <row r="1010" spans="1:19">
      <c r="A1010">
        <v>96</v>
      </c>
      <c r="B1010" t="s">
        <v>302</v>
      </c>
      <c r="C1010" t="s">
        <v>303</v>
      </c>
      <c r="D1010" t="s">
        <v>281</v>
      </c>
      <c r="E1010">
        <v>153020500</v>
      </c>
      <c r="F1010" t="s">
        <v>505</v>
      </c>
      <c r="G1010" t="s">
        <v>506</v>
      </c>
      <c r="H1010" t="s">
        <v>164</v>
      </c>
      <c r="I1010" t="s">
        <v>337</v>
      </c>
      <c r="J1010">
        <v>0</v>
      </c>
      <c r="L1010" s="5">
        <v>0</v>
      </c>
      <c r="M1010">
        <v>0</v>
      </c>
      <c r="N1010" s="5">
        <v>0</v>
      </c>
      <c r="O1010" s="5">
        <v>0</v>
      </c>
      <c r="P1010">
        <v>4</v>
      </c>
      <c r="Q1010" s="5">
        <v>3193</v>
      </c>
      <c r="R1010" s="5">
        <v>2597.9</v>
      </c>
      <c r="S1010" s="5">
        <v>798.25</v>
      </c>
    </row>
    <row r="1011" spans="1:19">
      <c r="A1011">
        <v>96</v>
      </c>
      <c r="B1011" t="s">
        <v>302</v>
      </c>
      <c r="C1011" t="s">
        <v>303</v>
      </c>
      <c r="D1011" t="s">
        <v>281</v>
      </c>
      <c r="E1011">
        <v>153020500</v>
      </c>
      <c r="F1011" t="s">
        <v>505</v>
      </c>
      <c r="G1011" t="s">
        <v>506</v>
      </c>
      <c r="H1011" t="s">
        <v>164</v>
      </c>
      <c r="I1011" t="s">
        <v>337</v>
      </c>
      <c r="J1011">
        <v>0</v>
      </c>
      <c r="L1011" s="5">
        <v>0</v>
      </c>
      <c r="M1011">
        <v>0</v>
      </c>
      <c r="N1011" s="5">
        <v>0</v>
      </c>
      <c r="O1011" s="5">
        <v>0</v>
      </c>
      <c r="P1011">
        <v>2</v>
      </c>
      <c r="Q1011" s="5">
        <v>1565.6</v>
      </c>
      <c r="R1011" s="5">
        <v>952.33</v>
      </c>
      <c r="S1011" s="5">
        <v>782.8</v>
      </c>
    </row>
    <row r="1012" spans="1:19">
      <c r="A1012">
        <v>96</v>
      </c>
      <c r="B1012" t="s">
        <v>302</v>
      </c>
      <c r="C1012" t="s">
        <v>303</v>
      </c>
      <c r="D1012" t="s">
        <v>281</v>
      </c>
      <c r="E1012">
        <v>153020500</v>
      </c>
      <c r="F1012" t="s">
        <v>505</v>
      </c>
      <c r="G1012" t="s">
        <v>506</v>
      </c>
      <c r="H1012" t="s">
        <v>164</v>
      </c>
      <c r="I1012" t="s">
        <v>334</v>
      </c>
      <c r="J1012">
        <v>0</v>
      </c>
      <c r="L1012" s="5">
        <v>0</v>
      </c>
      <c r="M1012">
        <v>0</v>
      </c>
      <c r="N1012" s="5">
        <v>0</v>
      </c>
      <c r="O1012" s="5">
        <v>0</v>
      </c>
      <c r="P1012">
        <v>2</v>
      </c>
      <c r="Q1012" s="5">
        <v>3146.74</v>
      </c>
      <c r="R1012" s="5">
        <v>3756.06</v>
      </c>
      <c r="S1012" s="5">
        <v>1573.37</v>
      </c>
    </row>
    <row r="1013" spans="1:19">
      <c r="A1013">
        <v>97</v>
      </c>
      <c r="B1013" t="s">
        <v>305</v>
      </c>
      <c r="C1013" t="s">
        <v>306</v>
      </c>
      <c r="D1013" t="s">
        <v>66</v>
      </c>
      <c r="E1013">
        <v>153020500</v>
      </c>
      <c r="F1013" t="s">
        <v>507</v>
      </c>
      <c r="G1013" t="s">
        <v>508</v>
      </c>
      <c r="H1013" t="s">
        <v>127</v>
      </c>
      <c r="I1013" t="s">
        <v>333</v>
      </c>
      <c r="J1013">
        <v>0</v>
      </c>
      <c r="L1013" s="5">
        <v>0</v>
      </c>
      <c r="M1013">
        <v>0</v>
      </c>
      <c r="N1013" s="5">
        <v>0</v>
      </c>
      <c r="O1013" s="5">
        <v>0</v>
      </c>
      <c r="P1013">
        <v>4</v>
      </c>
      <c r="Q1013" s="5">
        <v>3560</v>
      </c>
      <c r="R1013" s="5">
        <v>3998.09</v>
      </c>
      <c r="S1013" s="5">
        <v>890</v>
      </c>
    </row>
    <row r="1014" spans="1:19">
      <c r="A1014">
        <v>97</v>
      </c>
      <c r="B1014" t="s">
        <v>305</v>
      </c>
      <c r="C1014" t="s">
        <v>306</v>
      </c>
      <c r="D1014" t="s">
        <v>66</v>
      </c>
      <c r="E1014">
        <v>153023895</v>
      </c>
      <c r="F1014" t="s">
        <v>507</v>
      </c>
      <c r="G1014" t="s">
        <v>508</v>
      </c>
      <c r="H1014" t="s">
        <v>127</v>
      </c>
      <c r="I1014" t="s">
        <v>333</v>
      </c>
      <c r="J1014">
        <v>0</v>
      </c>
      <c r="L1014" s="5">
        <v>0</v>
      </c>
      <c r="M1014">
        <v>0</v>
      </c>
      <c r="N1014" s="5">
        <v>0</v>
      </c>
      <c r="O1014" s="5">
        <v>0</v>
      </c>
      <c r="P1014">
        <v>4</v>
      </c>
      <c r="Q1014" s="5">
        <v>3560</v>
      </c>
      <c r="R1014" s="5">
        <v>2760.66</v>
      </c>
      <c r="S1014" s="5">
        <v>890</v>
      </c>
    </row>
    <row r="1015" spans="1:19">
      <c r="A1015">
        <v>97</v>
      </c>
      <c r="B1015" t="s">
        <v>305</v>
      </c>
      <c r="C1015" t="s">
        <v>306</v>
      </c>
      <c r="D1015" t="s">
        <v>66</v>
      </c>
      <c r="E1015">
        <v>153023895</v>
      </c>
      <c r="F1015" t="s">
        <v>507</v>
      </c>
      <c r="G1015" t="s">
        <v>508</v>
      </c>
      <c r="H1015" t="s">
        <v>127</v>
      </c>
      <c r="I1015" t="s">
        <v>333</v>
      </c>
      <c r="J1015">
        <v>0</v>
      </c>
      <c r="L1015" s="5">
        <v>0</v>
      </c>
      <c r="M1015">
        <v>0</v>
      </c>
      <c r="N1015" s="5">
        <v>0</v>
      </c>
      <c r="O1015" s="5">
        <v>0</v>
      </c>
      <c r="P1015">
        <v>4</v>
      </c>
      <c r="Q1015" s="5">
        <v>3560</v>
      </c>
      <c r="R1015" s="5">
        <v>2638.42</v>
      </c>
      <c r="S1015" s="5">
        <v>890</v>
      </c>
    </row>
    <row r="1016" spans="1:19">
      <c r="A1016">
        <v>97</v>
      </c>
      <c r="B1016" t="s">
        <v>305</v>
      </c>
      <c r="C1016" t="s">
        <v>306</v>
      </c>
      <c r="D1016" t="s">
        <v>66</v>
      </c>
      <c r="E1016">
        <v>153023895</v>
      </c>
      <c r="F1016" t="s">
        <v>507</v>
      </c>
      <c r="G1016" t="s">
        <v>508</v>
      </c>
      <c r="H1016" t="s">
        <v>127</v>
      </c>
      <c r="I1016" t="s">
        <v>334</v>
      </c>
      <c r="J1016">
        <v>0</v>
      </c>
      <c r="L1016" s="5">
        <v>0</v>
      </c>
      <c r="M1016">
        <v>0</v>
      </c>
      <c r="N1016" s="5">
        <v>0</v>
      </c>
      <c r="O1016" s="5">
        <v>0</v>
      </c>
      <c r="P1016">
        <v>4</v>
      </c>
      <c r="Q1016" s="5">
        <v>5080</v>
      </c>
      <c r="R1016" s="5">
        <v>2378.5300000000002</v>
      </c>
      <c r="S1016" s="5">
        <v>1270</v>
      </c>
    </row>
    <row r="1017" spans="1:19">
      <c r="A1017">
        <v>97</v>
      </c>
      <c r="B1017" t="s">
        <v>305</v>
      </c>
      <c r="C1017" t="s">
        <v>306</v>
      </c>
      <c r="D1017" t="s">
        <v>66</v>
      </c>
      <c r="E1017">
        <v>153023895</v>
      </c>
      <c r="F1017" t="s">
        <v>507</v>
      </c>
      <c r="G1017" t="s">
        <v>508</v>
      </c>
      <c r="H1017" t="s">
        <v>127</v>
      </c>
      <c r="I1017" t="s">
        <v>333</v>
      </c>
      <c r="J1017">
        <v>0</v>
      </c>
      <c r="L1017" s="5">
        <v>0</v>
      </c>
      <c r="M1017">
        <v>0</v>
      </c>
      <c r="N1017" s="5">
        <v>0</v>
      </c>
      <c r="O1017" s="5">
        <v>0</v>
      </c>
      <c r="P1017">
        <v>4</v>
      </c>
      <c r="Q1017" s="5">
        <v>3560</v>
      </c>
      <c r="R1017" s="5">
        <v>5330.79</v>
      </c>
      <c r="S1017" s="5">
        <v>890</v>
      </c>
    </row>
    <row r="1018" spans="1:19">
      <c r="A1018">
        <v>97</v>
      </c>
      <c r="B1018" t="s">
        <v>305</v>
      </c>
      <c r="C1018" t="s">
        <v>306</v>
      </c>
      <c r="D1018" t="s">
        <v>66</v>
      </c>
      <c r="E1018">
        <v>153023895</v>
      </c>
      <c r="F1018" t="s">
        <v>507</v>
      </c>
      <c r="G1018" t="s">
        <v>508</v>
      </c>
      <c r="H1018" t="s">
        <v>127</v>
      </c>
      <c r="I1018" t="s">
        <v>333</v>
      </c>
      <c r="J1018">
        <v>0</v>
      </c>
      <c r="L1018" s="5">
        <v>0</v>
      </c>
      <c r="M1018">
        <v>0</v>
      </c>
      <c r="N1018" s="5">
        <v>0</v>
      </c>
      <c r="O1018" s="5">
        <v>0</v>
      </c>
      <c r="P1018">
        <v>4</v>
      </c>
      <c r="Q1018" s="5">
        <v>3560</v>
      </c>
      <c r="R1018" s="5">
        <v>5775.02</v>
      </c>
      <c r="S1018" s="5">
        <v>890</v>
      </c>
    </row>
    <row r="1019" spans="1:19">
      <c r="A1019">
        <v>97</v>
      </c>
      <c r="B1019" t="s">
        <v>305</v>
      </c>
      <c r="C1019" t="s">
        <v>306</v>
      </c>
      <c r="D1019" t="s">
        <v>66</v>
      </c>
      <c r="E1019">
        <v>153023895</v>
      </c>
      <c r="F1019" t="s">
        <v>507</v>
      </c>
      <c r="G1019" t="s">
        <v>508</v>
      </c>
      <c r="H1019" t="s">
        <v>127</v>
      </c>
      <c r="I1019" t="s">
        <v>333</v>
      </c>
      <c r="J1019">
        <v>0</v>
      </c>
      <c r="L1019" s="5">
        <v>0</v>
      </c>
      <c r="M1019">
        <v>0</v>
      </c>
      <c r="N1019" s="5">
        <v>0</v>
      </c>
      <c r="O1019" s="5">
        <v>0</v>
      </c>
      <c r="P1019">
        <v>4</v>
      </c>
      <c r="Q1019" s="5">
        <v>3560</v>
      </c>
      <c r="R1019" s="5">
        <v>4886.5600000000004</v>
      </c>
      <c r="S1019" s="5">
        <v>890</v>
      </c>
    </row>
    <row r="1020" spans="1:19">
      <c r="A1020">
        <v>97</v>
      </c>
      <c r="B1020" t="s">
        <v>305</v>
      </c>
      <c r="C1020" t="s">
        <v>306</v>
      </c>
      <c r="D1020" t="s">
        <v>66</v>
      </c>
      <c r="E1020">
        <v>153023895</v>
      </c>
      <c r="F1020" t="s">
        <v>507</v>
      </c>
      <c r="G1020" t="s">
        <v>508</v>
      </c>
      <c r="H1020" t="s">
        <v>127</v>
      </c>
      <c r="I1020" t="s">
        <v>333</v>
      </c>
      <c r="J1020">
        <v>0</v>
      </c>
      <c r="L1020" s="5">
        <v>0</v>
      </c>
      <c r="M1020">
        <v>0</v>
      </c>
      <c r="N1020" s="5">
        <v>0</v>
      </c>
      <c r="O1020" s="5">
        <v>0</v>
      </c>
      <c r="P1020">
        <v>4</v>
      </c>
      <c r="Q1020" s="5">
        <v>3560</v>
      </c>
      <c r="R1020" s="5">
        <v>2509.6</v>
      </c>
      <c r="S1020" s="5">
        <v>890</v>
      </c>
    </row>
    <row r="1021" spans="1:19">
      <c r="A1021">
        <v>97</v>
      </c>
      <c r="B1021" t="s">
        <v>305</v>
      </c>
      <c r="C1021" t="s">
        <v>306</v>
      </c>
      <c r="D1021" t="s">
        <v>66</v>
      </c>
      <c r="E1021">
        <v>153023895</v>
      </c>
      <c r="F1021" t="s">
        <v>507</v>
      </c>
      <c r="G1021" t="s">
        <v>508</v>
      </c>
      <c r="H1021" t="s">
        <v>127</v>
      </c>
      <c r="I1021" t="s">
        <v>333</v>
      </c>
      <c r="J1021">
        <v>0</v>
      </c>
      <c r="L1021" s="5">
        <v>0</v>
      </c>
      <c r="M1021">
        <v>0</v>
      </c>
      <c r="N1021" s="5">
        <v>0</v>
      </c>
      <c r="O1021" s="5">
        <v>0</v>
      </c>
      <c r="P1021">
        <v>4</v>
      </c>
      <c r="Q1021" s="5">
        <v>3560</v>
      </c>
      <c r="R1021" s="5">
        <v>2135.67</v>
      </c>
      <c r="S1021" s="5">
        <v>890</v>
      </c>
    </row>
    <row r="1022" spans="1:19">
      <c r="A1022">
        <v>97</v>
      </c>
      <c r="B1022" t="s">
        <v>305</v>
      </c>
      <c r="C1022" t="s">
        <v>306</v>
      </c>
      <c r="D1022" t="s">
        <v>66</v>
      </c>
      <c r="E1022">
        <v>153023895</v>
      </c>
      <c r="F1022" t="s">
        <v>507</v>
      </c>
      <c r="G1022" t="s">
        <v>508</v>
      </c>
      <c r="H1022" t="s">
        <v>127</v>
      </c>
      <c r="I1022" t="s">
        <v>334</v>
      </c>
      <c r="J1022">
        <v>0</v>
      </c>
      <c r="L1022" s="5">
        <v>0</v>
      </c>
      <c r="M1022">
        <v>0</v>
      </c>
      <c r="N1022" s="5">
        <v>0</v>
      </c>
      <c r="O1022" s="5">
        <v>0</v>
      </c>
      <c r="P1022">
        <v>4</v>
      </c>
      <c r="Q1022" s="5">
        <v>5080</v>
      </c>
      <c r="R1022" s="5">
        <v>3654.72</v>
      </c>
      <c r="S1022" s="5">
        <v>1270</v>
      </c>
    </row>
    <row r="1023" spans="1:19">
      <c r="A1023">
        <v>97</v>
      </c>
      <c r="B1023" t="s">
        <v>305</v>
      </c>
      <c r="C1023" t="s">
        <v>306</v>
      </c>
      <c r="D1023" t="s">
        <v>66</v>
      </c>
      <c r="E1023">
        <v>153023895</v>
      </c>
      <c r="F1023" t="s">
        <v>507</v>
      </c>
      <c r="G1023" t="s">
        <v>508</v>
      </c>
      <c r="H1023" t="s">
        <v>127</v>
      </c>
      <c r="I1023" t="s">
        <v>333</v>
      </c>
      <c r="J1023">
        <v>0</v>
      </c>
      <c r="L1023" s="5">
        <v>0</v>
      </c>
      <c r="M1023">
        <v>0</v>
      </c>
      <c r="N1023" s="5">
        <v>0</v>
      </c>
      <c r="O1023" s="5">
        <v>0</v>
      </c>
      <c r="P1023">
        <v>4</v>
      </c>
      <c r="Q1023" s="5">
        <v>3560</v>
      </c>
      <c r="R1023" s="5">
        <v>3109.63</v>
      </c>
      <c r="S1023" s="5">
        <v>890</v>
      </c>
    </row>
    <row r="1024" spans="1:19">
      <c r="A1024">
        <v>98</v>
      </c>
      <c r="B1024" t="s">
        <v>308</v>
      </c>
      <c r="C1024" t="s">
        <v>309</v>
      </c>
      <c r="D1024" t="s">
        <v>66</v>
      </c>
      <c r="E1024">
        <v>153023895</v>
      </c>
      <c r="F1024" t="s">
        <v>509</v>
      </c>
      <c r="G1024" t="s">
        <v>510</v>
      </c>
      <c r="H1024" t="s">
        <v>113</v>
      </c>
      <c r="I1024" t="s">
        <v>337</v>
      </c>
      <c r="J1024">
        <v>0</v>
      </c>
      <c r="L1024" s="5">
        <v>0</v>
      </c>
      <c r="M1024">
        <v>0</v>
      </c>
      <c r="N1024" s="5">
        <v>0</v>
      </c>
      <c r="O1024" s="5">
        <v>0</v>
      </c>
      <c r="P1024">
        <v>4</v>
      </c>
      <c r="Q1024" s="5">
        <v>3200</v>
      </c>
      <c r="R1024" s="5">
        <v>1723.47</v>
      </c>
      <c r="S1024" s="5">
        <v>800</v>
      </c>
    </row>
    <row r="1025" spans="1:19">
      <c r="A1025">
        <v>98</v>
      </c>
      <c r="B1025" t="s">
        <v>308</v>
      </c>
      <c r="C1025" t="s">
        <v>309</v>
      </c>
      <c r="D1025" t="s">
        <v>66</v>
      </c>
      <c r="E1025">
        <v>153020733</v>
      </c>
      <c r="F1025" t="s">
        <v>509</v>
      </c>
      <c r="G1025" t="s">
        <v>510</v>
      </c>
      <c r="H1025" t="s">
        <v>113</v>
      </c>
      <c r="I1025" t="s">
        <v>333</v>
      </c>
      <c r="J1025">
        <v>0</v>
      </c>
      <c r="L1025" s="5">
        <v>0</v>
      </c>
      <c r="M1025">
        <v>0</v>
      </c>
      <c r="N1025" s="5">
        <v>0</v>
      </c>
      <c r="O1025" s="5">
        <v>0</v>
      </c>
      <c r="P1025">
        <v>4</v>
      </c>
      <c r="Q1025" s="5">
        <v>4880</v>
      </c>
      <c r="R1025" s="5">
        <v>4745.72</v>
      </c>
      <c r="S1025" s="5">
        <v>1220</v>
      </c>
    </row>
    <row r="1026" spans="1:19">
      <c r="A1026">
        <v>98</v>
      </c>
      <c r="B1026" t="s">
        <v>308</v>
      </c>
      <c r="C1026" t="s">
        <v>309</v>
      </c>
      <c r="D1026" t="s">
        <v>66</v>
      </c>
      <c r="E1026">
        <v>153020733</v>
      </c>
      <c r="F1026" t="s">
        <v>509</v>
      </c>
      <c r="G1026" t="s">
        <v>510</v>
      </c>
      <c r="H1026" t="s">
        <v>113</v>
      </c>
      <c r="I1026" t="s">
        <v>333</v>
      </c>
      <c r="J1026">
        <v>0</v>
      </c>
      <c r="L1026" s="5">
        <v>0</v>
      </c>
      <c r="M1026">
        <v>0</v>
      </c>
      <c r="N1026" s="5">
        <v>0</v>
      </c>
      <c r="O1026" s="5">
        <v>0</v>
      </c>
      <c r="P1026">
        <v>4</v>
      </c>
      <c r="Q1026" s="5">
        <v>4880</v>
      </c>
      <c r="R1026" s="5">
        <v>3763.64</v>
      </c>
      <c r="S1026" s="5">
        <v>1220</v>
      </c>
    </row>
    <row r="1027" spans="1:19">
      <c r="A1027">
        <v>98</v>
      </c>
      <c r="B1027" t="s">
        <v>308</v>
      </c>
      <c r="C1027" t="s">
        <v>309</v>
      </c>
      <c r="D1027" t="s">
        <v>66</v>
      </c>
      <c r="E1027">
        <v>153020733</v>
      </c>
      <c r="F1027" t="s">
        <v>509</v>
      </c>
      <c r="G1027" t="s">
        <v>510</v>
      </c>
      <c r="H1027" t="s">
        <v>113</v>
      </c>
      <c r="I1027" t="s">
        <v>333</v>
      </c>
      <c r="J1027">
        <v>0</v>
      </c>
      <c r="L1027" s="5">
        <v>0</v>
      </c>
      <c r="M1027">
        <v>0</v>
      </c>
      <c r="N1027" s="5">
        <v>0</v>
      </c>
      <c r="O1027" s="5">
        <v>0</v>
      </c>
      <c r="P1027">
        <v>4</v>
      </c>
      <c r="Q1027" s="5">
        <v>4880</v>
      </c>
      <c r="R1027" s="5">
        <v>4500.2</v>
      </c>
      <c r="S1027" s="5">
        <v>1220</v>
      </c>
    </row>
    <row r="1028" spans="1:19">
      <c r="A1028">
        <v>98</v>
      </c>
      <c r="B1028" t="s">
        <v>308</v>
      </c>
      <c r="C1028" t="s">
        <v>309</v>
      </c>
      <c r="D1028" t="s">
        <v>66</v>
      </c>
      <c r="E1028">
        <v>153020733</v>
      </c>
      <c r="F1028" t="s">
        <v>509</v>
      </c>
      <c r="G1028" t="s">
        <v>510</v>
      </c>
      <c r="H1028" t="s">
        <v>113</v>
      </c>
      <c r="I1028" t="s">
        <v>333</v>
      </c>
      <c r="J1028">
        <v>0</v>
      </c>
      <c r="L1028" s="5">
        <v>0</v>
      </c>
      <c r="M1028">
        <v>0</v>
      </c>
      <c r="N1028" s="5">
        <v>0</v>
      </c>
      <c r="O1028" s="5">
        <v>0</v>
      </c>
      <c r="P1028">
        <v>4</v>
      </c>
      <c r="Q1028" s="5">
        <v>4880</v>
      </c>
      <c r="R1028" s="5">
        <v>2537.36</v>
      </c>
      <c r="S1028" s="5">
        <v>1220</v>
      </c>
    </row>
    <row r="1029" spans="1:19">
      <c r="A1029">
        <v>98</v>
      </c>
      <c r="B1029" t="s">
        <v>308</v>
      </c>
      <c r="C1029" t="s">
        <v>309</v>
      </c>
      <c r="D1029" t="s">
        <v>66</v>
      </c>
      <c r="E1029">
        <v>153020733</v>
      </c>
      <c r="F1029" t="s">
        <v>509</v>
      </c>
      <c r="G1029" t="s">
        <v>510</v>
      </c>
      <c r="H1029" t="s">
        <v>113</v>
      </c>
      <c r="I1029" t="s">
        <v>333</v>
      </c>
      <c r="J1029">
        <v>0</v>
      </c>
      <c r="L1029" s="5">
        <v>0</v>
      </c>
      <c r="M1029">
        <v>0</v>
      </c>
      <c r="N1029" s="5">
        <v>0</v>
      </c>
      <c r="O1029" s="5">
        <v>0</v>
      </c>
      <c r="P1029">
        <v>4</v>
      </c>
      <c r="Q1029" s="5">
        <v>4880</v>
      </c>
      <c r="R1029" s="5">
        <v>1800.42</v>
      </c>
      <c r="S1029" s="5">
        <v>1220</v>
      </c>
    </row>
    <row r="1030" spans="1:19">
      <c r="A1030">
        <v>98</v>
      </c>
      <c r="B1030" t="s">
        <v>308</v>
      </c>
      <c r="C1030" t="s">
        <v>309</v>
      </c>
      <c r="D1030" t="s">
        <v>66</v>
      </c>
      <c r="E1030">
        <v>153020733</v>
      </c>
      <c r="F1030" t="s">
        <v>509</v>
      </c>
      <c r="G1030" t="s">
        <v>510</v>
      </c>
      <c r="H1030" t="s">
        <v>113</v>
      </c>
      <c r="I1030" t="s">
        <v>337</v>
      </c>
      <c r="J1030">
        <v>0</v>
      </c>
      <c r="L1030" s="5">
        <v>0</v>
      </c>
      <c r="M1030">
        <v>0</v>
      </c>
      <c r="N1030" s="5">
        <v>0</v>
      </c>
      <c r="O1030" s="5">
        <v>0</v>
      </c>
      <c r="P1030">
        <v>4</v>
      </c>
      <c r="Q1030" s="5">
        <v>3200</v>
      </c>
      <c r="R1030" s="5">
        <v>1538.71</v>
      </c>
      <c r="S1030" s="5">
        <v>800</v>
      </c>
    </row>
    <row r="1031" spans="1:19">
      <c r="A1031">
        <v>98</v>
      </c>
      <c r="B1031" t="s">
        <v>308</v>
      </c>
      <c r="C1031" t="s">
        <v>309</v>
      </c>
      <c r="D1031" t="s">
        <v>66</v>
      </c>
      <c r="E1031">
        <v>153020733</v>
      </c>
      <c r="F1031" t="s">
        <v>509</v>
      </c>
      <c r="G1031" t="s">
        <v>510</v>
      </c>
      <c r="H1031" t="s">
        <v>113</v>
      </c>
      <c r="I1031" t="s">
        <v>333</v>
      </c>
      <c r="J1031">
        <v>0</v>
      </c>
      <c r="L1031" s="5">
        <v>0</v>
      </c>
      <c r="M1031">
        <v>0</v>
      </c>
      <c r="N1031" s="5">
        <v>0</v>
      </c>
      <c r="O1031" s="5">
        <v>0</v>
      </c>
      <c r="P1031">
        <v>4</v>
      </c>
      <c r="Q1031" s="5">
        <v>4880</v>
      </c>
      <c r="R1031" s="5">
        <v>4254.68</v>
      </c>
      <c r="S1031" s="5">
        <v>1220</v>
      </c>
    </row>
    <row r="1032" spans="1:19">
      <c r="A1032">
        <v>98</v>
      </c>
      <c r="B1032" t="s">
        <v>308</v>
      </c>
      <c r="C1032" t="s">
        <v>309</v>
      </c>
      <c r="D1032" t="s">
        <v>66</v>
      </c>
      <c r="E1032">
        <v>153020733</v>
      </c>
      <c r="F1032" t="s">
        <v>509</v>
      </c>
      <c r="G1032" t="s">
        <v>510</v>
      </c>
      <c r="H1032" t="s">
        <v>113</v>
      </c>
      <c r="I1032" t="s">
        <v>333</v>
      </c>
      <c r="J1032">
        <v>0</v>
      </c>
      <c r="L1032" s="5">
        <v>0</v>
      </c>
      <c r="M1032">
        <v>0</v>
      </c>
      <c r="N1032" s="5">
        <v>0</v>
      </c>
      <c r="O1032" s="5">
        <v>0</v>
      </c>
      <c r="P1032">
        <v>4</v>
      </c>
      <c r="Q1032" s="5">
        <v>4880</v>
      </c>
      <c r="R1032" s="5">
        <v>3518.12</v>
      </c>
      <c r="S1032" s="5">
        <v>1220</v>
      </c>
    </row>
    <row r="1033" spans="1:19">
      <c r="A1033">
        <v>98</v>
      </c>
      <c r="B1033" t="s">
        <v>308</v>
      </c>
      <c r="C1033" t="s">
        <v>309</v>
      </c>
      <c r="D1033" t="s">
        <v>66</v>
      </c>
      <c r="E1033">
        <v>153020733</v>
      </c>
      <c r="F1033" t="s">
        <v>509</v>
      </c>
      <c r="G1033" t="s">
        <v>510</v>
      </c>
      <c r="H1033" t="s">
        <v>113</v>
      </c>
      <c r="I1033" t="s">
        <v>337</v>
      </c>
      <c r="J1033">
        <v>0</v>
      </c>
      <c r="L1033" s="5">
        <v>0</v>
      </c>
      <c r="M1033">
        <v>0</v>
      </c>
      <c r="N1033" s="5">
        <v>0</v>
      </c>
      <c r="O1033" s="5">
        <v>0</v>
      </c>
      <c r="P1033">
        <v>4</v>
      </c>
      <c r="Q1033" s="5">
        <v>2900</v>
      </c>
      <c r="R1033" s="5">
        <v>1353.94</v>
      </c>
      <c r="S1033" s="5">
        <v>725</v>
      </c>
    </row>
    <row r="1034" spans="1:19">
      <c r="A1034">
        <v>99</v>
      </c>
      <c r="B1034" t="s">
        <v>311</v>
      </c>
      <c r="C1034" t="s">
        <v>312</v>
      </c>
      <c r="D1034" t="s">
        <v>66</v>
      </c>
      <c r="E1034">
        <v>153020733</v>
      </c>
      <c r="F1034" t="s">
        <v>511</v>
      </c>
      <c r="G1034" t="s">
        <v>512</v>
      </c>
      <c r="H1034" t="s">
        <v>370</v>
      </c>
      <c r="I1034" t="s">
        <v>333</v>
      </c>
      <c r="J1034">
        <v>0</v>
      </c>
      <c r="L1034" s="5">
        <v>0</v>
      </c>
      <c r="M1034">
        <v>0</v>
      </c>
      <c r="N1034" s="5">
        <v>0</v>
      </c>
      <c r="O1034" s="5">
        <v>0</v>
      </c>
      <c r="P1034">
        <v>4</v>
      </c>
      <c r="Q1034" s="5">
        <v>3820</v>
      </c>
      <c r="R1034" s="5">
        <v>3498</v>
      </c>
      <c r="S1034" s="5">
        <v>955</v>
      </c>
    </row>
    <row r="1035" spans="1:19">
      <c r="A1035">
        <v>99</v>
      </c>
      <c r="B1035" t="s">
        <v>311</v>
      </c>
      <c r="C1035" t="s">
        <v>312</v>
      </c>
      <c r="D1035" t="s">
        <v>66</v>
      </c>
      <c r="E1035">
        <v>153023896</v>
      </c>
      <c r="F1035" t="s">
        <v>511</v>
      </c>
      <c r="G1035" t="s">
        <v>512</v>
      </c>
      <c r="H1035" t="s">
        <v>370</v>
      </c>
      <c r="I1035" t="s">
        <v>334</v>
      </c>
      <c r="J1035">
        <v>0</v>
      </c>
      <c r="L1035" s="5">
        <v>0</v>
      </c>
      <c r="M1035">
        <v>0</v>
      </c>
      <c r="N1035" s="5">
        <v>0</v>
      </c>
      <c r="O1035" s="5">
        <v>0</v>
      </c>
      <c r="P1035">
        <v>4</v>
      </c>
      <c r="Q1035" s="5">
        <v>5500</v>
      </c>
      <c r="R1035" s="5">
        <v>4454.6000000000004</v>
      </c>
      <c r="S1035" s="5">
        <v>1375</v>
      </c>
    </row>
    <row r="1036" spans="1:19">
      <c r="A1036">
        <v>99</v>
      </c>
      <c r="B1036" t="s">
        <v>311</v>
      </c>
      <c r="C1036" t="s">
        <v>312</v>
      </c>
      <c r="D1036" t="s">
        <v>66</v>
      </c>
      <c r="E1036">
        <v>153023896</v>
      </c>
      <c r="F1036" t="s">
        <v>511</v>
      </c>
      <c r="G1036" t="s">
        <v>512</v>
      </c>
      <c r="H1036" t="s">
        <v>370</v>
      </c>
      <c r="I1036" t="s">
        <v>334</v>
      </c>
      <c r="J1036">
        <v>0</v>
      </c>
      <c r="L1036" s="5">
        <v>0</v>
      </c>
      <c r="M1036">
        <v>0</v>
      </c>
      <c r="N1036" s="5">
        <v>0</v>
      </c>
      <c r="O1036" s="5">
        <v>0</v>
      </c>
      <c r="P1036">
        <v>4</v>
      </c>
      <c r="Q1036" s="5">
        <v>5500</v>
      </c>
      <c r="R1036" s="5">
        <v>4454.6000000000004</v>
      </c>
      <c r="S1036" s="5">
        <v>1375</v>
      </c>
    </row>
    <row r="1037" spans="1:19">
      <c r="A1037">
        <v>99</v>
      </c>
      <c r="B1037" t="s">
        <v>311</v>
      </c>
      <c r="C1037" t="s">
        <v>312</v>
      </c>
      <c r="D1037" t="s">
        <v>66</v>
      </c>
      <c r="E1037">
        <v>153023896</v>
      </c>
      <c r="F1037" t="s">
        <v>511</v>
      </c>
      <c r="G1037" t="s">
        <v>512</v>
      </c>
      <c r="H1037" t="s">
        <v>370</v>
      </c>
      <c r="I1037" t="s">
        <v>337</v>
      </c>
      <c r="J1037">
        <v>0</v>
      </c>
      <c r="L1037" s="5">
        <v>0</v>
      </c>
      <c r="M1037">
        <v>0</v>
      </c>
      <c r="N1037" s="5">
        <v>0</v>
      </c>
      <c r="O1037" s="5">
        <v>0</v>
      </c>
      <c r="P1037">
        <v>4</v>
      </c>
      <c r="Q1037" s="5">
        <v>2540</v>
      </c>
      <c r="R1037" s="5">
        <v>1600.54</v>
      </c>
      <c r="S1037" s="5">
        <v>635</v>
      </c>
    </row>
    <row r="1038" spans="1:19">
      <c r="A1038">
        <v>99</v>
      </c>
      <c r="B1038" t="s">
        <v>311</v>
      </c>
      <c r="C1038" t="s">
        <v>312</v>
      </c>
      <c r="D1038" t="s">
        <v>66</v>
      </c>
      <c r="E1038">
        <v>153023896</v>
      </c>
      <c r="F1038" t="s">
        <v>511</v>
      </c>
      <c r="G1038" t="s">
        <v>512</v>
      </c>
      <c r="H1038" t="s">
        <v>370</v>
      </c>
      <c r="I1038" t="s">
        <v>334</v>
      </c>
      <c r="J1038">
        <v>0</v>
      </c>
      <c r="L1038" s="5">
        <v>0</v>
      </c>
      <c r="M1038">
        <v>0</v>
      </c>
      <c r="N1038" s="5">
        <v>0</v>
      </c>
      <c r="O1038" s="5">
        <v>0</v>
      </c>
      <c r="P1038">
        <v>4</v>
      </c>
      <c r="Q1038" s="5">
        <v>5500</v>
      </c>
      <c r="R1038" s="5">
        <v>2459.96</v>
      </c>
      <c r="S1038" s="5">
        <v>1375</v>
      </c>
    </row>
    <row r="1039" spans="1:19">
      <c r="A1039">
        <v>99</v>
      </c>
      <c r="B1039" t="s">
        <v>311</v>
      </c>
      <c r="C1039" t="s">
        <v>312</v>
      </c>
      <c r="D1039" t="s">
        <v>66</v>
      </c>
      <c r="E1039">
        <v>153023896</v>
      </c>
      <c r="F1039" t="s">
        <v>511</v>
      </c>
      <c r="G1039" t="s">
        <v>512</v>
      </c>
      <c r="H1039" t="s">
        <v>370</v>
      </c>
      <c r="I1039" t="s">
        <v>334</v>
      </c>
      <c r="J1039">
        <v>0</v>
      </c>
      <c r="L1039" s="5">
        <v>0</v>
      </c>
      <c r="M1039">
        <v>0</v>
      </c>
      <c r="N1039" s="5">
        <v>0</v>
      </c>
      <c r="O1039" s="5">
        <v>0</v>
      </c>
      <c r="P1039">
        <v>4</v>
      </c>
      <c r="Q1039" s="5">
        <v>5500</v>
      </c>
      <c r="R1039" s="5">
        <v>4454.6000000000004</v>
      </c>
      <c r="S1039" s="5">
        <v>1375</v>
      </c>
    </row>
    <row r="1040" spans="1:19">
      <c r="A1040">
        <v>100</v>
      </c>
      <c r="B1040" t="s">
        <v>64</v>
      </c>
      <c r="C1040" t="s">
        <v>65</v>
      </c>
      <c r="D1040" t="s">
        <v>66</v>
      </c>
      <c r="E1040">
        <v>153023896</v>
      </c>
      <c r="F1040" t="s">
        <v>513</v>
      </c>
      <c r="G1040" t="s">
        <v>514</v>
      </c>
      <c r="H1040" t="s">
        <v>68</v>
      </c>
      <c r="I1040" t="s">
        <v>333</v>
      </c>
      <c r="J1040">
        <v>0</v>
      </c>
      <c r="L1040" s="5">
        <v>0</v>
      </c>
      <c r="M1040">
        <v>0</v>
      </c>
      <c r="N1040" s="5">
        <v>0</v>
      </c>
      <c r="O1040" s="5">
        <v>0</v>
      </c>
      <c r="P1040">
        <v>4</v>
      </c>
      <c r="Q1040" s="5">
        <v>3300</v>
      </c>
      <c r="R1040" s="5">
        <v>3213.09</v>
      </c>
      <c r="S1040" s="5">
        <v>825</v>
      </c>
    </row>
    <row r="1041" spans="1:19">
      <c r="A1041">
        <v>100</v>
      </c>
      <c r="B1041" t="s">
        <v>64</v>
      </c>
      <c r="C1041" t="s">
        <v>65</v>
      </c>
      <c r="D1041" t="s">
        <v>66</v>
      </c>
      <c r="E1041">
        <v>153021616</v>
      </c>
      <c r="F1041" t="s">
        <v>513</v>
      </c>
      <c r="G1041" t="s">
        <v>514</v>
      </c>
      <c r="H1041" t="s">
        <v>68</v>
      </c>
      <c r="I1041" t="s">
        <v>333</v>
      </c>
      <c r="J1041">
        <v>0</v>
      </c>
      <c r="L1041" s="5">
        <v>0</v>
      </c>
      <c r="M1041">
        <v>0</v>
      </c>
      <c r="N1041" s="5">
        <v>0</v>
      </c>
      <c r="O1041" s="5">
        <v>0</v>
      </c>
      <c r="P1041">
        <v>4</v>
      </c>
      <c r="Q1041" s="5">
        <v>3760</v>
      </c>
      <c r="R1041" s="5">
        <v>4418.37</v>
      </c>
      <c r="S1041" s="5">
        <v>940</v>
      </c>
    </row>
    <row r="1042" spans="1:19">
      <c r="A1042">
        <v>100</v>
      </c>
      <c r="B1042" t="s">
        <v>64</v>
      </c>
      <c r="C1042" t="s">
        <v>65</v>
      </c>
      <c r="D1042" t="s">
        <v>66</v>
      </c>
      <c r="E1042">
        <v>153021616</v>
      </c>
      <c r="F1042" t="s">
        <v>513</v>
      </c>
      <c r="G1042" t="s">
        <v>514</v>
      </c>
      <c r="H1042" t="s">
        <v>68</v>
      </c>
      <c r="I1042" t="s">
        <v>337</v>
      </c>
      <c r="J1042">
        <v>0</v>
      </c>
      <c r="L1042" s="5">
        <v>0</v>
      </c>
      <c r="M1042">
        <v>0</v>
      </c>
      <c r="N1042" s="5">
        <v>0</v>
      </c>
      <c r="O1042" s="5">
        <v>0</v>
      </c>
      <c r="P1042">
        <v>4</v>
      </c>
      <c r="Q1042" s="5">
        <v>2140</v>
      </c>
      <c r="R1042" s="5">
        <v>3001.79</v>
      </c>
      <c r="S1042" s="5">
        <v>535</v>
      </c>
    </row>
    <row r="1043" spans="1:19">
      <c r="A1043">
        <v>100</v>
      </c>
      <c r="B1043" t="s">
        <v>64</v>
      </c>
      <c r="C1043" t="s">
        <v>65</v>
      </c>
      <c r="D1043" t="s">
        <v>66</v>
      </c>
      <c r="E1043">
        <v>153021616</v>
      </c>
      <c r="F1043" t="s">
        <v>513</v>
      </c>
      <c r="G1043" t="s">
        <v>514</v>
      </c>
      <c r="H1043" t="s">
        <v>68</v>
      </c>
      <c r="I1043" t="s">
        <v>515</v>
      </c>
      <c r="J1043">
        <v>0</v>
      </c>
      <c r="L1043" s="5">
        <v>0</v>
      </c>
      <c r="M1043">
        <v>0</v>
      </c>
      <c r="N1043" s="5">
        <v>0</v>
      </c>
      <c r="O1043" s="5">
        <v>0</v>
      </c>
      <c r="P1043">
        <v>2</v>
      </c>
      <c r="Q1043" s="5">
        <v>2030</v>
      </c>
      <c r="R1043" s="5">
        <v>9799.02</v>
      </c>
      <c r="S1043" s="5">
        <v>1015</v>
      </c>
    </row>
    <row r="1044" spans="1:19">
      <c r="A1044">
        <v>100</v>
      </c>
      <c r="B1044" t="s">
        <v>64</v>
      </c>
      <c r="C1044" t="s">
        <v>65</v>
      </c>
      <c r="D1044" t="s">
        <v>66</v>
      </c>
      <c r="E1044">
        <v>153021616</v>
      </c>
      <c r="F1044" t="s">
        <v>513</v>
      </c>
      <c r="G1044" t="s">
        <v>514</v>
      </c>
      <c r="H1044" t="s">
        <v>68</v>
      </c>
      <c r="I1044" t="s">
        <v>333</v>
      </c>
      <c r="J1044">
        <v>0</v>
      </c>
      <c r="L1044" s="5">
        <v>0</v>
      </c>
      <c r="M1044">
        <v>0</v>
      </c>
      <c r="N1044" s="5">
        <v>0</v>
      </c>
      <c r="O1044" s="5">
        <v>0</v>
      </c>
      <c r="P1044">
        <v>4</v>
      </c>
      <c r="Q1044" s="5">
        <v>3760</v>
      </c>
      <c r="R1044" s="5">
        <v>2194.9</v>
      </c>
      <c r="S1044" s="5">
        <v>940</v>
      </c>
    </row>
    <row r="1045" spans="1:19">
      <c r="A1045">
        <v>100</v>
      </c>
      <c r="B1045" t="s">
        <v>64</v>
      </c>
      <c r="C1045" t="s">
        <v>65</v>
      </c>
      <c r="D1045" t="s">
        <v>66</v>
      </c>
      <c r="E1045">
        <v>153021616</v>
      </c>
      <c r="F1045" t="s">
        <v>513</v>
      </c>
      <c r="G1045" t="s">
        <v>514</v>
      </c>
      <c r="H1045" t="s">
        <v>68</v>
      </c>
      <c r="I1045" t="s">
        <v>333</v>
      </c>
      <c r="J1045">
        <v>0</v>
      </c>
      <c r="L1045" s="5">
        <v>0</v>
      </c>
      <c r="M1045">
        <v>0</v>
      </c>
      <c r="N1045" s="5">
        <v>0</v>
      </c>
      <c r="O1045" s="5">
        <v>0</v>
      </c>
      <c r="P1045">
        <v>4</v>
      </c>
      <c r="Q1045" s="5">
        <v>3760</v>
      </c>
      <c r="R1045" s="5">
        <v>4375.1400000000003</v>
      </c>
      <c r="S1045" s="5">
        <v>940</v>
      </c>
    </row>
    <row r="1046" spans="1:19">
      <c r="A1046">
        <v>100</v>
      </c>
      <c r="B1046" t="s">
        <v>64</v>
      </c>
      <c r="C1046" t="s">
        <v>65</v>
      </c>
      <c r="D1046" t="s">
        <v>66</v>
      </c>
      <c r="E1046">
        <v>153021616</v>
      </c>
      <c r="F1046" t="s">
        <v>513</v>
      </c>
      <c r="G1046" t="s">
        <v>514</v>
      </c>
      <c r="H1046" t="s">
        <v>68</v>
      </c>
      <c r="I1046" t="s">
        <v>337</v>
      </c>
      <c r="J1046">
        <v>4</v>
      </c>
      <c r="K1046" s="5">
        <v>2530.06</v>
      </c>
      <c r="L1046" s="5">
        <v>1940</v>
      </c>
      <c r="M1046">
        <v>0.233219765</v>
      </c>
      <c r="N1046" s="5">
        <v>590.05999999999995</v>
      </c>
      <c r="O1046" s="5">
        <v>147.52000000000001</v>
      </c>
      <c r="P1046">
        <v>0</v>
      </c>
      <c r="Q1046" s="5">
        <v>0</v>
      </c>
      <c r="R1046" s="5">
        <v>0</v>
      </c>
      <c r="S1046" s="5">
        <v>485</v>
      </c>
    </row>
    <row r="1047" spans="1:19">
      <c r="A1047">
        <v>100</v>
      </c>
      <c r="B1047" t="s">
        <v>64</v>
      </c>
      <c r="C1047" t="s">
        <v>65</v>
      </c>
      <c r="D1047" t="s">
        <v>66</v>
      </c>
      <c r="E1047">
        <v>153021616</v>
      </c>
      <c r="F1047" t="s">
        <v>513</v>
      </c>
      <c r="G1047" t="s">
        <v>514</v>
      </c>
      <c r="H1047" t="s">
        <v>68</v>
      </c>
      <c r="I1047" t="s">
        <v>337</v>
      </c>
      <c r="J1047">
        <v>0</v>
      </c>
      <c r="L1047" s="5">
        <v>0</v>
      </c>
      <c r="M1047">
        <v>0</v>
      </c>
      <c r="N1047" s="5">
        <v>0</v>
      </c>
      <c r="O1047" s="5">
        <v>0</v>
      </c>
      <c r="P1047">
        <v>4</v>
      </c>
      <c r="Q1047" s="5">
        <v>2140</v>
      </c>
      <c r="R1047" s="5">
        <v>1342.64</v>
      </c>
      <c r="S1047" s="5">
        <v>535</v>
      </c>
    </row>
    <row r="1048" spans="1:19">
      <c r="A1048">
        <v>100</v>
      </c>
      <c r="B1048" t="s">
        <v>64</v>
      </c>
      <c r="C1048" t="s">
        <v>65</v>
      </c>
      <c r="D1048" t="s">
        <v>66</v>
      </c>
      <c r="E1048">
        <v>153021616</v>
      </c>
      <c r="F1048" t="s">
        <v>513</v>
      </c>
      <c r="G1048" t="s">
        <v>514</v>
      </c>
      <c r="H1048" t="s">
        <v>68</v>
      </c>
      <c r="I1048" t="s">
        <v>337</v>
      </c>
      <c r="J1048">
        <v>0</v>
      </c>
      <c r="L1048" s="5">
        <v>0</v>
      </c>
      <c r="M1048">
        <v>0</v>
      </c>
      <c r="N1048" s="5">
        <v>0</v>
      </c>
      <c r="O1048" s="5">
        <v>0</v>
      </c>
      <c r="P1048">
        <v>4</v>
      </c>
      <c r="Q1048" s="5">
        <v>2140</v>
      </c>
      <c r="R1048" s="5">
        <v>1649.01</v>
      </c>
      <c r="S1048" s="5">
        <v>535</v>
      </c>
    </row>
    <row r="1049" spans="1:19">
      <c r="A1049">
        <v>100</v>
      </c>
      <c r="B1049" t="s">
        <v>64</v>
      </c>
      <c r="C1049" t="s">
        <v>65</v>
      </c>
      <c r="D1049" t="s">
        <v>66</v>
      </c>
      <c r="E1049">
        <v>153021616</v>
      </c>
      <c r="F1049" t="s">
        <v>513</v>
      </c>
      <c r="G1049" t="s">
        <v>514</v>
      </c>
      <c r="H1049" t="s">
        <v>68</v>
      </c>
      <c r="I1049" t="s">
        <v>334</v>
      </c>
      <c r="J1049">
        <v>0</v>
      </c>
      <c r="L1049" s="5">
        <v>0</v>
      </c>
      <c r="M1049">
        <v>0</v>
      </c>
      <c r="N1049" s="5">
        <v>0</v>
      </c>
      <c r="O1049" s="5">
        <v>0</v>
      </c>
      <c r="P1049">
        <v>4</v>
      </c>
      <c r="Q1049" s="5">
        <v>5060</v>
      </c>
      <c r="R1049" s="5">
        <v>2379.6999999999998</v>
      </c>
      <c r="S1049" s="5">
        <v>1265</v>
      </c>
    </row>
    <row r="1050" spans="1:19">
      <c r="A1050">
        <v>100</v>
      </c>
      <c r="B1050" t="s">
        <v>64</v>
      </c>
      <c r="C1050" t="s">
        <v>65</v>
      </c>
      <c r="D1050" t="s">
        <v>66</v>
      </c>
      <c r="E1050">
        <v>153021616</v>
      </c>
      <c r="F1050" t="s">
        <v>513</v>
      </c>
      <c r="G1050" t="s">
        <v>514</v>
      </c>
      <c r="H1050" t="s">
        <v>68</v>
      </c>
      <c r="I1050" t="s">
        <v>334</v>
      </c>
      <c r="J1050">
        <v>0</v>
      </c>
      <c r="L1050" s="5">
        <v>0</v>
      </c>
      <c r="M1050">
        <v>0</v>
      </c>
      <c r="N1050" s="5">
        <v>0</v>
      </c>
      <c r="O1050" s="5">
        <v>0</v>
      </c>
      <c r="P1050">
        <v>4</v>
      </c>
      <c r="Q1050" s="5">
        <v>5060</v>
      </c>
      <c r="R1050" s="5">
        <v>5361.61</v>
      </c>
      <c r="S1050" s="5">
        <v>1265</v>
      </c>
    </row>
    <row r="1051" spans="1:19">
      <c r="A1051">
        <v>100</v>
      </c>
      <c r="B1051" t="s">
        <v>64</v>
      </c>
      <c r="C1051" t="s">
        <v>65</v>
      </c>
      <c r="D1051" t="s">
        <v>66</v>
      </c>
      <c r="E1051">
        <v>153021616</v>
      </c>
      <c r="F1051" t="s">
        <v>513</v>
      </c>
      <c r="G1051" t="s">
        <v>514</v>
      </c>
      <c r="H1051" t="s">
        <v>68</v>
      </c>
      <c r="I1051" t="s">
        <v>338</v>
      </c>
      <c r="J1051">
        <v>2</v>
      </c>
      <c r="K1051" s="5">
        <v>6700.32</v>
      </c>
      <c r="L1051" s="5">
        <v>5397.48</v>
      </c>
      <c r="M1051">
        <v>0.19444444399999999</v>
      </c>
      <c r="N1051" s="5">
        <v>1302.8399999999999</v>
      </c>
      <c r="O1051" s="5">
        <v>651.41999999999996</v>
      </c>
      <c r="P1051">
        <v>0</v>
      </c>
      <c r="Q1051" s="5">
        <v>0</v>
      </c>
      <c r="R1051" s="5">
        <v>0</v>
      </c>
      <c r="S1051" s="5">
        <v>2698.74</v>
      </c>
    </row>
    <row r="1052" spans="1:19">
      <c r="A1052">
        <v>100</v>
      </c>
      <c r="B1052" t="s">
        <v>64</v>
      </c>
      <c r="C1052" t="s">
        <v>65</v>
      </c>
      <c r="D1052" t="s">
        <v>66</v>
      </c>
      <c r="E1052">
        <v>153021616</v>
      </c>
      <c r="F1052" t="s">
        <v>513</v>
      </c>
      <c r="G1052" t="s">
        <v>514</v>
      </c>
      <c r="H1052" t="s">
        <v>68</v>
      </c>
      <c r="I1052" t="s">
        <v>337</v>
      </c>
      <c r="J1052">
        <v>0</v>
      </c>
      <c r="L1052" s="5">
        <v>0</v>
      </c>
      <c r="M1052">
        <v>0</v>
      </c>
      <c r="N1052" s="5">
        <v>0</v>
      </c>
      <c r="O1052" s="5">
        <v>0</v>
      </c>
      <c r="P1052">
        <v>4</v>
      </c>
      <c r="Q1052" s="5">
        <v>1940</v>
      </c>
      <c r="R1052" s="5">
        <v>3302.07</v>
      </c>
      <c r="S1052" s="5">
        <v>485</v>
      </c>
    </row>
    <row r="1053" spans="1:19">
      <c r="A1053">
        <v>100</v>
      </c>
      <c r="B1053" t="s">
        <v>64</v>
      </c>
      <c r="C1053" t="s">
        <v>65</v>
      </c>
      <c r="D1053" t="s">
        <v>66</v>
      </c>
      <c r="E1053">
        <v>153021616</v>
      </c>
      <c r="F1053" t="s">
        <v>513</v>
      </c>
      <c r="G1053" t="s">
        <v>514</v>
      </c>
      <c r="H1053" t="s">
        <v>68</v>
      </c>
      <c r="I1053" t="s">
        <v>337</v>
      </c>
      <c r="J1053">
        <v>4</v>
      </c>
      <c r="K1053" s="5">
        <v>2530.06</v>
      </c>
      <c r="L1053" s="5">
        <v>1940</v>
      </c>
      <c r="M1053">
        <v>0.233219765</v>
      </c>
      <c r="N1053" s="5">
        <v>590.05999999999995</v>
      </c>
      <c r="O1053" s="5">
        <v>147.52000000000001</v>
      </c>
      <c r="P1053">
        <v>0</v>
      </c>
      <c r="Q1053" s="5">
        <v>0</v>
      </c>
      <c r="R1053" s="5">
        <v>0</v>
      </c>
      <c r="S1053" s="5">
        <v>485</v>
      </c>
    </row>
    <row r="1054" spans="1:19">
      <c r="A1054">
        <v>100</v>
      </c>
      <c r="B1054" t="s">
        <v>64</v>
      </c>
      <c r="C1054" t="s">
        <v>65</v>
      </c>
      <c r="D1054" t="s">
        <v>66</v>
      </c>
      <c r="E1054">
        <v>153021616</v>
      </c>
      <c r="F1054" t="s">
        <v>513</v>
      </c>
      <c r="G1054" t="s">
        <v>514</v>
      </c>
      <c r="H1054" t="s">
        <v>68</v>
      </c>
      <c r="I1054" t="s">
        <v>516</v>
      </c>
      <c r="J1054">
        <v>0</v>
      </c>
      <c r="L1054" s="5">
        <v>0</v>
      </c>
      <c r="M1054">
        <v>0</v>
      </c>
      <c r="N1054" s="5">
        <v>0</v>
      </c>
      <c r="O1054" s="5">
        <v>0</v>
      </c>
      <c r="P1054">
        <v>2</v>
      </c>
      <c r="Q1054" s="5">
        <v>1360</v>
      </c>
      <c r="R1054" s="5">
        <v>9799.02</v>
      </c>
      <c r="S1054" s="5">
        <v>680</v>
      </c>
    </row>
    <row r="1055" spans="1:19">
      <c r="A1055">
        <v>100</v>
      </c>
      <c r="B1055" t="s">
        <v>64</v>
      </c>
      <c r="C1055" t="s">
        <v>65</v>
      </c>
      <c r="D1055" t="s">
        <v>66</v>
      </c>
      <c r="E1055">
        <v>153021616</v>
      </c>
      <c r="F1055" t="s">
        <v>513</v>
      </c>
      <c r="G1055" t="s">
        <v>514</v>
      </c>
      <c r="H1055" t="s">
        <v>68</v>
      </c>
      <c r="I1055" t="s">
        <v>517</v>
      </c>
      <c r="J1055">
        <v>0</v>
      </c>
      <c r="L1055" s="5">
        <v>0</v>
      </c>
      <c r="M1055">
        <v>0</v>
      </c>
      <c r="N1055" s="5">
        <v>0</v>
      </c>
      <c r="O1055" s="5">
        <v>0</v>
      </c>
      <c r="P1055">
        <v>2</v>
      </c>
      <c r="Q1055" s="5">
        <v>1840</v>
      </c>
      <c r="R1055" s="5">
        <v>9799.02</v>
      </c>
      <c r="S1055" s="5">
        <v>920</v>
      </c>
    </row>
    <row r="1056" spans="1:19">
      <c r="A1056">
        <v>101</v>
      </c>
      <c r="B1056" t="s">
        <v>70</v>
      </c>
      <c r="C1056" t="s">
        <v>71</v>
      </c>
      <c r="D1056" t="s">
        <v>72</v>
      </c>
      <c r="E1056">
        <v>153021616</v>
      </c>
      <c r="F1056" t="s">
        <v>518</v>
      </c>
      <c r="G1056" t="s">
        <v>519</v>
      </c>
      <c r="H1056" t="s">
        <v>74</v>
      </c>
      <c r="I1056" t="s">
        <v>520</v>
      </c>
      <c r="J1056">
        <v>0</v>
      </c>
      <c r="L1056" s="5">
        <v>0</v>
      </c>
      <c r="M1056">
        <v>0</v>
      </c>
      <c r="N1056" s="5">
        <v>0</v>
      </c>
      <c r="O1056" s="5">
        <v>0</v>
      </c>
      <c r="P1056">
        <v>1</v>
      </c>
      <c r="Q1056" s="5">
        <v>2440</v>
      </c>
      <c r="R1056" s="5">
        <v>97999.02</v>
      </c>
      <c r="S1056" s="5">
        <v>2440</v>
      </c>
    </row>
    <row r="1057" spans="1:19">
      <c r="A1057">
        <v>101</v>
      </c>
      <c r="B1057" t="s">
        <v>70</v>
      </c>
      <c r="C1057" t="s">
        <v>71</v>
      </c>
      <c r="D1057" t="s">
        <v>72</v>
      </c>
      <c r="E1057">
        <v>153021542</v>
      </c>
      <c r="F1057" t="s">
        <v>518</v>
      </c>
      <c r="G1057" t="s">
        <v>519</v>
      </c>
      <c r="H1057" t="s">
        <v>74</v>
      </c>
      <c r="I1057" t="s">
        <v>337</v>
      </c>
      <c r="J1057">
        <v>0</v>
      </c>
      <c r="L1057" s="5">
        <v>0</v>
      </c>
      <c r="M1057">
        <v>0</v>
      </c>
      <c r="N1057" s="5">
        <v>0</v>
      </c>
      <c r="O1057" s="5">
        <v>0</v>
      </c>
      <c r="P1057">
        <v>4</v>
      </c>
      <c r="Q1057" s="5">
        <v>3720</v>
      </c>
      <c r="R1057" s="5">
        <v>2327.4</v>
      </c>
      <c r="S1057" s="5">
        <v>930</v>
      </c>
    </row>
    <row r="1058" spans="1:19">
      <c r="A1058">
        <v>101</v>
      </c>
      <c r="B1058" t="s">
        <v>70</v>
      </c>
      <c r="C1058" t="s">
        <v>71</v>
      </c>
      <c r="D1058" t="s">
        <v>72</v>
      </c>
      <c r="E1058">
        <v>153021542</v>
      </c>
      <c r="F1058" t="s">
        <v>518</v>
      </c>
      <c r="G1058" t="s">
        <v>519</v>
      </c>
      <c r="H1058" t="s">
        <v>74</v>
      </c>
      <c r="I1058" t="s">
        <v>333</v>
      </c>
      <c r="J1058">
        <v>0</v>
      </c>
      <c r="L1058" s="5">
        <v>0</v>
      </c>
      <c r="M1058">
        <v>0</v>
      </c>
      <c r="N1058" s="5">
        <v>0</v>
      </c>
      <c r="O1058" s="5">
        <v>0</v>
      </c>
      <c r="P1058">
        <v>4</v>
      </c>
      <c r="Q1058" s="5">
        <v>9400</v>
      </c>
      <c r="R1058" s="5">
        <v>4440</v>
      </c>
      <c r="S1058" s="5">
        <v>2350</v>
      </c>
    </row>
    <row r="1059" spans="1:19">
      <c r="A1059">
        <v>101</v>
      </c>
      <c r="B1059" t="s">
        <v>70</v>
      </c>
      <c r="C1059" t="s">
        <v>71</v>
      </c>
      <c r="D1059" t="s">
        <v>72</v>
      </c>
      <c r="E1059">
        <v>153021542</v>
      </c>
      <c r="F1059" t="s">
        <v>518</v>
      </c>
      <c r="G1059" t="s">
        <v>519</v>
      </c>
      <c r="H1059" t="s">
        <v>74</v>
      </c>
      <c r="I1059" t="s">
        <v>333</v>
      </c>
      <c r="J1059">
        <v>0</v>
      </c>
      <c r="L1059" s="5">
        <v>0</v>
      </c>
      <c r="M1059">
        <v>0</v>
      </c>
      <c r="N1059" s="5">
        <v>0</v>
      </c>
      <c r="O1059" s="5">
        <v>0</v>
      </c>
      <c r="P1059">
        <v>4</v>
      </c>
      <c r="Q1059" s="5">
        <v>7680</v>
      </c>
      <c r="R1059" s="5">
        <v>4440</v>
      </c>
      <c r="S1059" s="5">
        <v>1920</v>
      </c>
    </row>
    <row r="1060" spans="1:19">
      <c r="A1060">
        <v>102</v>
      </c>
      <c r="B1060" t="s">
        <v>76</v>
      </c>
      <c r="C1060" t="s">
        <v>77</v>
      </c>
      <c r="D1060" t="s">
        <v>72</v>
      </c>
      <c r="E1060">
        <v>153021542</v>
      </c>
      <c r="F1060" t="s">
        <v>521</v>
      </c>
      <c r="G1060" t="s">
        <v>522</v>
      </c>
      <c r="H1060" t="s">
        <v>79</v>
      </c>
      <c r="I1060" t="s">
        <v>520</v>
      </c>
      <c r="J1060">
        <v>0</v>
      </c>
      <c r="L1060" s="5">
        <v>0</v>
      </c>
      <c r="M1060">
        <v>0</v>
      </c>
      <c r="N1060" s="5">
        <v>0</v>
      </c>
      <c r="O1060" s="5">
        <v>0</v>
      </c>
      <c r="P1060">
        <v>1</v>
      </c>
      <c r="Q1060" s="5">
        <v>2440</v>
      </c>
      <c r="R1060" s="5">
        <v>9799.02</v>
      </c>
      <c r="S1060" s="5">
        <v>2440</v>
      </c>
    </row>
    <row r="1061" spans="1:19">
      <c r="A1061">
        <v>102</v>
      </c>
      <c r="B1061" t="s">
        <v>76</v>
      </c>
      <c r="C1061" t="s">
        <v>77</v>
      </c>
      <c r="D1061" t="s">
        <v>72</v>
      </c>
      <c r="E1061">
        <v>153023901</v>
      </c>
      <c r="F1061" t="s">
        <v>521</v>
      </c>
      <c r="G1061" t="s">
        <v>522</v>
      </c>
      <c r="H1061" t="s">
        <v>79</v>
      </c>
      <c r="I1061" t="s">
        <v>337</v>
      </c>
      <c r="J1061">
        <v>0</v>
      </c>
      <c r="L1061" s="5">
        <v>0</v>
      </c>
      <c r="M1061">
        <v>0</v>
      </c>
      <c r="N1061" s="5">
        <v>0</v>
      </c>
      <c r="O1061" s="5">
        <v>0</v>
      </c>
      <c r="P1061">
        <v>4</v>
      </c>
      <c r="Q1061" s="5">
        <v>3120</v>
      </c>
      <c r="R1061" s="5">
        <v>2048.64</v>
      </c>
      <c r="S1061" s="5">
        <v>780</v>
      </c>
    </row>
    <row r="1062" spans="1:19">
      <c r="A1062">
        <v>102</v>
      </c>
      <c r="B1062" t="s">
        <v>76</v>
      </c>
      <c r="C1062" t="s">
        <v>77</v>
      </c>
      <c r="D1062" t="s">
        <v>72</v>
      </c>
      <c r="E1062">
        <v>153023901</v>
      </c>
      <c r="F1062" t="s">
        <v>521</v>
      </c>
      <c r="G1062" t="s">
        <v>522</v>
      </c>
      <c r="H1062" t="s">
        <v>79</v>
      </c>
      <c r="I1062" t="s">
        <v>515</v>
      </c>
      <c r="J1062">
        <v>0</v>
      </c>
      <c r="L1062" s="5">
        <v>0</v>
      </c>
      <c r="M1062">
        <v>0</v>
      </c>
      <c r="N1062" s="5">
        <v>0</v>
      </c>
      <c r="O1062" s="5">
        <v>0</v>
      </c>
      <c r="P1062">
        <v>2</v>
      </c>
      <c r="Q1062" s="5">
        <v>4880</v>
      </c>
      <c r="R1062" s="5">
        <v>9799.02</v>
      </c>
      <c r="S1062" s="5">
        <v>2440</v>
      </c>
    </row>
    <row r="1063" spans="1:19">
      <c r="A1063">
        <v>102</v>
      </c>
      <c r="B1063" t="s">
        <v>76</v>
      </c>
      <c r="C1063" t="s">
        <v>77</v>
      </c>
      <c r="D1063" t="s">
        <v>72</v>
      </c>
      <c r="E1063">
        <v>153023901</v>
      </c>
      <c r="F1063" t="s">
        <v>521</v>
      </c>
      <c r="G1063" t="s">
        <v>522</v>
      </c>
      <c r="H1063" t="s">
        <v>79</v>
      </c>
      <c r="I1063" t="s">
        <v>517</v>
      </c>
      <c r="J1063">
        <v>0</v>
      </c>
      <c r="L1063" s="5">
        <v>0</v>
      </c>
      <c r="M1063">
        <v>0</v>
      </c>
      <c r="N1063" s="5">
        <v>0</v>
      </c>
      <c r="O1063" s="5">
        <v>0</v>
      </c>
      <c r="P1063">
        <v>2</v>
      </c>
      <c r="Q1063" s="5">
        <v>1840</v>
      </c>
      <c r="R1063" s="5">
        <v>9799.02</v>
      </c>
      <c r="S1063" s="5">
        <v>920</v>
      </c>
    </row>
    <row r="1064" spans="1:19">
      <c r="A1064">
        <v>102</v>
      </c>
      <c r="B1064" t="s">
        <v>76</v>
      </c>
      <c r="C1064" t="s">
        <v>77</v>
      </c>
      <c r="D1064" t="s">
        <v>72</v>
      </c>
      <c r="E1064">
        <v>153023901</v>
      </c>
      <c r="F1064" t="s">
        <v>521</v>
      </c>
      <c r="G1064" t="s">
        <v>522</v>
      </c>
      <c r="H1064" t="s">
        <v>79</v>
      </c>
      <c r="I1064" t="s">
        <v>337</v>
      </c>
      <c r="J1064">
        <v>0</v>
      </c>
      <c r="L1064" s="5">
        <v>0</v>
      </c>
      <c r="M1064">
        <v>0</v>
      </c>
      <c r="N1064" s="5">
        <v>0</v>
      </c>
      <c r="O1064" s="5">
        <v>0</v>
      </c>
      <c r="P1064">
        <v>4</v>
      </c>
      <c r="Q1064" s="5">
        <v>3120</v>
      </c>
      <c r="R1064" s="5">
        <v>3427.27</v>
      </c>
      <c r="S1064" s="5">
        <v>780</v>
      </c>
    </row>
    <row r="1065" spans="1:19">
      <c r="A1065">
        <v>103</v>
      </c>
      <c r="B1065" t="s">
        <v>81</v>
      </c>
      <c r="C1065" t="s">
        <v>82</v>
      </c>
      <c r="D1065" t="s">
        <v>83</v>
      </c>
      <c r="E1065">
        <v>153023901</v>
      </c>
      <c r="F1065" t="s">
        <v>523</v>
      </c>
      <c r="G1065" t="s">
        <v>524</v>
      </c>
      <c r="H1065" t="s">
        <v>370</v>
      </c>
      <c r="I1065" t="s">
        <v>515</v>
      </c>
      <c r="J1065">
        <v>0</v>
      </c>
      <c r="L1065" s="5">
        <v>0</v>
      </c>
      <c r="M1065">
        <v>0</v>
      </c>
      <c r="N1065" s="5">
        <v>0</v>
      </c>
      <c r="O1065" s="5">
        <v>0</v>
      </c>
      <c r="P1065">
        <v>2</v>
      </c>
      <c r="Q1065" s="5">
        <v>1730</v>
      </c>
      <c r="R1065" s="5">
        <v>0</v>
      </c>
      <c r="S1065" s="5">
        <v>865</v>
      </c>
    </row>
    <row r="1066" spans="1:19">
      <c r="A1066">
        <v>103</v>
      </c>
      <c r="B1066" t="s">
        <v>81</v>
      </c>
      <c r="C1066" t="s">
        <v>82</v>
      </c>
      <c r="D1066" t="s">
        <v>83</v>
      </c>
      <c r="E1066">
        <v>153023903</v>
      </c>
      <c r="F1066" t="s">
        <v>523</v>
      </c>
      <c r="G1066" t="s">
        <v>524</v>
      </c>
      <c r="H1066" t="s">
        <v>370</v>
      </c>
      <c r="I1066" t="s">
        <v>525</v>
      </c>
      <c r="J1066">
        <v>0</v>
      </c>
      <c r="L1066" s="5">
        <v>0</v>
      </c>
      <c r="M1066">
        <v>0</v>
      </c>
      <c r="N1066" s="5">
        <v>0</v>
      </c>
      <c r="O1066" s="5">
        <v>0</v>
      </c>
      <c r="P1066">
        <v>2</v>
      </c>
      <c r="Q1066" s="5">
        <v>1730</v>
      </c>
      <c r="R1066" s="5">
        <v>0</v>
      </c>
      <c r="S1066" s="5">
        <v>865</v>
      </c>
    </row>
    <row r="1067" spans="1:19">
      <c r="A1067">
        <v>104</v>
      </c>
      <c r="B1067" t="s">
        <v>87</v>
      </c>
      <c r="C1067" t="s">
        <v>88</v>
      </c>
      <c r="D1067" t="s">
        <v>89</v>
      </c>
      <c r="E1067">
        <v>153023903</v>
      </c>
      <c r="F1067" t="s">
        <v>526</v>
      </c>
      <c r="G1067" t="s">
        <v>527</v>
      </c>
      <c r="H1067" t="s">
        <v>91</v>
      </c>
      <c r="I1067" t="s">
        <v>515</v>
      </c>
      <c r="J1067">
        <v>0</v>
      </c>
      <c r="L1067" s="5">
        <v>0</v>
      </c>
      <c r="M1067">
        <v>0</v>
      </c>
      <c r="N1067" s="5">
        <v>0</v>
      </c>
      <c r="O1067" s="5">
        <v>0</v>
      </c>
      <c r="P1067">
        <v>2</v>
      </c>
      <c r="Q1067" s="5">
        <v>8370</v>
      </c>
      <c r="R1067" s="5">
        <v>0</v>
      </c>
      <c r="S1067" s="5">
        <v>4185</v>
      </c>
    </row>
    <row r="1068" spans="1:19">
      <c r="A1068">
        <v>104</v>
      </c>
      <c r="B1068" t="s">
        <v>87</v>
      </c>
      <c r="C1068" t="s">
        <v>88</v>
      </c>
      <c r="D1068" t="s">
        <v>89</v>
      </c>
      <c r="E1068">
        <v>153020449</v>
      </c>
      <c r="F1068" t="s">
        <v>526</v>
      </c>
      <c r="G1068" t="s">
        <v>527</v>
      </c>
      <c r="H1068" t="s">
        <v>91</v>
      </c>
      <c r="I1068" t="s">
        <v>334</v>
      </c>
      <c r="J1068">
        <v>0</v>
      </c>
      <c r="L1068" s="5">
        <v>0</v>
      </c>
      <c r="M1068">
        <v>0</v>
      </c>
      <c r="N1068" s="5">
        <v>0</v>
      </c>
      <c r="O1068" s="5">
        <v>0</v>
      </c>
      <c r="P1068">
        <v>4</v>
      </c>
      <c r="Q1068" s="5">
        <v>31500</v>
      </c>
      <c r="R1068" s="5">
        <v>20020.16</v>
      </c>
      <c r="S1068" s="5">
        <v>15750</v>
      </c>
    </row>
    <row r="1069" spans="1:19">
      <c r="A1069">
        <v>104</v>
      </c>
      <c r="B1069" t="s">
        <v>87</v>
      </c>
      <c r="C1069" t="s">
        <v>88</v>
      </c>
      <c r="D1069" t="s">
        <v>89</v>
      </c>
      <c r="E1069">
        <v>153020449</v>
      </c>
      <c r="F1069" t="s">
        <v>526</v>
      </c>
      <c r="G1069" t="s">
        <v>527</v>
      </c>
      <c r="H1069" t="s">
        <v>91</v>
      </c>
      <c r="I1069" t="s">
        <v>525</v>
      </c>
      <c r="J1069">
        <v>0</v>
      </c>
      <c r="L1069" s="5">
        <v>0</v>
      </c>
      <c r="M1069">
        <v>0</v>
      </c>
      <c r="N1069" s="5">
        <v>0</v>
      </c>
      <c r="O1069" s="5">
        <v>0</v>
      </c>
      <c r="P1069">
        <v>2</v>
      </c>
      <c r="Q1069" s="5">
        <v>8370</v>
      </c>
      <c r="R1069" s="5">
        <v>0</v>
      </c>
      <c r="S1069" s="5">
        <v>4185</v>
      </c>
    </row>
    <row r="1070" spans="1:19">
      <c r="A1070">
        <f>--MID(F1070,FIND("(Match ",F1070)+7,FIND(")",F1070)-FIND("(Match ",F1070)-7)</f>
        <v>104</v>
      </c>
      <c r="B1070" t="str">
        <f>LEFT(F1070,FIND(" vs ",F1070)-1)</f>
        <v>W101</v>
      </c>
      <c r="C1070" t="str">
        <f>MID(F1070,FIND(" vs ",F1070)+4,FIND(" - ",F1070)-FIND(" vs ",F1070)-4)</f>
        <v>W102</v>
      </c>
      <c r="D1070" t="str">
        <f>TRIM(MID(F1070,FIND("World Cup - ",F1070)+12,FIND(" (Match",F1070)-FIND("World Cup - ",F1070)-12))</f>
        <v>Final</v>
      </c>
      <c r="E1070">
        <v>153020449</v>
      </c>
      <c r="F1070" t="s">
        <v>526</v>
      </c>
      <c r="G1070" t="s">
        <v>527</v>
      </c>
      <c r="H1070" t="s">
        <v>91</v>
      </c>
      <c r="I1070" t="s">
        <v>525</v>
      </c>
      <c r="J1070">
        <v>0</v>
      </c>
      <c r="L1070" s="5">
        <v>0</v>
      </c>
      <c r="M1070" s="5">
        <v>8370</v>
      </c>
      <c r="N1070" s="5">
        <v>0</v>
      </c>
      <c r="O1070" s="5">
        <v>4185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97"/>
  <sheetViews>
    <sheetView tabSelected="1" workbookViewId="0">
      <selection sqref="A1:XFD1048576"/>
    </sheetView>
  </sheetViews>
  <sheetFormatPr defaultRowHeight="15"/>
  <cols>
    <col min="1" max="1" width="8.42578125" bestFit="1" customWidth="1"/>
    <col min="2" max="3" width="14.28515625" bestFit="1" customWidth="1"/>
    <col min="4" max="4" width="14.5703125" bestFit="1" customWidth="1"/>
    <col min="5" max="5" width="10.42578125" bestFit="1" customWidth="1"/>
    <col min="6" max="6" width="56.85546875" bestFit="1" customWidth="1"/>
    <col min="7" max="7" width="10.28515625" bestFit="1" customWidth="1"/>
    <col min="8" max="8" width="27.28515625" bestFit="1" customWidth="1"/>
    <col min="9" max="9" width="47.5703125" bestFit="1" customWidth="1"/>
    <col min="10" max="10" width="16" bestFit="1" customWidth="1"/>
    <col min="11" max="11" width="8.28515625" bestFit="1" customWidth="1"/>
    <col min="12" max="12" width="13.42578125" bestFit="1" customWidth="1"/>
    <col min="13" max="13" width="13.7109375" bestFit="1" customWidth="1"/>
    <col min="14" max="14" width="11" bestFit="1" customWidth="1"/>
    <col min="15" max="15" width="12.7109375" bestFit="1" customWidth="1"/>
    <col min="16" max="16" width="11" bestFit="1" customWidth="1"/>
    <col min="17" max="17" width="9.85546875" bestFit="1" customWidth="1"/>
    <col min="18" max="18" width="15.28515625" bestFit="1" customWidth="1"/>
    <col min="19" max="19" width="15.85546875" bestFit="1" customWidth="1"/>
    <col min="20" max="20" width="11.7109375" bestFit="1" customWidth="1"/>
    <col min="21" max="21" width="19.140625" bestFit="1" customWidth="1"/>
  </cols>
  <sheetData>
    <row r="1" spans="1:21">
      <c r="A1" s="4" t="s">
        <v>528</v>
      </c>
      <c r="B1" s="4" t="s">
        <v>21</v>
      </c>
      <c r="C1" s="4" t="s">
        <v>22</v>
      </c>
      <c r="D1" s="4" t="s">
        <v>23</v>
      </c>
      <c r="E1" s="4" t="s">
        <v>317</v>
      </c>
      <c r="F1" s="4" t="s">
        <v>25</v>
      </c>
      <c r="G1" s="4" t="s">
        <v>529</v>
      </c>
      <c r="H1" s="4" t="s">
        <v>318</v>
      </c>
      <c r="I1" s="4" t="s">
        <v>319</v>
      </c>
      <c r="J1" s="4" t="s">
        <v>530</v>
      </c>
      <c r="K1" s="4" t="s">
        <v>531</v>
      </c>
      <c r="L1" s="4" t="s">
        <v>321</v>
      </c>
      <c r="M1" s="4" t="s">
        <v>322</v>
      </c>
      <c r="N1" s="4" t="s">
        <v>323</v>
      </c>
      <c r="O1" s="4" t="s">
        <v>324</v>
      </c>
      <c r="P1" s="4" t="s">
        <v>325</v>
      </c>
      <c r="Q1" s="4" t="s">
        <v>326</v>
      </c>
      <c r="R1" s="4" t="s">
        <v>329</v>
      </c>
      <c r="S1" s="4" t="s">
        <v>327</v>
      </c>
      <c r="T1" s="4" t="s">
        <v>328</v>
      </c>
      <c r="U1" s="4" t="s">
        <v>532</v>
      </c>
    </row>
    <row r="2" spans="1:21">
      <c r="A2">
        <f>--MID(F2,FIND("(Match ",F2)+7,FIND(")",F2)-FIND("(Match ",F2)-7)</f>
        <v>104</v>
      </c>
      <c r="B2" t="str">
        <f>LEFT(F2,FIND(" vs ",F2)-1)</f>
        <v>W101</v>
      </c>
      <c r="C2" t="str">
        <f>MID(F2,FIND(" vs ",F2)+4,FIND(" - ",F2)-FIND(" vs ",F2)-4)</f>
        <v>W102</v>
      </c>
      <c r="D2" t="str">
        <f>TRIM(MID(F2,FIND("World Cup - ",F2)+12,FIND(" (Match",F2)-FIND("World Cup - ",F2)-12))</f>
        <v>Final</v>
      </c>
      <c r="E2" s="45">
        <v>153020449</v>
      </c>
      <c r="F2" s="46" t="s">
        <v>526</v>
      </c>
      <c r="G2" s="46" t="s">
        <v>533</v>
      </c>
      <c r="H2" s="46" t="s">
        <v>527</v>
      </c>
      <c r="I2" s="46" t="s">
        <v>91</v>
      </c>
      <c r="J2" s="46" t="s">
        <v>534</v>
      </c>
      <c r="K2" s="46" t="s">
        <v>535</v>
      </c>
      <c r="L2" s="46">
        <v>0</v>
      </c>
      <c r="M2" s="46"/>
      <c r="N2" s="47">
        <v>0</v>
      </c>
      <c r="O2" s="46">
        <v>0</v>
      </c>
      <c r="P2" s="47">
        <v>0</v>
      </c>
      <c r="Q2" s="47">
        <v>0</v>
      </c>
      <c r="R2" s="47">
        <v>10010.08</v>
      </c>
      <c r="S2" s="46">
        <v>8</v>
      </c>
      <c r="T2" s="47">
        <v>48240</v>
      </c>
      <c r="U2" s="48">
        <v>6030</v>
      </c>
    </row>
    <row r="3" spans="1:21">
      <c r="A3">
        <f>--MID(F3,FIND("(Match ",F3)+7,FIND(")",F3)-FIND("(Match ",F3)-7)</f>
        <v>6</v>
      </c>
      <c r="B3" t="str">
        <f>LEFT(F3,FIND(" vs ",F3)-1)</f>
        <v>Australia</v>
      </c>
      <c r="C3" t="str">
        <f>MID(F3,FIND(" vs ",F3)+4,FIND(" - ",F3)-FIND(" vs ",F3)-4)</f>
        <v>TBD</v>
      </c>
      <c r="D3" t="str">
        <f>TRIM(MID(F3,FIND("World Cup - ",F3)+12,FIND(" (Match",F3)-FIND("World Cup - ",F3)-12))</f>
        <v>Group D</v>
      </c>
      <c r="E3" s="49">
        <v>153020454</v>
      </c>
      <c r="F3" s="50" t="s">
        <v>349</v>
      </c>
      <c r="G3" s="50" t="s">
        <v>533</v>
      </c>
      <c r="H3" s="50" t="s">
        <v>350</v>
      </c>
      <c r="I3" s="50" t="s">
        <v>164</v>
      </c>
      <c r="J3" s="50" t="s">
        <v>536</v>
      </c>
      <c r="K3" s="50" t="s">
        <v>161</v>
      </c>
      <c r="L3" s="50">
        <v>0</v>
      </c>
      <c r="M3" s="50"/>
      <c r="N3" s="51">
        <v>0</v>
      </c>
      <c r="O3" s="50">
        <v>0</v>
      </c>
      <c r="P3" s="51">
        <v>0</v>
      </c>
      <c r="Q3" s="51">
        <v>0</v>
      </c>
      <c r="R3" s="51">
        <v>953.12</v>
      </c>
      <c r="S3" s="50">
        <v>20</v>
      </c>
      <c r="T3" s="51">
        <v>8860</v>
      </c>
      <c r="U3" s="52">
        <v>443</v>
      </c>
    </row>
    <row r="4" spans="1:21">
      <c r="A4">
        <f t="shared" ref="A4:A67" si="0">--MID(F4,FIND("(Match ",F4)+7,FIND(")",F4)-FIND("(Match ",F4)-7)</f>
        <v>51</v>
      </c>
      <c r="B4" t="str">
        <f t="shared" ref="B4:B67" si="1">LEFT(F4,FIND(" vs ",F4)-1)</f>
        <v>Switzerland</v>
      </c>
      <c r="C4" t="str">
        <f t="shared" ref="C4:C67" si="2">MID(F4,FIND(" vs ",F4)+4,FIND(" - ",F4)-FIND(" vs ",F4)-4)</f>
        <v>Canada</v>
      </c>
      <c r="D4" t="str">
        <f t="shared" ref="D4:D67" si="3">TRIM(MID(F4,FIND("World Cup - ",F4)+12,FIND(" (Match",F4)-FIND("World Cup - ",F4)-12))</f>
        <v>Group B</v>
      </c>
      <c r="E4" s="49">
        <v>153020467</v>
      </c>
      <c r="F4" s="50" t="s">
        <v>423</v>
      </c>
      <c r="G4" s="50" t="s">
        <v>533</v>
      </c>
      <c r="H4" s="50" t="s">
        <v>424</v>
      </c>
      <c r="I4" s="50" t="s">
        <v>164</v>
      </c>
      <c r="J4" s="50" t="s">
        <v>536</v>
      </c>
      <c r="K4" s="50" t="s">
        <v>161</v>
      </c>
      <c r="L4" s="50">
        <v>0</v>
      </c>
      <c r="M4" s="50"/>
      <c r="N4" s="51">
        <v>0</v>
      </c>
      <c r="O4" s="50">
        <v>0</v>
      </c>
      <c r="P4" s="51">
        <v>0</v>
      </c>
      <c r="Q4" s="51">
        <v>0</v>
      </c>
      <c r="R4" s="51">
        <v>881.09</v>
      </c>
      <c r="S4" s="50">
        <v>4</v>
      </c>
      <c r="T4" s="51">
        <v>2800</v>
      </c>
      <c r="U4" s="52">
        <v>700</v>
      </c>
    </row>
    <row r="5" spans="1:21">
      <c r="A5">
        <f t="shared" si="0"/>
        <v>64</v>
      </c>
      <c r="B5" t="str">
        <f t="shared" si="1"/>
        <v>New Zealand</v>
      </c>
      <c r="C5" t="str">
        <f t="shared" si="2"/>
        <v>Belgium</v>
      </c>
      <c r="D5" t="str">
        <f t="shared" si="3"/>
        <v>Group G</v>
      </c>
      <c r="E5" s="49">
        <v>153020469</v>
      </c>
      <c r="F5" s="50" t="s">
        <v>448</v>
      </c>
      <c r="G5" s="50" t="s">
        <v>533</v>
      </c>
      <c r="H5" s="50" t="s">
        <v>447</v>
      </c>
      <c r="I5" s="50" t="s">
        <v>164</v>
      </c>
      <c r="J5" s="50" t="s">
        <v>536</v>
      </c>
      <c r="K5" s="50" t="s">
        <v>161</v>
      </c>
      <c r="L5" s="50">
        <v>2</v>
      </c>
      <c r="M5" s="51">
        <v>686.68</v>
      </c>
      <c r="N5" s="51">
        <v>615.94000000000005</v>
      </c>
      <c r="O5" s="50">
        <v>0.103017417</v>
      </c>
      <c r="P5" s="51">
        <v>70.739999999999995</v>
      </c>
      <c r="Q5" s="51">
        <v>35.369999999999997</v>
      </c>
      <c r="R5" s="51">
        <v>671.24</v>
      </c>
      <c r="S5" s="50">
        <v>11</v>
      </c>
      <c r="T5" s="51">
        <v>4900</v>
      </c>
      <c r="U5" s="52">
        <v>445.45</v>
      </c>
    </row>
    <row r="6" spans="1:21">
      <c r="A6">
        <f t="shared" si="0"/>
        <v>85</v>
      </c>
      <c r="B6" t="str">
        <f t="shared" si="1"/>
        <v>1B</v>
      </c>
      <c r="C6" t="str">
        <f t="shared" si="2"/>
        <v>3E/F/G/I/J</v>
      </c>
      <c r="D6" t="str">
        <f t="shared" si="3"/>
        <v>Round of 32</v>
      </c>
      <c r="E6" s="49">
        <v>153020498</v>
      </c>
      <c r="F6" s="50" t="s">
        <v>481</v>
      </c>
      <c r="G6" s="50" t="s">
        <v>533</v>
      </c>
      <c r="H6" s="50" t="s">
        <v>482</v>
      </c>
      <c r="I6" s="50" t="s">
        <v>164</v>
      </c>
      <c r="J6" s="50" t="s">
        <v>536</v>
      </c>
      <c r="K6" s="50" t="s">
        <v>161</v>
      </c>
      <c r="L6" s="50">
        <v>0</v>
      </c>
      <c r="M6" s="50"/>
      <c r="N6" s="51">
        <v>0</v>
      </c>
      <c r="O6" s="50">
        <v>0</v>
      </c>
      <c r="P6" s="51">
        <v>0</v>
      </c>
      <c r="Q6" s="51">
        <v>0</v>
      </c>
      <c r="R6" s="51">
        <v>1758.25</v>
      </c>
      <c r="S6" s="50">
        <v>22</v>
      </c>
      <c r="T6" s="51">
        <v>21271.88</v>
      </c>
      <c r="U6" s="52">
        <v>966.9</v>
      </c>
    </row>
    <row r="7" spans="1:21">
      <c r="A7">
        <f t="shared" si="0"/>
        <v>96</v>
      </c>
      <c r="B7" t="str">
        <f t="shared" si="1"/>
        <v>W85</v>
      </c>
      <c r="C7" t="str">
        <f t="shared" si="2"/>
        <v>W87</v>
      </c>
      <c r="D7" t="str">
        <f t="shared" si="3"/>
        <v>Round of 16</v>
      </c>
      <c r="E7" s="49">
        <v>153020500</v>
      </c>
      <c r="F7" s="50" t="s">
        <v>505</v>
      </c>
      <c r="G7" s="50" t="s">
        <v>533</v>
      </c>
      <c r="H7" s="50" t="s">
        <v>506</v>
      </c>
      <c r="I7" s="50" t="s">
        <v>164</v>
      </c>
      <c r="J7" s="50" t="s">
        <v>536</v>
      </c>
      <c r="K7" s="50" t="s">
        <v>161</v>
      </c>
      <c r="L7" s="50">
        <v>0</v>
      </c>
      <c r="M7" s="50"/>
      <c r="N7" s="51">
        <v>0</v>
      </c>
      <c r="O7" s="50">
        <v>0</v>
      </c>
      <c r="P7" s="51">
        <v>0</v>
      </c>
      <c r="Q7" s="51">
        <v>0</v>
      </c>
      <c r="R7" s="51">
        <v>2285.27</v>
      </c>
      <c r="S7" s="50">
        <v>17</v>
      </c>
      <c r="T7" s="51">
        <v>19099.64</v>
      </c>
      <c r="U7" s="52">
        <v>1123.51</v>
      </c>
    </row>
    <row r="8" spans="1:21">
      <c r="A8">
        <f t="shared" si="0"/>
        <v>16</v>
      </c>
      <c r="B8" t="str">
        <f t="shared" si="1"/>
        <v>Belgium</v>
      </c>
      <c r="C8" t="str">
        <f t="shared" si="2"/>
        <v>Egypt</v>
      </c>
      <c r="D8" t="str">
        <f t="shared" si="3"/>
        <v>Group G</v>
      </c>
      <c r="E8" s="49">
        <v>153020522</v>
      </c>
      <c r="F8" s="50" t="s">
        <v>363</v>
      </c>
      <c r="G8" s="50" t="s">
        <v>533</v>
      </c>
      <c r="H8" s="50" t="s">
        <v>364</v>
      </c>
      <c r="I8" s="50" t="s">
        <v>365</v>
      </c>
      <c r="J8" s="50" t="s">
        <v>537</v>
      </c>
      <c r="K8" s="50" t="s">
        <v>535</v>
      </c>
      <c r="L8" s="50">
        <v>12</v>
      </c>
      <c r="M8" s="51">
        <v>6248.63</v>
      </c>
      <c r="N8" s="51">
        <v>3720</v>
      </c>
      <c r="O8" s="50">
        <v>0.40466950299999999</v>
      </c>
      <c r="P8" s="51">
        <v>2528.63</v>
      </c>
      <c r="Q8" s="51">
        <v>210.72</v>
      </c>
      <c r="R8" s="51">
        <v>1428.41</v>
      </c>
      <c r="S8" s="50">
        <v>10</v>
      </c>
      <c r="T8" s="51">
        <v>4240</v>
      </c>
      <c r="U8" s="52">
        <v>424</v>
      </c>
    </row>
    <row r="9" spans="1:21">
      <c r="A9">
        <f t="shared" si="0"/>
        <v>32</v>
      </c>
      <c r="B9" t="str">
        <f t="shared" si="1"/>
        <v>United States</v>
      </c>
      <c r="C9" t="str">
        <f t="shared" si="2"/>
        <v>Australia</v>
      </c>
      <c r="D9" t="str">
        <f t="shared" si="3"/>
        <v>Group D</v>
      </c>
      <c r="E9" s="49">
        <v>153020544</v>
      </c>
      <c r="F9" s="50" t="s">
        <v>388</v>
      </c>
      <c r="G9" s="50" t="s">
        <v>533</v>
      </c>
      <c r="H9" s="50" t="s">
        <v>389</v>
      </c>
      <c r="I9" s="50" t="s">
        <v>365</v>
      </c>
      <c r="J9" s="50" t="s">
        <v>537</v>
      </c>
      <c r="K9" s="50" t="s">
        <v>535</v>
      </c>
      <c r="L9" s="50">
        <v>4</v>
      </c>
      <c r="M9" s="51">
        <v>3673.82</v>
      </c>
      <c r="N9" s="51">
        <v>880</v>
      </c>
      <c r="O9" s="50">
        <v>0.76046730600000001</v>
      </c>
      <c r="P9" s="51">
        <v>2793.82</v>
      </c>
      <c r="Q9" s="51">
        <v>698.46</v>
      </c>
      <c r="R9" s="51">
        <v>3557.65</v>
      </c>
      <c r="S9" s="50">
        <v>4</v>
      </c>
      <c r="T9" s="51">
        <v>1880</v>
      </c>
      <c r="U9" s="52">
        <v>470</v>
      </c>
    </row>
    <row r="10" spans="1:21">
      <c r="A10">
        <f t="shared" si="0"/>
        <v>52</v>
      </c>
      <c r="B10" t="str">
        <f t="shared" si="1"/>
        <v>TBD</v>
      </c>
      <c r="C10" t="str">
        <f t="shared" si="2"/>
        <v>Qatar</v>
      </c>
      <c r="D10" t="str">
        <f t="shared" si="3"/>
        <v>Group B</v>
      </c>
      <c r="E10" s="49">
        <v>153020556</v>
      </c>
      <c r="F10" s="50" t="s">
        <v>425</v>
      </c>
      <c r="G10" s="50" t="s">
        <v>533</v>
      </c>
      <c r="H10" s="50" t="s">
        <v>424</v>
      </c>
      <c r="I10" s="50" t="s">
        <v>365</v>
      </c>
      <c r="J10" s="50" t="s">
        <v>537</v>
      </c>
      <c r="K10" s="50" t="s">
        <v>535</v>
      </c>
      <c r="L10" s="50">
        <v>16</v>
      </c>
      <c r="M10" s="51">
        <v>4545.92</v>
      </c>
      <c r="N10" s="51">
        <v>4146.54</v>
      </c>
      <c r="O10" s="50">
        <v>8.7854603000000003E-2</v>
      </c>
      <c r="P10" s="51">
        <v>399.38</v>
      </c>
      <c r="Q10" s="51">
        <v>24.96</v>
      </c>
      <c r="R10" s="51">
        <v>817.2</v>
      </c>
      <c r="S10" s="50">
        <v>33</v>
      </c>
      <c r="T10" s="51">
        <v>12000.64</v>
      </c>
      <c r="U10" s="52">
        <v>363.66</v>
      </c>
    </row>
    <row r="11" spans="1:21">
      <c r="A11">
        <f t="shared" si="0"/>
        <v>63</v>
      </c>
      <c r="B11" t="str">
        <f t="shared" si="1"/>
        <v>Egypt</v>
      </c>
      <c r="C11" t="str">
        <f t="shared" si="2"/>
        <v>Iran</v>
      </c>
      <c r="D11" t="str">
        <f t="shared" si="3"/>
        <v>Group G</v>
      </c>
      <c r="E11" s="49">
        <v>153020570</v>
      </c>
      <c r="F11" s="50" t="s">
        <v>446</v>
      </c>
      <c r="G11" s="50" t="s">
        <v>533</v>
      </c>
      <c r="H11" s="50" t="s">
        <v>447</v>
      </c>
      <c r="I11" s="50" t="s">
        <v>365</v>
      </c>
      <c r="J11" s="50" t="s">
        <v>537</v>
      </c>
      <c r="K11" s="50" t="s">
        <v>535</v>
      </c>
      <c r="L11" s="50">
        <v>49</v>
      </c>
      <c r="M11" s="51">
        <v>20184.55</v>
      </c>
      <c r="N11" s="51">
        <v>12530</v>
      </c>
      <c r="O11" s="50">
        <v>0.37922817199999997</v>
      </c>
      <c r="P11" s="51">
        <v>7654.55</v>
      </c>
      <c r="Q11" s="51">
        <v>156.22</v>
      </c>
      <c r="R11" s="51">
        <v>1896.71</v>
      </c>
      <c r="S11" s="50">
        <v>15</v>
      </c>
      <c r="T11" s="51">
        <v>4650</v>
      </c>
      <c r="U11" s="52">
        <v>310</v>
      </c>
    </row>
    <row r="12" spans="1:21">
      <c r="A12">
        <f t="shared" si="0"/>
        <v>82</v>
      </c>
      <c r="B12" t="str">
        <f t="shared" si="1"/>
        <v>1G</v>
      </c>
      <c r="C12" t="str">
        <f t="shared" si="2"/>
        <v>3A/E/H/I/J</v>
      </c>
      <c r="D12" t="str">
        <f t="shared" si="3"/>
        <v>Round of 32</v>
      </c>
      <c r="E12" s="49">
        <v>153020573</v>
      </c>
      <c r="F12" s="50" t="s">
        <v>472</v>
      </c>
      <c r="G12" s="50" t="s">
        <v>533</v>
      </c>
      <c r="H12" s="50" t="s">
        <v>473</v>
      </c>
      <c r="I12" s="50" t="s">
        <v>365</v>
      </c>
      <c r="J12" s="50" t="s">
        <v>537</v>
      </c>
      <c r="K12" s="50" t="s">
        <v>535</v>
      </c>
      <c r="L12" s="50">
        <v>8</v>
      </c>
      <c r="M12" s="51">
        <v>3343.75</v>
      </c>
      <c r="N12" s="51">
        <v>1440</v>
      </c>
      <c r="O12" s="50">
        <v>0.56934579399999996</v>
      </c>
      <c r="P12" s="51">
        <v>1903.75</v>
      </c>
      <c r="Q12" s="51">
        <v>237.97</v>
      </c>
      <c r="R12" s="51">
        <v>1255.3499999999999</v>
      </c>
      <c r="S12" s="50">
        <v>61</v>
      </c>
      <c r="T12" s="51">
        <v>29187.08</v>
      </c>
      <c r="U12" s="52">
        <v>478.48</v>
      </c>
    </row>
    <row r="13" spans="1:21">
      <c r="A13">
        <f t="shared" si="0"/>
        <v>94</v>
      </c>
      <c r="B13" t="str">
        <f t="shared" si="1"/>
        <v>W81</v>
      </c>
      <c r="C13" t="str">
        <f t="shared" si="2"/>
        <v>W82</v>
      </c>
      <c r="D13" t="str">
        <f t="shared" si="3"/>
        <v>Round of 16</v>
      </c>
      <c r="E13" s="49">
        <v>153020574</v>
      </c>
      <c r="F13" s="50" t="s">
        <v>500</v>
      </c>
      <c r="G13" s="50" t="s">
        <v>533</v>
      </c>
      <c r="H13" s="50" t="s">
        <v>501</v>
      </c>
      <c r="I13" s="50" t="s">
        <v>365</v>
      </c>
      <c r="J13" s="50" t="s">
        <v>537</v>
      </c>
      <c r="K13" s="50" t="s">
        <v>535</v>
      </c>
      <c r="L13" s="50">
        <v>20</v>
      </c>
      <c r="M13" s="51">
        <v>25525.15</v>
      </c>
      <c r="N13" s="51">
        <v>13614.92</v>
      </c>
      <c r="O13" s="50">
        <v>0.46660763900000002</v>
      </c>
      <c r="P13" s="51">
        <v>11910.23</v>
      </c>
      <c r="Q13" s="51">
        <v>595.51</v>
      </c>
      <c r="R13" s="51">
        <v>2462.08</v>
      </c>
      <c r="S13" s="50">
        <v>32</v>
      </c>
      <c r="T13" s="51">
        <v>17280</v>
      </c>
      <c r="U13" s="52">
        <v>540</v>
      </c>
    </row>
    <row r="14" spans="1:21">
      <c r="A14">
        <f t="shared" si="0"/>
        <v>8</v>
      </c>
      <c r="B14" t="str">
        <f t="shared" si="1"/>
        <v>Qatar</v>
      </c>
      <c r="C14" t="str">
        <f t="shared" si="2"/>
        <v>Switzerland</v>
      </c>
      <c r="D14" t="str">
        <f t="shared" si="3"/>
        <v>Group B</v>
      </c>
      <c r="E14" s="49">
        <v>153020611</v>
      </c>
      <c r="F14" s="50" t="s">
        <v>345</v>
      </c>
      <c r="G14" s="50" t="s">
        <v>533</v>
      </c>
      <c r="H14" s="50" t="s">
        <v>346</v>
      </c>
      <c r="I14" s="50" t="s">
        <v>140</v>
      </c>
      <c r="J14" s="50" t="s">
        <v>538</v>
      </c>
      <c r="K14" s="50" t="s">
        <v>535</v>
      </c>
      <c r="L14" s="50">
        <v>40</v>
      </c>
      <c r="M14" s="51">
        <v>20279.21</v>
      </c>
      <c r="N14" s="51">
        <v>16724.099999999999</v>
      </c>
      <c r="O14" s="50">
        <v>0.17530811099999999</v>
      </c>
      <c r="P14" s="51">
        <v>3555.11</v>
      </c>
      <c r="Q14" s="51">
        <v>88.88</v>
      </c>
      <c r="R14" s="51">
        <v>1851.83</v>
      </c>
      <c r="S14" s="50">
        <v>19</v>
      </c>
      <c r="T14" s="51">
        <v>9339.58</v>
      </c>
      <c r="U14" s="52">
        <v>491.56</v>
      </c>
    </row>
    <row r="15" spans="1:21">
      <c r="A15">
        <f t="shared" si="0"/>
        <v>20</v>
      </c>
      <c r="B15" t="str">
        <f t="shared" si="1"/>
        <v>Austria</v>
      </c>
      <c r="C15" t="str">
        <f t="shared" si="2"/>
        <v>Jordan</v>
      </c>
      <c r="D15" t="str">
        <f t="shared" si="3"/>
        <v>Group J</v>
      </c>
      <c r="E15" s="49">
        <v>153020625</v>
      </c>
      <c r="F15" s="50" t="s">
        <v>377</v>
      </c>
      <c r="G15" s="50" t="s">
        <v>533</v>
      </c>
      <c r="H15" s="50" t="s">
        <v>378</v>
      </c>
      <c r="I15" s="50" t="s">
        <v>140</v>
      </c>
      <c r="J15" s="50" t="s">
        <v>538</v>
      </c>
      <c r="K15" s="50" t="s">
        <v>535</v>
      </c>
      <c r="L15" s="50">
        <v>20</v>
      </c>
      <c r="M15" s="51">
        <v>10688.42</v>
      </c>
      <c r="N15" s="51">
        <v>10540</v>
      </c>
      <c r="O15" s="50">
        <v>1.3886056000000001E-2</v>
      </c>
      <c r="P15" s="51">
        <v>148.41999999999999</v>
      </c>
      <c r="Q15" s="51">
        <v>7.42</v>
      </c>
      <c r="R15" s="51">
        <v>3054.42</v>
      </c>
      <c r="S15" s="50">
        <v>4</v>
      </c>
      <c r="T15" s="51">
        <v>1520</v>
      </c>
      <c r="U15" s="52">
        <v>380</v>
      </c>
    </row>
    <row r="16" spans="1:21">
      <c r="A16">
        <f t="shared" si="0"/>
        <v>31</v>
      </c>
      <c r="B16" t="str">
        <f t="shared" si="1"/>
        <v>TBD</v>
      </c>
      <c r="C16" t="str">
        <f t="shared" si="2"/>
        <v>Paraguay</v>
      </c>
      <c r="D16" t="str">
        <f t="shared" si="3"/>
        <v>Group D</v>
      </c>
      <c r="E16" s="49">
        <v>153020644</v>
      </c>
      <c r="F16" s="50" t="s">
        <v>394</v>
      </c>
      <c r="G16" s="50" t="s">
        <v>533</v>
      </c>
      <c r="H16" s="50" t="s">
        <v>393</v>
      </c>
      <c r="I16" s="50" t="s">
        <v>140</v>
      </c>
      <c r="J16" s="50" t="s">
        <v>538</v>
      </c>
      <c r="K16" s="50" t="s">
        <v>535</v>
      </c>
      <c r="L16" s="50">
        <v>62</v>
      </c>
      <c r="M16" s="51">
        <v>30454.61</v>
      </c>
      <c r="N16" s="51">
        <v>28810</v>
      </c>
      <c r="O16" s="50">
        <v>5.4002003999999999E-2</v>
      </c>
      <c r="P16" s="51">
        <v>1644.61</v>
      </c>
      <c r="Q16" s="51">
        <v>26.53</v>
      </c>
      <c r="R16" s="51">
        <v>1311.1</v>
      </c>
      <c r="S16" s="50">
        <v>50</v>
      </c>
      <c r="T16" s="51">
        <v>23910</v>
      </c>
      <c r="U16" s="52">
        <v>478.2</v>
      </c>
    </row>
    <row r="17" spans="1:21">
      <c r="A17">
        <f t="shared" si="0"/>
        <v>44</v>
      </c>
      <c r="B17" t="str">
        <f t="shared" si="1"/>
        <v>Jordan</v>
      </c>
      <c r="C17" t="str">
        <f t="shared" si="2"/>
        <v>Algeria</v>
      </c>
      <c r="D17" t="str">
        <f t="shared" si="3"/>
        <v>Group J</v>
      </c>
      <c r="E17" s="49">
        <v>153020662</v>
      </c>
      <c r="F17" s="50" t="s">
        <v>413</v>
      </c>
      <c r="G17" s="50" t="s">
        <v>533</v>
      </c>
      <c r="H17" s="50" t="s">
        <v>414</v>
      </c>
      <c r="I17" s="50" t="s">
        <v>140</v>
      </c>
      <c r="J17" s="50" t="s">
        <v>538</v>
      </c>
      <c r="K17" s="50" t="s">
        <v>535</v>
      </c>
      <c r="L17" s="50">
        <v>48</v>
      </c>
      <c r="M17" s="51">
        <v>14640.5</v>
      </c>
      <c r="N17" s="51">
        <v>14260</v>
      </c>
      <c r="O17" s="50">
        <v>2.5989549000000001E-2</v>
      </c>
      <c r="P17" s="51">
        <v>380.5</v>
      </c>
      <c r="Q17" s="51">
        <v>7.93</v>
      </c>
      <c r="R17" s="51">
        <v>2149.42</v>
      </c>
      <c r="S17" s="50">
        <v>8</v>
      </c>
      <c r="T17" s="51">
        <v>3380</v>
      </c>
      <c r="U17" s="52">
        <v>422.5</v>
      </c>
    </row>
    <row r="18" spans="1:21">
      <c r="A18">
        <f t="shared" si="0"/>
        <v>60</v>
      </c>
      <c r="B18" t="str">
        <f t="shared" si="1"/>
        <v>Paraguay</v>
      </c>
      <c r="C18" t="str">
        <f t="shared" si="2"/>
        <v>Australia</v>
      </c>
      <c r="D18" t="str">
        <f t="shared" si="3"/>
        <v>Group D</v>
      </c>
      <c r="E18" s="49">
        <v>153020677</v>
      </c>
      <c r="F18" s="50" t="s">
        <v>437</v>
      </c>
      <c r="G18" s="50" t="s">
        <v>533</v>
      </c>
      <c r="H18" s="50" t="s">
        <v>438</v>
      </c>
      <c r="I18" s="50" t="s">
        <v>140</v>
      </c>
      <c r="J18" s="50" t="s">
        <v>538</v>
      </c>
      <c r="K18" s="50" t="s">
        <v>535</v>
      </c>
      <c r="L18" s="50">
        <v>48</v>
      </c>
      <c r="M18" s="51">
        <v>23304.16</v>
      </c>
      <c r="N18" s="51">
        <v>20040</v>
      </c>
      <c r="O18" s="50">
        <v>0.14006769599999999</v>
      </c>
      <c r="P18" s="51">
        <v>3264.16</v>
      </c>
      <c r="Q18" s="51">
        <v>68</v>
      </c>
      <c r="R18" s="51">
        <v>1797.07</v>
      </c>
      <c r="S18" s="50">
        <v>24</v>
      </c>
      <c r="T18" s="51">
        <v>11540</v>
      </c>
      <c r="U18" s="52">
        <v>480.83</v>
      </c>
    </row>
    <row r="19" spans="1:21">
      <c r="A19">
        <f t="shared" si="0"/>
        <v>81</v>
      </c>
      <c r="B19" t="str">
        <f t="shared" si="1"/>
        <v>1D</v>
      </c>
      <c r="C19" t="str">
        <f t="shared" si="2"/>
        <v>3B/E/F/I/J</v>
      </c>
      <c r="D19" t="str">
        <f t="shared" si="3"/>
        <v>Round of 32</v>
      </c>
      <c r="E19" s="49">
        <v>153020696</v>
      </c>
      <c r="F19" s="50" t="s">
        <v>474</v>
      </c>
      <c r="G19" s="50" t="s">
        <v>533</v>
      </c>
      <c r="H19" s="50" t="s">
        <v>475</v>
      </c>
      <c r="I19" s="50" t="s">
        <v>140</v>
      </c>
      <c r="J19" s="50" t="s">
        <v>538</v>
      </c>
      <c r="K19" s="50" t="s">
        <v>535</v>
      </c>
      <c r="L19" s="50">
        <v>0</v>
      </c>
      <c r="M19" s="50"/>
      <c r="N19" s="51">
        <v>0</v>
      </c>
      <c r="O19" s="50">
        <v>0</v>
      </c>
      <c r="P19" s="51">
        <v>0</v>
      </c>
      <c r="Q19" s="51">
        <v>0</v>
      </c>
      <c r="R19" s="51">
        <v>1275.76</v>
      </c>
      <c r="S19" s="50">
        <v>19</v>
      </c>
      <c r="T19" s="51">
        <v>11635</v>
      </c>
      <c r="U19" s="52">
        <v>612.37</v>
      </c>
    </row>
    <row r="20" spans="1:21">
      <c r="A20">
        <f t="shared" si="0"/>
        <v>4</v>
      </c>
      <c r="B20" t="str">
        <f t="shared" si="1"/>
        <v>United States</v>
      </c>
      <c r="C20" t="str">
        <f t="shared" si="2"/>
        <v>Paraguay</v>
      </c>
      <c r="D20" t="str">
        <f t="shared" si="3"/>
        <v>Group D</v>
      </c>
      <c r="E20" s="49">
        <v>153020709</v>
      </c>
      <c r="F20" s="50" t="s">
        <v>341</v>
      </c>
      <c r="G20" s="50" t="s">
        <v>533</v>
      </c>
      <c r="H20" s="50" t="s">
        <v>342</v>
      </c>
      <c r="I20" s="50" t="s">
        <v>113</v>
      </c>
      <c r="J20" s="50" t="s">
        <v>538</v>
      </c>
      <c r="K20" s="50" t="s">
        <v>535</v>
      </c>
      <c r="L20" s="50">
        <v>2</v>
      </c>
      <c r="M20" s="51">
        <v>4804.8599999999997</v>
      </c>
      <c r="N20" s="51">
        <v>3880</v>
      </c>
      <c r="O20" s="50">
        <v>0.19248427600000001</v>
      </c>
      <c r="P20" s="51">
        <v>924.86</v>
      </c>
      <c r="Q20" s="51">
        <v>462.43</v>
      </c>
      <c r="R20" s="51">
        <v>2729.41</v>
      </c>
      <c r="S20" s="50">
        <v>18</v>
      </c>
      <c r="T20" s="51">
        <v>24340</v>
      </c>
      <c r="U20" s="52">
        <v>1352.22</v>
      </c>
    </row>
    <row r="21" spans="1:21">
      <c r="A21">
        <f t="shared" si="0"/>
        <v>15</v>
      </c>
      <c r="B21" t="str">
        <f t="shared" si="1"/>
        <v>Iran</v>
      </c>
      <c r="C21" t="str">
        <f t="shared" si="2"/>
        <v>New Zealand</v>
      </c>
      <c r="D21" t="str">
        <f t="shared" si="3"/>
        <v>Group G</v>
      </c>
      <c r="E21" s="49">
        <v>153020712</v>
      </c>
      <c r="F21" s="50" t="s">
        <v>367</v>
      </c>
      <c r="G21" s="50" t="s">
        <v>533</v>
      </c>
      <c r="H21" s="50" t="s">
        <v>368</v>
      </c>
      <c r="I21" s="50" t="s">
        <v>113</v>
      </c>
      <c r="J21" s="50" t="s">
        <v>538</v>
      </c>
      <c r="K21" s="50" t="s">
        <v>535</v>
      </c>
      <c r="L21" s="50">
        <v>10</v>
      </c>
      <c r="M21" s="51">
        <v>9137.3799999999992</v>
      </c>
      <c r="N21" s="51">
        <v>5890</v>
      </c>
      <c r="O21" s="50">
        <v>0.355395091</v>
      </c>
      <c r="P21" s="51">
        <v>3247.38</v>
      </c>
      <c r="Q21" s="51">
        <v>324.74</v>
      </c>
      <c r="R21" s="51">
        <v>1507.38</v>
      </c>
      <c r="S21" s="50">
        <v>10</v>
      </c>
      <c r="T21" s="51">
        <v>3350</v>
      </c>
      <c r="U21" s="52">
        <v>335</v>
      </c>
    </row>
    <row r="22" spans="1:21">
      <c r="A22">
        <f t="shared" si="0"/>
        <v>26</v>
      </c>
      <c r="B22" t="str">
        <f t="shared" si="1"/>
        <v>Switzerland</v>
      </c>
      <c r="C22" t="str">
        <f t="shared" si="2"/>
        <v>TBD</v>
      </c>
      <c r="D22" t="str">
        <f t="shared" si="3"/>
        <v>Group B</v>
      </c>
      <c r="E22" s="49">
        <v>153020716</v>
      </c>
      <c r="F22" s="50" t="s">
        <v>385</v>
      </c>
      <c r="G22" s="50" t="s">
        <v>533</v>
      </c>
      <c r="H22" s="50" t="s">
        <v>386</v>
      </c>
      <c r="I22" s="50" t="s">
        <v>113</v>
      </c>
      <c r="J22" s="50" t="s">
        <v>538</v>
      </c>
      <c r="K22" s="50" t="s">
        <v>535</v>
      </c>
      <c r="L22" s="50">
        <v>34</v>
      </c>
      <c r="M22" s="51">
        <v>24594.400000000001</v>
      </c>
      <c r="N22" s="51">
        <v>18430</v>
      </c>
      <c r="O22" s="50">
        <v>0.25064242199999998</v>
      </c>
      <c r="P22" s="51">
        <v>6164.4</v>
      </c>
      <c r="Q22" s="51">
        <v>181.31</v>
      </c>
      <c r="R22" s="51">
        <v>1429.44</v>
      </c>
      <c r="S22" s="50">
        <v>50</v>
      </c>
      <c r="T22" s="51">
        <v>25110</v>
      </c>
      <c r="U22" s="52">
        <v>502.2</v>
      </c>
    </row>
    <row r="23" spans="1:21">
      <c r="A23">
        <f t="shared" si="0"/>
        <v>39</v>
      </c>
      <c r="B23" t="str">
        <f t="shared" si="1"/>
        <v>Belgium</v>
      </c>
      <c r="C23" t="str">
        <f t="shared" si="2"/>
        <v>Iran</v>
      </c>
      <c r="D23" t="str">
        <f t="shared" si="3"/>
        <v>Group G</v>
      </c>
      <c r="E23" s="49">
        <v>153020717</v>
      </c>
      <c r="F23" s="50" t="s">
        <v>401</v>
      </c>
      <c r="G23" s="50" t="s">
        <v>533</v>
      </c>
      <c r="H23" s="50" t="s">
        <v>402</v>
      </c>
      <c r="I23" s="50" t="s">
        <v>113</v>
      </c>
      <c r="J23" s="50" t="s">
        <v>538</v>
      </c>
      <c r="K23" s="50" t="s">
        <v>535</v>
      </c>
      <c r="L23" s="50">
        <v>44</v>
      </c>
      <c r="M23" s="51">
        <v>32450.53</v>
      </c>
      <c r="N23" s="51">
        <v>20700</v>
      </c>
      <c r="O23" s="50">
        <v>0.36210595000000001</v>
      </c>
      <c r="P23" s="51">
        <v>11750.53</v>
      </c>
      <c r="Q23" s="51">
        <v>267.06</v>
      </c>
      <c r="R23" s="51">
        <v>4318.5200000000004</v>
      </c>
      <c r="S23" s="50">
        <v>8</v>
      </c>
      <c r="T23" s="51">
        <v>3720</v>
      </c>
      <c r="U23" s="52">
        <v>465</v>
      </c>
    </row>
    <row r="24" spans="1:21">
      <c r="A24">
        <f t="shared" si="0"/>
        <v>59</v>
      </c>
      <c r="B24" t="str">
        <f t="shared" si="1"/>
        <v>TBD</v>
      </c>
      <c r="C24" t="str">
        <f t="shared" si="2"/>
        <v>United States</v>
      </c>
      <c r="D24" t="str">
        <f t="shared" si="3"/>
        <v>Group D</v>
      </c>
      <c r="E24" s="49">
        <v>153020718</v>
      </c>
      <c r="F24" s="50" t="s">
        <v>439</v>
      </c>
      <c r="G24" s="50" t="s">
        <v>533</v>
      </c>
      <c r="H24" s="50" t="s">
        <v>438</v>
      </c>
      <c r="I24" s="50" t="s">
        <v>113</v>
      </c>
      <c r="J24" s="50" t="s">
        <v>538</v>
      </c>
      <c r="K24" s="50" t="s">
        <v>535</v>
      </c>
      <c r="L24" s="50">
        <v>4</v>
      </c>
      <c r="M24" s="51">
        <v>2949.12</v>
      </c>
      <c r="N24" s="51">
        <v>1360</v>
      </c>
      <c r="O24" s="50">
        <v>0.53884548600000004</v>
      </c>
      <c r="P24" s="51">
        <v>1589.12</v>
      </c>
      <c r="Q24" s="51">
        <v>397.28</v>
      </c>
      <c r="R24" s="51">
        <v>2912.41</v>
      </c>
      <c r="S24" s="50">
        <v>4</v>
      </c>
      <c r="T24" s="51">
        <v>3000</v>
      </c>
      <c r="U24" s="52">
        <v>750</v>
      </c>
    </row>
    <row r="25" spans="1:21">
      <c r="A25">
        <f t="shared" si="0"/>
        <v>73</v>
      </c>
      <c r="B25" t="str">
        <f t="shared" si="1"/>
        <v>2A</v>
      </c>
      <c r="C25" t="str">
        <f t="shared" si="2"/>
        <v>2B</v>
      </c>
      <c r="D25" t="str">
        <f t="shared" si="3"/>
        <v>Round of 32</v>
      </c>
      <c r="E25" s="49">
        <v>153020724</v>
      </c>
      <c r="F25" s="50" t="s">
        <v>458</v>
      </c>
      <c r="G25" s="50" t="s">
        <v>533</v>
      </c>
      <c r="H25" s="50" t="s">
        <v>459</v>
      </c>
      <c r="I25" s="50" t="s">
        <v>113</v>
      </c>
      <c r="J25" s="50" t="s">
        <v>538</v>
      </c>
      <c r="K25" s="50" t="s">
        <v>535</v>
      </c>
      <c r="L25" s="50">
        <v>4</v>
      </c>
      <c r="M25" s="51">
        <v>2265.91</v>
      </c>
      <c r="N25" s="51">
        <v>1160</v>
      </c>
      <c r="O25" s="50">
        <v>0.48806439699999998</v>
      </c>
      <c r="P25" s="51">
        <v>1105.9100000000001</v>
      </c>
      <c r="Q25" s="51">
        <v>276.48</v>
      </c>
      <c r="R25" s="51">
        <v>1896.42</v>
      </c>
      <c r="S25" s="50">
        <v>44</v>
      </c>
      <c r="T25" s="51">
        <v>27040</v>
      </c>
      <c r="U25" s="52">
        <v>614.54999999999995</v>
      </c>
    </row>
    <row r="26" spans="1:21">
      <c r="A26">
        <f t="shared" si="0"/>
        <v>84</v>
      </c>
      <c r="B26" t="str">
        <f t="shared" si="1"/>
        <v>1H</v>
      </c>
      <c r="C26" t="str">
        <f t="shared" si="2"/>
        <v>2J</v>
      </c>
      <c r="D26" t="str">
        <f t="shared" si="3"/>
        <v>Round of 32</v>
      </c>
      <c r="E26" s="49">
        <v>153020726</v>
      </c>
      <c r="F26" s="50" t="s">
        <v>476</v>
      </c>
      <c r="G26" s="50" t="s">
        <v>533</v>
      </c>
      <c r="H26" s="50" t="s">
        <v>477</v>
      </c>
      <c r="I26" s="50" t="s">
        <v>113</v>
      </c>
      <c r="J26" s="50" t="s">
        <v>538</v>
      </c>
      <c r="K26" s="50" t="s">
        <v>535</v>
      </c>
      <c r="L26" s="50">
        <v>0</v>
      </c>
      <c r="M26" s="50"/>
      <c r="N26" s="51">
        <v>0</v>
      </c>
      <c r="O26" s="50">
        <v>0</v>
      </c>
      <c r="P26" s="51">
        <v>0</v>
      </c>
      <c r="Q26" s="51">
        <v>0</v>
      </c>
      <c r="R26" s="51">
        <v>3632.3</v>
      </c>
      <c r="S26" s="50">
        <v>80</v>
      </c>
      <c r="T26" s="51">
        <v>41700</v>
      </c>
      <c r="U26" s="52">
        <v>521.25</v>
      </c>
    </row>
    <row r="27" spans="1:21">
      <c r="A27">
        <f t="shared" si="0"/>
        <v>98</v>
      </c>
      <c r="B27" t="str">
        <f t="shared" si="1"/>
        <v>W93</v>
      </c>
      <c r="C27" t="str">
        <f t="shared" si="2"/>
        <v>W94</v>
      </c>
      <c r="D27" t="str">
        <f t="shared" si="3"/>
        <v>Quarter-Finals</v>
      </c>
      <c r="E27" s="49">
        <v>153020733</v>
      </c>
      <c r="F27" s="50" t="s">
        <v>509</v>
      </c>
      <c r="G27" s="50" t="s">
        <v>533</v>
      </c>
      <c r="H27" s="50" t="s">
        <v>510</v>
      </c>
      <c r="I27" s="50" t="s">
        <v>113</v>
      </c>
      <c r="J27" s="50" t="s">
        <v>538</v>
      </c>
      <c r="K27" s="50" t="s">
        <v>535</v>
      </c>
      <c r="L27" s="50">
        <v>0</v>
      </c>
      <c r="M27" s="50"/>
      <c r="N27" s="51">
        <v>0</v>
      </c>
      <c r="O27" s="50">
        <v>0</v>
      </c>
      <c r="P27" s="51">
        <v>0</v>
      </c>
      <c r="Q27" s="51">
        <v>0</v>
      </c>
      <c r="R27" s="51">
        <v>2973.63</v>
      </c>
      <c r="S27" s="50">
        <v>40</v>
      </c>
      <c r="T27" s="51">
        <v>43460</v>
      </c>
      <c r="U27" s="52">
        <v>1086.5</v>
      </c>
    </row>
    <row r="28" spans="1:21">
      <c r="A28">
        <f t="shared" si="0"/>
        <v>10</v>
      </c>
      <c r="B28" t="str">
        <f t="shared" si="1"/>
        <v>Germany</v>
      </c>
      <c r="C28" t="str">
        <f t="shared" si="2"/>
        <v>Curaçao</v>
      </c>
      <c r="D28" t="str">
        <f t="shared" si="3"/>
        <v>Group E</v>
      </c>
      <c r="E28" s="49">
        <v>153020800</v>
      </c>
      <c r="F28" s="50" t="s">
        <v>539</v>
      </c>
      <c r="G28" s="50" t="s">
        <v>533</v>
      </c>
      <c r="H28" s="50" t="s">
        <v>354</v>
      </c>
      <c r="I28" s="50" t="s">
        <v>355</v>
      </c>
      <c r="J28" s="50" t="s">
        <v>540</v>
      </c>
      <c r="K28" s="50" t="s">
        <v>535</v>
      </c>
      <c r="L28" s="50">
        <v>76</v>
      </c>
      <c r="M28" s="51">
        <v>51017.8</v>
      </c>
      <c r="N28" s="51">
        <v>28360</v>
      </c>
      <c r="O28" s="50">
        <v>0.44411558299999998</v>
      </c>
      <c r="P28" s="51">
        <v>22657.8</v>
      </c>
      <c r="Q28" s="51">
        <v>298.13</v>
      </c>
      <c r="R28" s="51">
        <v>4564.54</v>
      </c>
      <c r="S28" s="50">
        <v>13</v>
      </c>
      <c r="T28" s="51">
        <v>5780</v>
      </c>
      <c r="U28" s="52">
        <v>444.62</v>
      </c>
    </row>
    <row r="29" spans="1:21">
      <c r="A29">
        <f t="shared" si="0"/>
        <v>23</v>
      </c>
      <c r="B29" t="str">
        <f t="shared" si="1"/>
        <v>Portugal</v>
      </c>
      <c r="C29" t="str">
        <f t="shared" si="2"/>
        <v>TBD</v>
      </c>
      <c r="D29" t="str">
        <f t="shared" si="3"/>
        <v>Group K</v>
      </c>
      <c r="E29" s="49">
        <v>153020837</v>
      </c>
      <c r="F29" s="50" t="s">
        <v>379</v>
      </c>
      <c r="G29" s="50" t="s">
        <v>533</v>
      </c>
      <c r="H29" s="50" t="s">
        <v>380</v>
      </c>
      <c r="I29" s="50" t="s">
        <v>355</v>
      </c>
      <c r="J29" s="50" t="s">
        <v>540</v>
      </c>
      <c r="K29" s="50" t="s">
        <v>535</v>
      </c>
      <c r="L29" s="50">
        <v>40</v>
      </c>
      <c r="M29" s="51">
        <v>55931.96</v>
      </c>
      <c r="N29" s="51">
        <v>15200</v>
      </c>
      <c r="O29" s="50">
        <v>0.72824124099999998</v>
      </c>
      <c r="P29" s="51">
        <v>40731.96</v>
      </c>
      <c r="Q29" s="51">
        <v>1018.3</v>
      </c>
      <c r="R29" s="51">
        <v>4309.2</v>
      </c>
      <c r="S29" s="50">
        <v>20</v>
      </c>
      <c r="T29" s="51">
        <v>7800</v>
      </c>
      <c r="U29" s="52">
        <v>390</v>
      </c>
    </row>
    <row r="30" spans="1:21">
      <c r="A30">
        <f t="shared" si="0"/>
        <v>35</v>
      </c>
      <c r="B30" t="str">
        <f t="shared" si="1"/>
        <v>Netherlands</v>
      </c>
      <c r="C30" t="str">
        <f t="shared" si="2"/>
        <v>TBA</v>
      </c>
      <c r="D30" t="str">
        <f t="shared" si="3"/>
        <v>Group F</v>
      </c>
      <c r="E30" s="49">
        <v>153020842</v>
      </c>
      <c r="F30" s="50" t="s">
        <v>395</v>
      </c>
      <c r="G30" s="50" t="s">
        <v>533</v>
      </c>
      <c r="H30" s="50" t="s">
        <v>396</v>
      </c>
      <c r="I30" s="50" t="s">
        <v>355</v>
      </c>
      <c r="J30" s="50" t="s">
        <v>540</v>
      </c>
      <c r="K30" s="50" t="s">
        <v>535</v>
      </c>
      <c r="L30" s="50">
        <v>62</v>
      </c>
      <c r="M30" s="51">
        <v>37058.910000000003</v>
      </c>
      <c r="N30" s="51">
        <v>23480</v>
      </c>
      <c r="O30" s="50">
        <v>0.36641417599999998</v>
      </c>
      <c r="P30" s="51">
        <v>13578.91</v>
      </c>
      <c r="Q30" s="51">
        <v>219.01</v>
      </c>
      <c r="R30" s="51">
        <v>1983.99</v>
      </c>
      <c r="S30" s="50">
        <v>42</v>
      </c>
      <c r="T30" s="51">
        <v>18340</v>
      </c>
      <c r="U30" s="52">
        <v>436.67</v>
      </c>
    </row>
    <row r="31" spans="1:21">
      <c r="A31">
        <f t="shared" si="0"/>
        <v>47</v>
      </c>
      <c r="B31" t="str">
        <f t="shared" si="1"/>
        <v>Portugal</v>
      </c>
      <c r="C31" t="str">
        <f t="shared" si="2"/>
        <v>Uzbekistan</v>
      </c>
      <c r="D31" t="str">
        <f t="shared" si="3"/>
        <v>Group K</v>
      </c>
      <c r="E31" s="49">
        <v>153020851</v>
      </c>
      <c r="F31" s="50" t="s">
        <v>416</v>
      </c>
      <c r="G31" s="50" t="s">
        <v>533</v>
      </c>
      <c r="H31" s="50" t="s">
        <v>417</v>
      </c>
      <c r="I31" s="50" t="s">
        <v>355</v>
      </c>
      <c r="J31" s="50" t="s">
        <v>540</v>
      </c>
      <c r="K31" s="50" t="s">
        <v>535</v>
      </c>
      <c r="L31" s="50">
        <v>20</v>
      </c>
      <c r="M31" s="51">
        <v>28614.28</v>
      </c>
      <c r="N31" s="51">
        <v>7800</v>
      </c>
      <c r="O31" s="50">
        <v>0.72740883199999995</v>
      </c>
      <c r="P31" s="51">
        <v>20814.28</v>
      </c>
      <c r="Q31" s="51">
        <v>1040.71</v>
      </c>
      <c r="R31" s="51">
        <v>2404.35</v>
      </c>
      <c r="S31" s="50">
        <v>24</v>
      </c>
      <c r="T31" s="51">
        <v>9440</v>
      </c>
      <c r="U31" s="52">
        <v>393.33</v>
      </c>
    </row>
    <row r="32" spans="1:21">
      <c r="A32">
        <f t="shared" si="0"/>
        <v>65</v>
      </c>
      <c r="B32" t="str">
        <f t="shared" si="1"/>
        <v>Cabo Verde</v>
      </c>
      <c r="C32" t="str">
        <f t="shared" si="2"/>
        <v>Saudi Arabia</v>
      </c>
      <c r="D32" t="str">
        <f t="shared" si="3"/>
        <v>Group H</v>
      </c>
      <c r="E32" s="49">
        <v>153020962</v>
      </c>
      <c r="F32" s="50" t="s">
        <v>443</v>
      </c>
      <c r="G32" s="50" t="s">
        <v>533</v>
      </c>
      <c r="H32" s="50" t="s">
        <v>444</v>
      </c>
      <c r="I32" s="50" t="s">
        <v>355</v>
      </c>
      <c r="J32" s="50" t="s">
        <v>540</v>
      </c>
      <c r="K32" s="50" t="s">
        <v>535</v>
      </c>
      <c r="L32" s="50">
        <v>60</v>
      </c>
      <c r="M32" s="51">
        <v>19817.2</v>
      </c>
      <c r="N32" s="51">
        <v>22720</v>
      </c>
      <c r="O32" s="50">
        <v>-0.14647881600000001</v>
      </c>
      <c r="P32" s="51">
        <v>-2902.8</v>
      </c>
      <c r="Q32" s="51">
        <v>-48.38</v>
      </c>
      <c r="R32" s="51">
        <v>1700.53</v>
      </c>
      <c r="S32" s="50">
        <v>14</v>
      </c>
      <c r="T32" s="51">
        <v>5740</v>
      </c>
      <c r="U32" s="52">
        <v>410</v>
      </c>
    </row>
    <row r="33" spans="1:21">
      <c r="A33">
        <f t="shared" si="0"/>
        <v>76</v>
      </c>
      <c r="B33" t="str">
        <f t="shared" si="1"/>
        <v>1C</v>
      </c>
      <c r="C33" t="str">
        <f t="shared" si="2"/>
        <v>2F</v>
      </c>
      <c r="D33" t="str">
        <f t="shared" si="3"/>
        <v>Round of 32</v>
      </c>
      <c r="E33" s="49">
        <v>153021172</v>
      </c>
      <c r="F33" s="50" t="s">
        <v>460</v>
      </c>
      <c r="G33" s="50" t="s">
        <v>533</v>
      </c>
      <c r="H33" s="50" t="s">
        <v>461</v>
      </c>
      <c r="I33" s="50" t="s">
        <v>355</v>
      </c>
      <c r="J33" s="50" t="s">
        <v>540</v>
      </c>
      <c r="K33" s="50" t="s">
        <v>535</v>
      </c>
      <c r="L33" s="50">
        <v>8</v>
      </c>
      <c r="M33" s="51">
        <v>4102.46</v>
      </c>
      <c r="N33" s="51">
        <v>2680</v>
      </c>
      <c r="O33" s="50">
        <v>0.34673342299999999</v>
      </c>
      <c r="P33" s="51">
        <v>1422.46</v>
      </c>
      <c r="Q33" s="51">
        <v>177.81</v>
      </c>
      <c r="R33" s="51">
        <v>1321.99</v>
      </c>
      <c r="S33" s="50">
        <v>36</v>
      </c>
      <c r="T33" s="51">
        <v>14240</v>
      </c>
      <c r="U33" s="52">
        <v>395.56</v>
      </c>
    </row>
    <row r="34" spans="1:21">
      <c r="A34">
        <f t="shared" si="0"/>
        <v>90</v>
      </c>
      <c r="B34" t="str">
        <f t="shared" si="1"/>
        <v>W73</v>
      </c>
      <c r="C34" t="str">
        <f t="shared" si="2"/>
        <v>W75</v>
      </c>
      <c r="D34" t="str">
        <f t="shared" si="3"/>
        <v>Round of 16</v>
      </c>
      <c r="E34" s="49">
        <v>153021196</v>
      </c>
      <c r="F34" s="50" t="s">
        <v>490</v>
      </c>
      <c r="G34" s="50" t="s">
        <v>533</v>
      </c>
      <c r="H34" s="50" t="s">
        <v>491</v>
      </c>
      <c r="I34" s="50" t="s">
        <v>355</v>
      </c>
      <c r="J34" s="50" t="s">
        <v>540</v>
      </c>
      <c r="K34" s="50" t="s">
        <v>535</v>
      </c>
      <c r="L34" s="50">
        <v>0</v>
      </c>
      <c r="M34" s="50"/>
      <c r="N34" s="51">
        <v>0</v>
      </c>
      <c r="O34" s="50">
        <v>0</v>
      </c>
      <c r="P34" s="51">
        <v>0</v>
      </c>
      <c r="Q34" s="51">
        <v>0</v>
      </c>
      <c r="R34" s="51">
        <v>982.74</v>
      </c>
      <c r="S34" s="50">
        <v>66</v>
      </c>
      <c r="T34" s="51">
        <v>39380.39</v>
      </c>
      <c r="U34" s="52">
        <v>596.66999999999996</v>
      </c>
    </row>
    <row r="35" spans="1:21">
      <c r="A35">
        <f t="shared" si="0"/>
        <v>11</v>
      </c>
      <c r="B35" t="str">
        <f t="shared" si="1"/>
        <v>Netherlands</v>
      </c>
      <c r="C35" t="str">
        <f t="shared" si="2"/>
        <v>Japan</v>
      </c>
      <c r="D35" t="str">
        <f t="shared" si="3"/>
        <v>Group F</v>
      </c>
      <c r="E35" s="49">
        <v>153021218</v>
      </c>
      <c r="F35" s="50" t="s">
        <v>356</v>
      </c>
      <c r="G35" s="50" t="s">
        <v>533</v>
      </c>
      <c r="H35" s="50" t="s">
        <v>357</v>
      </c>
      <c r="I35" s="50" t="s">
        <v>74</v>
      </c>
      <c r="J35" s="50" t="s">
        <v>540</v>
      </c>
      <c r="K35" s="50" t="s">
        <v>535</v>
      </c>
      <c r="L35" s="50">
        <v>39</v>
      </c>
      <c r="M35" s="51">
        <v>32508.34</v>
      </c>
      <c r="N35" s="51">
        <v>13285</v>
      </c>
      <c r="O35" s="50">
        <v>0.591335638</v>
      </c>
      <c r="P35" s="51">
        <v>19223.34</v>
      </c>
      <c r="Q35" s="51">
        <v>492.91</v>
      </c>
      <c r="R35" s="51">
        <v>6841.8</v>
      </c>
      <c r="S35" s="50">
        <v>6</v>
      </c>
      <c r="T35" s="51">
        <v>2230</v>
      </c>
      <c r="U35" s="52">
        <v>371.67</v>
      </c>
    </row>
    <row r="36" spans="1:21">
      <c r="A36">
        <f t="shared" si="0"/>
        <v>22</v>
      </c>
      <c r="B36" t="str">
        <f t="shared" si="1"/>
        <v>England</v>
      </c>
      <c r="C36" t="str">
        <f t="shared" si="2"/>
        <v>Croatia</v>
      </c>
      <c r="D36" t="str">
        <f t="shared" si="3"/>
        <v>Group L</v>
      </c>
      <c r="E36" s="49">
        <v>153021378</v>
      </c>
      <c r="F36" s="50" t="s">
        <v>381</v>
      </c>
      <c r="G36" s="50" t="s">
        <v>533</v>
      </c>
      <c r="H36" s="50" t="s">
        <v>382</v>
      </c>
      <c r="I36" s="50" t="s">
        <v>74</v>
      </c>
      <c r="J36" s="50" t="s">
        <v>540</v>
      </c>
      <c r="K36" s="50" t="s">
        <v>535</v>
      </c>
      <c r="L36" s="50">
        <v>38</v>
      </c>
      <c r="M36" s="51">
        <v>47453.36</v>
      </c>
      <c r="N36" s="51">
        <v>14270</v>
      </c>
      <c r="O36" s="50">
        <v>0.69928367499999999</v>
      </c>
      <c r="P36" s="51">
        <v>33183.360000000001</v>
      </c>
      <c r="Q36" s="51">
        <v>873.25</v>
      </c>
      <c r="R36" s="51">
        <v>4508.68</v>
      </c>
      <c r="S36" s="50">
        <v>22</v>
      </c>
      <c r="T36" s="51">
        <v>8910</v>
      </c>
      <c r="U36" s="52">
        <v>405</v>
      </c>
    </row>
    <row r="37" spans="1:21">
      <c r="A37">
        <f t="shared" si="0"/>
        <v>43</v>
      </c>
      <c r="B37" t="str">
        <f t="shared" si="1"/>
        <v>Argentina</v>
      </c>
      <c r="C37" t="str">
        <f t="shared" si="2"/>
        <v>Austria</v>
      </c>
      <c r="D37" t="str">
        <f t="shared" si="3"/>
        <v>Group J</v>
      </c>
      <c r="E37" s="49">
        <v>153021379</v>
      </c>
      <c r="F37" s="50" t="s">
        <v>408</v>
      </c>
      <c r="G37" s="50" t="s">
        <v>533</v>
      </c>
      <c r="H37" s="50" t="s">
        <v>409</v>
      </c>
      <c r="I37" s="50" t="s">
        <v>74</v>
      </c>
      <c r="J37" s="50" t="s">
        <v>540</v>
      </c>
      <c r="K37" s="50" t="s">
        <v>535</v>
      </c>
      <c r="L37" s="50">
        <v>20</v>
      </c>
      <c r="M37" s="51">
        <v>28984.69</v>
      </c>
      <c r="N37" s="51">
        <v>8020</v>
      </c>
      <c r="O37" s="50">
        <v>0.72330219799999995</v>
      </c>
      <c r="P37" s="51">
        <v>20964.689999999999</v>
      </c>
      <c r="Q37" s="51">
        <v>1048.23</v>
      </c>
      <c r="R37" s="51">
        <v>3014.9</v>
      </c>
      <c r="S37" s="50">
        <v>24</v>
      </c>
      <c r="T37" s="51">
        <v>9186</v>
      </c>
      <c r="U37" s="52">
        <v>382.75</v>
      </c>
    </row>
    <row r="38" spans="1:21">
      <c r="A38">
        <f t="shared" si="0"/>
        <v>57</v>
      </c>
      <c r="B38" t="str">
        <f t="shared" si="1"/>
        <v>Japan</v>
      </c>
      <c r="C38" t="str">
        <f t="shared" si="2"/>
        <v>TBD</v>
      </c>
      <c r="D38" t="str">
        <f t="shared" si="3"/>
        <v>Group F</v>
      </c>
      <c r="E38" s="49">
        <v>153021390</v>
      </c>
      <c r="F38" s="50" t="s">
        <v>434</v>
      </c>
      <c r="G38" s="50" t="s">
        <v>533</v>
      </c>
      <c r="H38" s="50" t="s">
        <v>435</v>
      </c>
      <c r="I38" s="50" t="s">
        <v>74</v>
      </c>
      <c r="J38" s="50" t="s">
        <v>540</v>
      </c>
      <c r="K38" s="50" t="s">
        <v>535</v>
      </c>
      <c r="L38" s="50">
        <v>13</v>
      </c>
      <c r="M38" s="51">
        <v>8811.82</v>
      </c>
      <c r="N38" s="51">
        <v>5235</v>
      </c>
      <c r="O38" s="50">
        <v>0.40591160500000001</v>
      </c>
      <c r="P38" s="51">
        <v>3576.82</v>
      </c>
      <c r="Q38" s="51">
        <v>275.14</v>
      </c>
      <c r="R38" s="51">
        <v>1516.37</v>
      </c>
      <c r="S38" s="50">
        <v>24</v>
      </c>
      <c r="T38" s="51">
        <v>10425</v>
      </c>
      <c r="U38" s="52">
        <v>434.38</v>
      </c>
    </row>
    <row r="39" spans="1:21">
      <c r="A39">
        <f t="shared" si="0"/>
        <v>70</v>
      </c>
      <c r="B39" t="str">
        <f t="shared" si="1"/>
        <v>Jordan</v>
      </c>
      <c r="C39" t="str">
        <f t="shared" si="2"/>
        <v>Argentina</v>
      </c>
      <c r="D39" t="str">
        <f t="shared" si="3"/>
        <v>Group J</v>
      </c>
      <c r="E39" s="49">
        <v>153021391</v>
      </c>
      <c r="F39" s="50" t="s">
        <v>457</v>
      </c>
      <c r="G39" s="50" t="s">
        <v>533</v>
      </c>
      <c r="H39" s="50" t="s">
        <v>456</v>
      </c>
      <c r="I39" s="50" t="s">
        <v>74</v>
      </c>
      <c r="J39" s="50" t="s">
        <v>540</v>
      </c>
      <c r="K39" s="50" t="s">
        <v>535</v>
      </c>
      <c r="L39" s="50">
        <v>28</v>
      </c>
      <c r="M39" s="51">
        <v>26610.39</v>
      </c>
      <c r="N39" s="51">
        <v>9380</v>
      </c>
      <c r="O39" s="50">
        <v>0.64750610500000005</v>
      </c>
      <c r="P39" s="51">
        <v>17230.39</v>
      </c>
      <c r="Q39" s="51">
        <v>615.37</v>
      </c>
      <c r="R39" s="51">
        <v>3472.66</v>
      </c>
      <c r="S39" s="50">
        <v>12</v>
      </c>
      <c r="T39" s="51">
        <v>4460</v>
      </c>
      <c r="U39" s="52">
        <v>371.67</v>
      </c>
    </row>
    <row r="40" spans="1:21">
      <c r="A40">
        <f t="shared" si="0"/>
        <v>78</v>
      </c>
      <c r="B40" t="str">
        <f t="shared" si="1"/>
        <v>2E</v>
      </c>
      <c r="C40" t="str">
        <f t="shared" si="2"/>
        <v>2I</v>
      </c>
      <c r="D40" t="str">
        <f t="shared" si="3"/>
        <v>Round of 32</v>
      </c>
      <c r="E40" s="49">
        <v>153021470</v>
      </c>
      <c r="F40" s="50" t="s">
        <v>466</v>
      </c>
      <c r="G40" s="50" t="s">
        <v>533</v>
      </c>
      <c r="H40" s="50" t="s">
        <v>467</v>
      </c>
      <c r="I40" s="50" t="s">
        <v>74</v>
      </c>
      <c r="J40" s="50" t="s">
        <v>540</v>
      </c>
      <c r="K40" s="50" t="s">
        <v>535</v>
      </c>
      <c r="L40" s="50">
        <v>16</v>
      </c>
      <c r="M40" s="51">
        <v>5800.09</v>
      </c>
      <c r="N40" s="51">
        <v>4480</v>
      </c>
      <c r="O40" s="50">
        <v>0.227598192</v>
      </c>
      <c r="P40" s="51">
        <v>1320.09</v>
      </c>
      <c r="Q40" s="51">
        <v>82.51</v>
      </c>
      <c r="R40" s="51">
        <v>2468.7600000000002</v>
      </c>
      <c r="S40" s="50">
        <v>48</v>
      </c>
      <c r="T40" s="51">
        <v>20640</v>
      </c>
      <c r="U40" s="52">
        <v>430</v>
      </c>
    </row>
    <row r="41" spans="1:21">
      <c r="A41">
        <f t="shared" si="0"/>
        <v>88</v>
      </c>
      <c r="B41" t="str">
        <f t="shared" si="1"/>
        <v>2D</v>
      </c>
      <c r="C41" t="str">
        <f t="shared" si="2"/>
        <v>2G</v>
      </c>
      <c r="D41" t="str">
        <f t="shared" si="3"/>
        <v>Round of 32</v>
      </c>
      <c r="E41" s="49">
        <v>153021509</v>
      </c>
      <c r="F41" s="50" t="s">
        <v>483</v>
      </c>
      <c r="G41" s="50" t="s">
        <v>533</v>
      </c>
      <c r="H41" s="50" t="s">
        <v>484</v>
      </c>
      <c r="I41" s="50" t="s">
        <v>74</v>
      </c>
      <c r="J41" s="50" t="s">
        <v>540</v>
      </c>
      <c r="K41" s="50" t="s">
        <v>535</v>
      </c>
      <c r="L41" s="50">
        <v>12</v>
      </c>
      <c r="M41" s="51">
        <v>7062.5</v>
      </c>
      <c r="N41" s="51">
        <v>4280</v>
      </c>
      <c r="O41" s="50">
        <v>0.39398230000000001</v>
      </c>
      <c r="P41" s="51">
        <v>2782.5</v>
      </c>
      <c r="Q41" s="51">
        <v>231.88</v>
      </c>
      <c r="R41" s="51">
        <v>2088.7199999999998</v>
      </c>
      <c r="S41" s="50">
        <v>37</v>
      </c>
      <c r="T41" s="51">
        <v>16320</v>
      </c>
      <c r="U41" s="52">
        <v>441.08</v>
      </c>
    </row>
    <row r="42" spans="1:21">
      <c r="A42">
        <f t="shared" si="0"/>
        <v>93</v>
      </c>
      <c r="B42" t="str">
        <f t="shared" si="1"/>
        <v>W83</v>
      </c>
      <c r="C42" t="str">
        <f t="shared" si="2"/>
        <v>W84</v>
      </c>
      <c r="D42" t="str">
        <f t="shared" si="3"/>
        <v>Round of 16</v>
      </c>
      <c r="E42" s="49">
        <v>153021528</v>
      </c>
      <c r="F42" s="50" t="s">
        <v>498</v>
      </c>
      <c r="G42" s="50" t="s">
        <v>533</v>
      </c>
      <c r="H42" s="50" t="s">
        <v>499</v>
      </c>
      <c r="I42" s="50" t="s">
        <v>74</v>
      </c>
      <c r="J42" s="50" t="s">
        <v>540</v>
      </c>
      <c r="K42" s="50" t="s">
        <v>535</v>
      </c>
      <c r="L42" s="50">
        <v>8</v>
      </c>
      <c r="M42" s="51">
        <v>8515.4699999999993</v>
      </c>
      <c r="N42" s="51">
        <v>4810</v>
      </c>
      <c r="O42" s="50">
        <v>0.43514568100000001</v>
      </c>
      <c r="P42" s="51">
        <v>3705.47</v>
      </c>
      <c r="Q42" s="51">
        <v>463.18</v>
      </c>
      <c r="R42" s="51">
        <v>2327.37</v>
      </c>
      <c r="S42" s="50">
        <v>24</v>
      </c>
      <c r="T42" s="51">
        <v>12310</v>
      </c>
      <c r="U42" s="52">
        <v>512.91999999999996</v>
      </c>
    </row>
    <row r="43" spans="1:21">
      <c r="A43">
        <f t="shared" si="0"/>
        <v>101</v>
      </c>
      <c r="B43" t="str">
        <f t="shared" si="1"/>
        <v>W97</v>
      </c>
      <c r="C43" t="str">
        <f t="shared" si="2"/>
        <v>W98</v>
      </c>
      <c r="D43" t="str">
        <f t="shared" si="3"/>
        <v>Semi Finals</v>
      </c>
      <c r="E43" s="49">
        <v>153021542</v>
      </c>
      <c r="F43" s="50" t="s">
        <v>518</v>
      </c>
      <c r="G43" s="50" t="s">
        <v>533</v>
      </c>
      <c r="H43" s="50" t="s">
        <v>519</v>
      </c>
      <c r="I43" s="50" t="s">
        <v>74</v>
      </c>
      <c r="J43" s="50" t="s">
        <v>540</v>
      </c>
      <c r="K43" s="50" t="s">
        <v>535</v>
      </c>
      <c r="L43" s="50">
        <v>0</v>
      </c>
      <c r="M43" s="50"/>
      <c r="N43" s="51">
        <v>0</v>
      </c>
      <c r="O43" s="50">
        <v>0</v>
      </c>
      <c r="P43" s="51">
        <v>0</v>
      </c>
      <c r="Q43" s="51">
        <v>0</v>
      </c>
      <c r="R43" s="51">
        <v>10986.82</v>
      </c>
      <c r="S43" s="50">
        <v>13</v>
      </c>
      <c r="T43" s="51">
        <v>23240</v>
      </c>
      <c r="U43" s="52">
        <v>1787.69</v>
      </c>
    </row>
    <row r="44" spans="1:21">
      <c r="A44">
        <f t="shared" si="0"/>
        <v>19</v>
      </c>
      <c r="B44" t="str">
        <f t="shared" si="1"/>
        <v>Argentina</v>
      </c>
      <c r="C44" t="str">
        <f t="shared" si="2"/>
        <v>Algeria</v>
      </c>
      <c r="D44" t="str">
        <f t="shared" si="3"/>
        <v>Group J</v>
      </c>
      <c r="E44" s="49">
        <v>153021561</v>
      </c>
      <c r="F44" s="50" t="s">
        <v>375</v>
      </c>
      <c r="G44" s="50" t="s">
        <v>533</v>
      </c>
      <c r="H44" s="50" t="s">
        <v>376</v>
      </c>
      <c r="I44" s="50" t="s">
        <v>68</v>
      </c>
      <c r="J44" s="50" t="s">
        <v>541</v>
      </c>
      <c r="K44" s="50" t="s">
        <v>535</v>
      </c>
      <c r="L44" s="50">
        <v>56</v>
      </c>
      <c r="M44" s="51">
        <v>41254.17</v>
      </c>
      <c r="N44" s="51">
        <v>13920</v>
      </c>
      <c r="O44" s="50">
        <v>0.66257956399999995</v>
      </c>
      <c r="P44" s="51">
        <v>27334.17</v>
      </c>
      <c r="Q44" s="51">
        <v>488.11</v>
      </c>
      <c r="R44" s="51">
        <v>5379.58</v>
      </c>
      <c r="S44" s="50">
        <v>12</v>
      </c>
      <c r="T44" s="51">
        <v>3840</v>
      </c>
      <c r="U44" s="52">
        <v>320</v>
      </c>
    </row>
    <row r="45" spans="1:21">
      <c r="A45">
        <f t="shared" si="0"/>
        <v>34</v>
      </c>
      <c r="B45" t="str">
        <f t="shared" si="1"/>
        <v>Ecuador</v>
      </c>
      <c r="C45" t="str">
        <f t="shared" si="2"/>
        <v>Curaçao</v>
      </c>
      <c r="D45" t="str">
        <f t="shared" si="3"/>
        <v>Group E</v>
      </c>
      <c r="E45" s="49">
        <v>153021562</v>
      </c>
      <c r="F45" s="50" t="s">
        <v>542</v>
      </c>
      <c r="G45" s="50" t="s">
        <v>533</v>
      </c>
      <c r="H45" s="50" t="s">
        <v>398</v>
      </c>
      <c r="I45" s="50" t="s">
        <v>68</v>
      </c>
      <c r="J45" s="50" t="s">
        <v>541</v>
      </c>
      <c r="K45" s="50" t="s">
        <v>535</v>
      </c>
      <c r="L45" s="50">
        <v>124</v>
      </c>
      <c r="M45" s="51">
        <v>53944.74</v>
      </c>
      <c r="N45" s="51">
        <v>38000</v>
      </c>
      <c r="O45" s="50">
        <v>0.295575435</v>
      </c>
      <c r="P45" s="51">
        <v>15944.74</v>
      </c>
      <c r="Q45" s="51">
        <v>128.59</v>
      </c>
      <c r="R45" s="51">
        <v>2363.63</v>
      </c>
      <c r="S45" s="50">
        <v>32</v>
      </c>
      <c r="T45" s="51">
        <v>13400</v>
      </c>
      <c r="U45" s="52">
        <v>418.75</v>
      </c>
    </row>
    <row r="46" spans="1:21">
      <c r="A46">
        <f t="shared" si="0"/>
        <v>58</v>
      </c>
      <c r="B46" t="str">
        <f t="shared" si="1"/>
        <v>Tunisia</v>
      </c>
      <c r="C46" t="str">
        <f t="shared" si="2"/>
        <v>Netherlands</v>
      </c>
      <c r="D46" t="str">
        <f t="shared" si="3"/>
        <v>Group F</v>
      </c>
      <c r="E46" s="49">
        <v>153021563</v>
      </c>
      <c r="F46" s="50" t="s">
        <v>436</v>
      </c>
      <c r="G46" s="50" t="s">
        <v>533</v>
      </c>
      <c r="H46" s="50" t="s">
        <v>435</v>
      </c>
      <c r="I46" s="50" t="s">
        <v>68</v>
      </c>
      <c r="J46" s="50" t="s">
        <v>541</v>
      </c>
      <c r="K46" s="50" t="s">
        <v>535</v>
      </c>
      <c r="L46" s="50">
        <v>68</v>
      </c>
      <c r="M46" s="51">
        <v>34574.339999999997</v>
      </c>
      <c r="N46" s="51">
        <v>18740</v>
      </c>
      <c r="O46" s="50">
        <v>0.45797953000000002</v>
      </c>
      <c r="P46" s="51">
        <v>15834.34</v>
      </c>
      <c r="Q46" s="51">
        <v>232.86</v>
      </c>
      <c r="R46" s="51">
        <v>14947.28</v>
      </c>
      <c r="S46" s="50">
        <v>35</v>
      </c>
      <c r="T46" s="51">
        <v>15460</v>
      </c>
      <c r="U46" s="52">
        <v>441.71</v>
      </c>
    </row>
    <row r="47" spans="1:21">
      <c r="A47">
        <f t="shared" si="0"/>
        <v>69</v>
      </c>
      <c r="B47" t="str">
        <f t="shared" si="1"/>
        <v>Algeria</v>
      </c>
      <c r="C47" t="str">
        <f t="shared" si="2"/>
        <v>Austria</v>
      </c>
      <c r="D47" t="str">
        <f t="shared" si="3"/>
        <v>Group J</v>
      </c>
      <c r="E47" s="49">
        <v>153021572</v>
      </c>
      <c r="F47" s="50" t="s">
        <v>455</v>
      </c>
      <c r="G47" s="50" t="s">
        <v>533</v>
      </c>
      <c r="H47" s="50" t="s">
        <v>456</v>
      </c>
      <c r="I47" s="50" t="s">
        <v>68</v>
      </c>
      <c r="J47" s="50" t="s">
        <v>541</v>
      </c>
      <c r="K47" s="50" t="s">
        <v>535</v>
      </c>
      <c r="L47" s="50">
        <v>70</v>
      </c>
      <c r="M47" s="51">
        <v>22412.22</v>
      </c>
      <c r="N47" s="51">
        <v>17380</v>
      </c>
      <c r="O47" s="50">
        <v>0.22453018899999999</v>
      </c>
      <c r="P47" s="51">
        <v>5032.22</v>
      </c>
      <c r="Q47" s="51">
        <v>71.89</v>
      </c>
      <c r="R47" s="51">
        <v>1425.77</v>
      </c>
      <c r="S47" s="50">
        <v>38</v>
      </c>
      <c r="T47" s="51">
        <v>15800</v>
      </c>
      <c r="U47" s="52">
        <v>415.79</v>
      </c>
    </row>
    <row r="48" spans="1:21">
      <c r="A48">
        <f t="shared" si="0"/>
        <v>87</v>
      </c>
      <c r="B48" t="str">
        <f t="shared" si="1"/>
        <v>1K</v>
      </c>
      <c r="C48" t="str">
        <f t="shared" si="2"/>
        <v>3D/E/I/J/L</v>
      </c>
      <c r="D48" t="str">
        <f t="shared" si="3"/>
        <v>Round of 32</v>
      </c>
      <c r="E48" s="49">
        <v>153021573</v>
      </c>
      <c r="F48" s="50" t="s">
        <v>488</v>
      </c>
      <c r="G48" s="50" t="s">
        <v>533</v>
      </c>
      <c r="H48" s="50" t="s">
        <v>489</v>
      </c>
      <c r="I48" s="50" t="s">
        <v>68</v>
      </c>
      <c r="J48" s="50" t="s">
        <v>541</v>
      </c>
      <c r="K48" s="50" t="s">
        <v>535</v>
      </c>
      <c r="L48" s="50">
        <v>0</v>
      </c>
      <c r="M48" s="50"/>
      <c r="N48" s="51">
        <v>0</v>
      </c>
      <c r="O48" s="50">
        <v>0</v>
      </c>
      <c r="P48" s="51">
        <v>0</v>
      </c>
      <c r="Q48" s="51">
        <v>0</v>
      </c>
      <c r="R48" s="51">
        <v>2071.7600000000002</v>
      </c>
      <c r="S48" s="50">
        <v>119</v>
      </c>
      <c r="T48" s="51">
        <v>50460.6</v>
      </c>
      <c r="U48" s="52">
        <v>424.04</v>
      </c>
    </row>
    <row r="49" spans="1:21">
      <c r="A49">
        <f t="shared" si="0"/>
        <v>100</v>
      </c>
      <c r="B49" t="str">
        <f t="shared" si="1"/>
        <v>W95</v>
      </c>
      <c r="C49" t="str">
        <f t="shared" si="2"/>
        <v>W96</v>
      </c>
      <c r="D49" t="str">
        <f t="shared" si="3"/>
        <v>Quarter-Finals</v>
      </c>
      <c r="E49" s="49">
        <v>153021616</v>
      </c>
      <c r="F49" s="50" t="s">
        <v>513</v>
      </c>
      <c r="G49" s="50" t="s">
        <v>533</v>
      </c>
      <c r="H49" s="50" t="s">
        <v>514</v>
      </c>
      <c r="I49" s="50" t="s">
        <v>68</v>
      </c>
      <c r="J49" s="50" t="s">
        <v>541</v>
      </c>
      <c r="K49" s="50" t="s">
        <v>535</v>
      </c>
      <c r="L49" s="50">
        <v>10</v>
      </c>
      <c r="M49" s="51">
        <v>11760.44</v>
      </c>
      <c r="N49" s="51">
        <v>9277.48</v>
      </c>
      <c r="O49" s="50">
        <v>0.21112815500000001</v>
      </c>
      <c r="P49" s="51">
        <v>2482.96</v>
      </c>
      <c r="Q49" s="51">
        <v>248.3</v>
      </c>
      <c r="R49" s="51">
        <v>4104.16</v>
      </c>
      <c r="S49" s="50">
        <v>46</v>
      </c>
      <c r="T49" s="51">
        <v>38290</v>
      </c>
      <c r="U49" s="52">
        <v>832.39</v>
      </c>
    </row>
    <row r="50" spans="1:21">
      <c r="A50">
        <f t="shared" si="0"/>
        <v>3</v>
      </c>
      <c r="B50" t="str">
        <f t="shared" si="1"/>
        <v>Canada</v>
      </c>
      <c r="C50" t="str">
        <f t="shared" si="2"/>
        <v>TBD</v>
      </c>
      <c r="D50" t="str">
        <f t="shared" si="3"/>
        <v>Group B</v>
      </c>
      <c r="E50" s="49">
        <v>153021783</v>
      </c>
      <c r="F50" s="50" t="s">
        <v>339</v>
      </c>
      <c r="G50" s="50" t="s">
        <v>533</v>
      </c>
      <c r="H50" s="50" t="s">
        <v>340</v>
      </c>
      <c r="I50" s="50" t="s">
        <v>146</v>
      </c>
      <c r="J50" s="50" t="s">
        <v>543</v>
      </c>
      <c r="K50" s="50" t="s">
        <v>161</v>
      </c>
      <c r="L50" s="50">
        <v>0</v>
      </c>
      <c r="M50" s="50"/>
      <c r="N50" s="51">
        <v>0</v>
      </c>
      <c r="O50" s="50">
        <v>0</v>
      </c>
      <c r="P50" s="51">
        <v>0</v>
      </c>
      <c r="Q50" s="51">
        <v>0</v>
      </c>
      <c r="R50" s="51">
        <v>3559.95</v>
      </c>
      <c r="S50" s="50">
        <v>5</v>
      </c>
      <c r="T50" s="51">
        <v>10850</v>
      </c>
      <c r="U50" s="52">
        <v>2170</v>
      </c>
    </row>
    <row r="51" spans="1:21">
      <c r="A51">
        <f t="shared" si="0"/>
        <v>5</v>
      </c>
      <c r="B51" t="str">
        <f t="shared" si="1"/>
        <v>Haiti</v>
      </c>
      <c r="C51" t="str">
        <f t="shared" si="2"/>
        <v>Scotland</v>
      </c>
      <c r="D51" t="str">
        <f t="shared" si="3"/>
        <v>Group C</v>
      </c>
      <c r="E51" s="49">
        <v>153021802</v>
      </c>
      <c r="F51" s="50" t="s">
        <v>351</v>
      </c>
      <c r="G51" s="50" t="s">
        <v>533</v>
      </c>
      <c r="H51" s="50" t="s">
        <v>350</v>
      </c>
      <c r="I51" s="50" t="s">
        <v>127</v>
      </c>
      <c r="J51" s="50" t="s">
        <v>544</v>
      </c>
      <c r="K51" s="50" t="s">
        <v>535</v>
      </c>
      <c r="L51" s="50">
        <v>60</v>
      </c>
      <c r="M51" s="51">
        <v>49129.42</v>
      </c>
      <c r="N51" s="51">
        <v>19000</v>
      </c>
      <c r="O51" s="50">
        <v>0.61326634800000002</v>
      </c>
      <c r="P51" s="51">
        <v>30129.42</v>
      </c>
      <c r="Q51" s="51">
        <v>502.16</v>
      </c>
      <c r="R51" s="51">
        <v>7152.82</v>
      </c>
      <c r="S51" s="50">
        <v>8</v>
      </c>
      <c r="T51" s="51">
        <v>2480</v>
      </c>
      <c r="U51" s="52">
        <v>310</v>
      </c>
    </row>
    <row r="52" spans="1:21">
      <c r="A52">
        <f t="shared" si="0"/>
        <v>7</v>
      </c>
      <c r="B52" t="str">
        <f t="shared" si="1"/>
        <v>Brazil</v>
      </c>
      <c r="C52" t="str">
        <f t="shared" si="2"/>
        <v>Morocco</v>
      </c>
      <c r="D52" t="str">
        <f t="shared" si="3"/>
        <v>Group C</v>
      </c>
      <c r="E52" s="49">
        <v>153021803</v>
      </c>
      <c r="F52" s="50" t="s">
        <v>347</v>
      </c>
      <c r="G52" s="50" t="s">
        <v>533</v>
      </c>
      <c r="H52" s="50" t="s">
        <v>348</v>
      </c>
      <c r="I52" s="50" t="s">
        <v>91</v>
      </c>
      <c r="J52" s="50" t="s">
        <v>534</v>
      </c>
      <c r="K52" s="50" t="s">
        <v>535</v>
      </c>
      <c r="L52" s="50">
        <v>4</v>
      </c>
      <c r="M52" s="51">
        <v>4477.46</v>
      </c>
      <c r="N52" s="51">
        <v>2000</v>
      </c>
      <c r="O52" s="50">
        <v>0.55331817500000002</v>
      </c>
      <c r="P52" s="51">
        <v>2477.46</v>
      </c>
      <c r="Q52" s="51">
        <v>619.36</v>
      </c>
      <c r="R52" s="51">
        <v>4909.49</v>
      </c>
      <c r="S52" s="50">
        <v>4</v>
      </c>
      <c r="T52" s="51">
        <v>2480</v>
      </c>
      <c r="U52" s="52">
        <v>620</v>
      </c>
    </row>
    <row r="53" spans="1:21">
      <c r="A53">
        <f t="shared" si="0"/>
        <v>9</v>
      </c>
      <c r="B53" t="str">
        <f t="shared" si="1"/>
        <v>Côte d'Ivoire</v>
      </c>
      <c r="C53" t="str">
        <f t="shared" si="2"/>
        <v>Ecuador</v>
      </c>
      <c r="D53" t="str">
        <f t="shared" si="3"/>
        <v>Group E</v>
      </c>
      <c r="E53" s="49">
        <v>153022356</v>
      </c>
      <c r="F53" s="50" t="s">
        <v>545</v>
      </c>
      <c r="G53" s="50" t="s">
        <v>533</v>
      </c>
      <c r="H53" s="50" t="s">
        <v>360</v>
      </c>
      <c r="I53" s="50" t="s">
        <v>171</v>
      </c>
      <c r="J53" s="50" t="s">
        <v>546</v>
      </c>
      <c r="K53" s="50" t="s">
        <v>535</v>
      </c>
      <c r="L53" s="50">
        <v>56</v>
      </c>
      <c r="M53" s="51">
        <v>39942.839999999997</v>
      </c>
      <c r="N53" s="51">
        <v>19480</v>
      </c>
      <c r="O53" s="50">
        <v>0.51230308099999999</v>
      </c>
      <c r="P53" s="51">
        <v>20462.84</v>
      </c>
      <c r="Q53" s="51">
        <v>365.41</v>
      </c>
      <c r="R53" s="51">
        <v>4151.54</v>
      </c>
      <c r="S53" s="50">
        <v>12</v>
      </c>
      <c r="T53" s="51">
        <v>5380</v>
      </c>
      <c r="U53" s="52">
        <v>448.33</v>
      </c>
    </row>
    <row r="54" spans="1:21">
      <c r="A54">
        <f t="shared" si="0"/>
        <v>14</v>
      </c>
      <c r="B54" t="str">
        <f t="shared" si="1"/>
        <v>Spain</v>
      </c>
      <c r="C54" t="str">
        <f t="shared" si="2"/>
        <v>Cabo Verde</v>
      </c>
      <c r="D54" t="str">
        <f t="shared" si="3"/>
        <v>Group H</v>
      </c>
      <c r="E54" s="49">
        <v>153022393</v>
      </c>
      <c r="F54" s="50" t="s">
        <v>366</v>
      </c>
      <c r="G54" s="50" t="s">
        <v>533</v>
      </c>
      <c r="H54" s="50" t="s">
        <v>364</v>
      </c>
      <c r="I54" s="50" t="s">
        <v>79</v>
      </c>
      <c r="J54" s="50" t="s">
        <v>547</v>
      </c>
      <c r="K54" s="50" t="s">
        <v>535</v>
      </c>
      <c r="L54" s="50">
        <v>12</v>
      </c>
      <c r="M54" s="51">
        <v>9042.23</v>
      </c>
      <c r="N54" s="51">
        <v>4120</v>
      </c>
      <c r="O54" s="50">
        <v>0.54436018500000005</v>
      </c>
      <c r="P54" s="51">
        <v>4922.2299999999996</v>
      </c>
      <c r="Q54" s="51">
        <v>410.19</v>
      </c>
      <c r="R54" s="51">
        <v>1153.3399999999999</v>
      </c>
      <c r="S54" s="50">
        <v>24</v>
      </c>
      <c r="T54" s="51">
        <v>10840</v>
      </c>
      <c r="U54" s="52">
        <v>451.67</v>
      </c>
    </row>
    <row r="55" spans="1:21">
      <c r="A55">
        <f t="shared" si="0"/>
        <v>13</v>
      </c>
      <c r="B55" t="str">
        <f t="shared" si="1"/>
        <v>Saudi Arabia</v>
      </c>
      <c r="C55" t="str">
        <f t="shared" si="2"/>
        <v>Uruguay</v>
      </c>
      <c r="D55" t="str">
        <f t="shared" si="3"/>
        <v>Group H</v>
      </c>
      <c r="E55" s="49">
        <v>153022572</v>
      </c>
      <c r="F55" s="50" t="s">
        <v>369</v>
      </c>
      <c r="G55" s="50" t="s">
        <v>533</v>
      </c>
      <c r="H55" s="50" t="s">
        <v>368</v>
      </c>
      <c r="I55" s="50" t="s">
        <v>370</v>
      </c>
      <c r="J55" s="50" t="s">
        <v>548</v>
      </c>
      <c r="K55" s="50" t="s">
        <v>535</v>
      </c>
      <c r="L55" s="50">
        <v>12</v>
      </c>
      <c r="M55" s="51">
        <v>5027.3999999999996</v>
      </c>
      <c r="N55" s="51">
        <v>4360</v>
      </c>
      <c r="O55" s="50">
        <v>0.13275251599999999</v>
      </c>
      <c r="P55" s="51">
        <v>667.4</v>
      </c>
      <c r="Q55" s="51">
        <v>55.62</v>
      </c>
      <c r="R55" s="51">
        <v>1837.52</v>
      </c>
      <c r="S55" s="50">
        <v>4</v>
      </c>
      <c r="T55" s="51">
        <v>1420</v>
      </c>
      <c r="U55" s="52">
        <v>355</v>
      </c>
    </row>
    <row r="56" spans="1:21">
      <c r="A56">
        <f t="shared" si="0"/>
        <v>18</v>
      </c>
      <c r="B56" t="str">
        <f t="shared" si="1"/>
        <v>TBD</v>
      </c>
      <c r="C56" t="str">
        <f t="shared" si="2"/>
        <v>Norway</v>
      </c>
      <c r="D56" t="str">
        <f t="shared" si="3"/>
        <v>Group I</v>
      </c>
      <c r="E56" s="49">
        <v>153022585</v>
      </c>
      <c r="F56" s="50" t="s">
        <v>373</v>
      </c>
      <c r="G56" s="50" t="s">
        <v>533</v>
      </c>
      <c r="H56" s="50" t="s">
        <v>374</v>
      </c>
      <c r="I56" s="50" t="s">
        <v>127</v>
      </c>
      <c r="J56" s="50" t="s">
        <v>544</v>
      </c>
      <c r="K56" s="50" t="s">
        <v>535</v>
      </c>
      <c r="L56" s="50">
        <v>28</v>
      </c>
      <c r="M56" s="51">
        <v>16339.62</v>
      </c>
      <c r="N56" s="51">
        <v>9880</v>
      </c>
      <c r="O56" s="50">
        <v>0.39533477500000003</v>
      </c>
      <c r="P56" s="51">
        <v>6459.62</v>
      </c>
      <c r="Q56" s="51">
        <v>230.7</v>
      </c>
      <c r="R56" s="51">
        <v>2379.4699999999998</v>
      </c>
      <c r="S56" s="50">
        <v>10</v>
      </c>
      <c r="T56" s="51">
        <v>3480</v>
      </c>
      <c r="U56" s="52">
        <v>348</v>
      </c>
    </row>
    <row r="57" spans="1:21">
      <c r="A57">
        <f t="shared" si="0"/>
        <v>17</v>
      </c>
      <c r="B57" t="str">
        <f t="shared" si="1"/>
        <v>France</v>
      </c>
      <c r="C57" t="str">
        <f t="shared" si="2"/>
        <v>Senegal</v>
      </c>
      <c r="D57" t="str">
        <f t="shared" si="3"/>
        <v>Group I</v>
      </c>
      <c r="E57" s="49">
        <v>153022598</v>
      </c>
      <c r="F57" s="50" t="s">
        <v>371</v>
      </c>
      <c r="G57" s="50" t="s">
        <v>533</v>
      </c>
      <c r="H57" s="50" t="s">
        <v>372</v>
      </c>
      <c r="I57" s="50" t="s">
        <v>91</v>
      </c>
      <c r="J57" s="50" t="s">
        <v>534</v>
      </c>
      <c r="K57" s="50" t="s">
        <v>535</v>
      </c>
      <c r="L57" s="50">
        <v>12</v>
      </c>
      <c r="M57" s="51">
        <v>12239.86</v>
      </c>
      <c r="N57" s="51">
        <v>6820</v>
      </c>
      <c r="O57" s="50">
        <v>0.44280408399999999</v>
      </c>
      <c r="P57" s="51">
        <v>5419.86</v>
      </c>
      <c r="Q57" s="51">
        <v>451.66</v>
      </c>
      <c r="R57" s="51">
        <v>4378.8599999999997</v>
      </c>
      <c r="S57" s="50">
        <v>4</v>
      </c>
      <c r="T57" s="51">
        <v>1860</v>
      </c>
      <c r="U57" s="52">
        <v>465</v>
      </c>
    </row>
    <row r="58" spans="1:21">
      <c r="A58">
        <f t="shared" si="0"/>
        <v>21</v>
      </c>
      <c r="B58" t="str">
        <f t="shared" si="1"/>
        <v>Ghana</v>
      </c>
      <c r="C58" t="str">
        <f t="shared" si="2"/>
        <v>Panama</v>
      </c>
      <c r="D58" t="str">
        <f t="shared" si="3"/>
        <v>Group L</v>
      </c>
      <c r="E58" s="49">
        <v>153022614</v>
      </c>
      <c r="F58" s="50" t="s">
        <v>383</v>
      </c>
      <c r="G58" s="50" t="s">
        <v>533</v>
      </c>
      <c r="H58" s="50" t="s">
        <v>384</v>
      </c>
      <c r="I58" s="50" t="s">
        <v>146</v>
      </c>
      <c r="J58" s="50" t="s">
        <v>543</v>
      </c>
      <c r="K58" s="50" t="s">
        <v>161</v>
      </c>
      <c r="L58" s="50">
        <v>0</v>
      </c>
      <c r="M58" s="50"/>
      <c r="N58" s="51">
        <v>0</v>
      </c>
      <c r="O58" s="50">
        <v>0</v>
      </c>
      <c r="P58" s="51">
        <v>0</v>
      </c>
      <c r="Q58" s="51">
        <v>0</v>
      </c>
      <c r="R58" s="51">
        <v>541.78</v>
      </c>
      <c r="S58" s="50">
        <v>4</v>
      </c>
      <c r="T58" s="51">
        <v>1800</v>
      </c>
      <c r="U58" s="52">
        <v>450</v>
      </c>
    </row>
    <row r="59" spans="1:21">
      <c r="A59">
        <f t="shared" si="0"/>
        <v>25</v>
      </c>
      <c r="B59" t="str">
        <f t="shared" si="1"/>
        <v>TBD</v>
      </c>
      <c r="C59" t="str">
        <f t="shared" si="2"/>
        <v>South Africa</v>
      </c>
      <c r="D59" t="str">
        <f t="shared" si="3"/>
        <v>Group A</v>
      </c>
      <c r="E59" s="49">
        <v>153022626</v>
      </c>
      <c r="F59" s="50" t="s">
        <v>387</v>
      </c>
      <c r="G59" s="50" t="s">
        <v>533</v>
      </c>
      <c r="H59" s="50" t="s">
        <v>386</v>
      </c>
      <c r="I59" s="50" t="s">
        <v>79</v>
      </c>
      <c r="J59" s="50" t="s">
        <v>547</v>
      </c>
      <c r="K59" s="50" t="s">
        <v>535</v>
      </c>
      <c r="L59" s="50">
        <v>12</v>
      </c>
      <c r="M59" s="51">
        <v>5404.54</v>
      </c>
      <c r="N59" s="51">
        <v>3720</v>
      </c>
      <c r="O59" s="50">
        <v>0.31168980099999999</v>
      </c>
      <c r="P59" s="51">
        <v>1684.54</v>
      </c>
      <c r="Q59" s="51">
        <v>140.38</v>
      </c>
      <c r="R59" s="51">
        <v>1416.43</v>
      </c>
      <c r="S59" s="50">
        <v>87</v>
      </c>
      <c r="T59" s="51">
        <v>34880</v>
      </c>
      <c r="U59" s="52">
        <v>400.92</v>
      </c>
    </row>
    <row r="60" spans="1:21">
      <c r="A60">
        <f t="shared" si="0"/>
        <v>30</v>
      </c>
      <c r="B60" t="str">
        <f t="shared" si="1"/>
        <v>Scotland</v>
      </c>
      <c r="C60" t="str">
        <f t="shared" si="2"/>
        <v>Morocco</v>
      </c>
      <c r="D60" t="str">
        <f t="shared" si="3"/>
        <v>Group C</v>
      </c>
      <c r="E60" s="49">
        <v>153022637</v>
      </c>
      <c r="F60" s="50" t="s">
        <v>390</v>
      </c>
      <c r="G60" s="50" t="s">
        <v>533</v>
      </c>
      <c r="H60" s="50" t="s">
        <v>391</v>
      </c>
      <c r="I60" s="50" t="s">
        <v>127</v>
      </c>
      <c r="J60" s="50" t="s">
        <v>544</v>
      </c>
      <c r="K60" s="50" t="s">
        <v>535</v>
      </c>
      <c r="L60" s="50">
        <v>32</v>
      </c>
      <c r="M60" s="51">
        <v>26780.04</v>
      </c>
      <c r="N60" s="51">
        <v>10320</v>
      </c>
      <c r="O60" s="50">
        <v>0.61463836400000005</v>
      </c>
      <c r="P60" s="51">
        <v>16460.04</v>
      </c>
      <c r="Q60" s="51">
        <v>514.38</v>
      </c>
      <c r="R60" s="51">
        <v>3570.88</v>
      </c>
      <c r="S60" s="50">
        <v>12</v>
      </c>
      <c r="T60" s="51">
        <v>3720</v>
      </c>
      <c r="U60" s="52">
        <v>310</v>
      </c>
    </row>
    <row r="61" spans="1:21">
      <c r="A61">
        <f t="shared" si="0"/>
        <v>29</v>
      </c>
      <c r="B61" t="str">
        <f t="shared" si="1"/>
        <v>Brazil</v>
      </c>
      <c r="C61" t="str">
        <f t="shared" si="2"/>
        <v>Haiti</v>
      </c>
      <c r="D61" t="str">
        <f t="shared" si="3"/>
        <v>Group C</v>
      </c>
      <c r="E61" s="49">
        <v>153022742</v>
      </c>
      <c r="F61" s="50" t="s">
        <v>392</v>
      </c>
      <c r="G61" s="50" t="s">
        <v>533</v>
      </c>
      <c r="H61" s="50" t="s">
        <v>393</v>
      </c>
      <c r="I61" s="50" t="s">
        <v>171</v>
      </c>
      <c r="J61" s="50" t="s">
        <v>546</v>
      </c>
      <c r="K61" s="50" t="s">
        <v>535</v>
      </c>
      <c r="L61" s="50">
        <v>55</v>
      </c>
      <c r="M61" s="51">
        <v>55714.1</v>
      </c>
      <c r="N61" s="51">
        <v>18715</v>
      </c>
      <c r="O61" s="50">
        <v>0.66408862300000004</v>
      </c>
      <c r="P61" s="51">
        <v>36999.1</v>
      </c>
      <c r="Q61" s="51">
        <v>672.71</v>
      </c>
      <c r="R61" s="51">
        <v>5203.57</v>
      </c>
      <c r="S61" s="50">
        <v>16</v>
      </c>
      <c r="T61" s="51">
        <v>6780</v>
      </c>
      <c r="U61" s="52">
        <v>423.75</v>
      </c>
    </row>
    <row r="62" spans="1:21">
      <c r="A62">
        <f t="shared" si="0"/>
        <v>38</v>
      </c>
      <c r="B62" t="str">
        <f t="shared" si="1"/>
        <v>Spain</v>
      </c>
      <c r="C62" t="str">
        <f t="shared" si="2"/>
        <v>Saudi Arabia</v>
      </c>
      <c r="D62" t="str">
        <f t="shared" si="3"/>
        <v>Group H</v>
      </c>
      <c r="E62" s="49">
        <v>153022910</v>
      </c>
      <c r="F62" s="50" t="s">
        <v>403</v>
      </c>
      <c r="G62" s="50" t="s">
        <v>533</v>
      </c>
      <c r="H62" s="50" t="s">
        <v>402</v>
      </c>
      <c r="I62" s="50" t="s">
        <v>79</v>
      </c>
      <c r="J62" s="50" t="s">
        <v>547</v>
      </c>
      <c r="K62" s="50" t="s">
        <v>535</v>
      </c>
      <c r="L62" s="50">
        <v>20</v>
      </c>
      <c r="M62" s="51">
        <v>10938.31</v>
      </c>
      <c r="N62" s="51">
        <v>4399.88</v>
      </c>
      <c r="O62" s="50">
        <v>0.59775504599999996</v>
      </c>
      <c r="P62" s="51">
        <v>6538.43</v>
      </c>
      <c r="Q62" s="51">
        <v>326.92</v>
      </c>
      <c r="R62" s="51">
        <v>1400.11</v>
      </c>
      <c r="S62" s="50">
        <v>16</v>
      </c>
      <c r="T62" s="51">
        <v>6000</v>
      </c>
      <c r="U62" s="52">
        <v>375</v>
      </c>
    </row>
    <row r="63" spans="1:21">
      <c r="A63">
        <f t="shared" si="0"/>
        <v>37</v>
      </c>
      <c r="B63" t="str">
        <f t="shared" si="1"/>
        <v>Uruguay</v>
      </c>
      <c r="C63" t="str">
        <f t="shared" si="2"/>
        <v>Cabo Verde</v>
      </c>
      <c r="D63" t="str">
        <f t="shared" si="3"/>
        <v>Group H</v>
      </c>
      <c r="E63" s="49">
        <v>153023087</v>
      </c>
      <c r="F63" s="50" t="s">
        <v>407</v>
      </c>
      <c r="G63" s="50" t="s">
        <v>533</v>
      </c>
      <c r="H63" s="50" t="s">
        <v>406</v>
      </c>
      <c r="I63" s="50" t="s">
        <v>370</v>
      </c>
      <c r="J63" s="50" t="s">
        <v>548</v>
      </c>
      <c r="K63" s="50" t="s">
        <v>535</v>
      </c>
      <c r="L63" s="50">
        <v>46</v>
      </c>
      <c r="M63" s="51">
        <v>18431.18</v>
      </c>
      <c r="N63" s="51">
        <v>18890</v>
      </c>
      <c r="O63" s="50">
        <v>-2.4893684999999999E-2</v>
      </c>
      <c r="P63" s="51">
        <v>-458.82</v>
      </c>
      <c r="Q63" s="51">
        <v>-9.9700000000000006</v>
      </c>
      <c r="R63" s="51">
        <v>1809.95</v>
      </c>
      <c r="S63" s="50">
        <v>15</v>
      </c>
      <c r="T63" s="51">
        <v>6150</v>
      </c>
      <c r="U63" s="52">
        <v>410</v>
      </c>
    </row>
    <row r="64" spans="1:21">
      <c r="A64">
        <f t="shared" si="0"/>
        <v>42</v>
      </c>
      <c r="B64" t="str">
        <f t="shared" si="1"/>
        <v>France</v>
      </c>
      <c r="C64" t="str">
        <f t="shared" si="2"/>
        <v>TBD</v>
      </c>
      <c r="D64" t="str">
        <f t="shared" si="3"/>
        <v>Group I</v>
      </c>
      <c r="E64" s="49">
        <v>153023094</v>
      </c>
      <c r="F64" s="50" t="s">
        <v>411</v>
      </c>
      <c r="G64" s="50" t="s">
        <v>533</v>
      </c>
      <c r="H64" s="50" t="s">
        <v>412</v>
      </c>
      <c r="I64" s="50" t="s">
        <v>171</v>
      </c>
      <c r="J64" s="50" t="s">
        <v>546</v>
      </c>
      <c r="K64" s="50" t="s">
        <v>535</v>
      </c>
      <c r="L64" s="50">
        <v>16</v>
      </c>
      <c r="M64" s="51">
        <v>8930.76</v>
      </c>
      <c r="N64" s="51">
        <v>5780</v>
      </c>
      <c r="O64" s="50">
        <v>0.35279864100000002</v>
      </c>
      <c r="P64" s="51">
        <v>3150.76</v>
      </c>
      <c r="Q64" s="51">
        <v>196.92</v>
      </c>
      <c r="R64" s="51">
        <v>1119.72</v>
      </c>
      <c r="S64" s="50">
        <v>28</v>
      </c>
      <c r="T64" s="51">
        <v>11840</v>
      </c>
      <c r="U64" s="52">
        <v>422.86</v>
      </c>
    </row>
    <row r="65" spans="1:21">
      <c r="A65">
        <f t="shared" si="0"/>
        <v>41</v>
      </c>
      <c r="B65" t="str">
        <f t="shared" si="1"/>
        <v>Norway</v>
      </c>
      <c r="C65" t="str">
        <f t="shared" si="2"/>
        <v>Senegal</v>
      </c>
      <c r="D65" t="str">
        <f t="shared" si="3"/>
        <v>Group I</v>
      </c>
      <c r="E65" s="49">
        <v>153023354</v>
      </c>
      <c r="F65" s="50" t="s">
        <v>415</v>
      </c>
      <c r="G65" s="50" t="s">
        <v>533</v>
      </c>
      <c r="H65" s="50" t="s">
        <v>414</v>
      </c>
      <c r="I65" s="50" t="s">
        <v>91</v>
      </c>
      <c r="J65" s="50" t="s">
        <v>534</v>
      </c>
      <c r="K65" s="50" t="s">
        <v>535</v>
      </c>
      <c r="L65" s="50">
        <v>16</v>
      </c>
      <c r="M65" s="51">
        <v>8831.6299999999992</v>
      </c>
      <c r="N65" s="51">
        <v>7440</v>
      </c>
      <c r="O65" s="50">
        <v>0.157573403</v>
      </c>
      <c r="P65" s="51">
        <v>1391.63</v>
      </c>
      <c r="Q65" s="51">
        <v>86.98</v>
      </c>
      <c r="R65" s="51">
        <v>2245.2399999999998</v>
      </c>
      <c r="S65" s="50">
        <v>6</v>
      </c>
      <c r="T65" s="51">
        <v>2790</v>
      </c>
      <c r="U65" s="52">
        <v>465</v>
      </c>
    </row>
    <row r="66" spans="1:21">
      <c r="A66">
        <f t="shared" si="0"/>
        <v>46</v>
      </c>
      <c r="B66" t="str">
        <f t="shared" si="1"/>
        <v>Panama</v>
      </c>
      <c r="C66" t="str">
        <f t="shared" si="2"/>
        <v>Croatia</v>
      </c>
      <c r="D66" t="str">
        <f t="shared" si="3"/>
        <v>Group L</v>
      </c>
      <c r="E66" s="49">
        <v>153023376</v>
      </c>
      <c r="F66" s="50" t="s">
        <v>420</v>
      </c>
      <c r="G66" s="50" t="s">
        <v>533</v>
      </c>
      <c r="H66" s="50" t="s">
        <v>421</v>
      </c>
      <c r="I66" s="50" t="s">
        <v>146</v>
      </c>
      <c r="J66" s="50" t="s">
        <v>543</v>
      </c>
      <c r="K66" s="50" t="s">
        <v>161</v>
      </c>
      <c r="L66" s="50">
        <v>2</v>
      </c>
      <c r="M66" s="51">
        <v>1174.04</v>
      </c>
      <c r="N66" s="51">
        <v>758</v>
      </c>
      <c r="O66" s="50">
        <v>0.35436612000000001</v>
      </c>
      <c r="P66" s="51">
        <v>416.04</v>
      </c>
      <c r="Q66" s="51">
        <v>208.02</v>
      </c>
      <c r="R66" s="51">
        <v>778.71</v>
      </c>
      <c r="S66" s="50">
        <v>21</v>
      </c>
      <c r="T66" s="51">
        <v>9262.8799999999992</v>
      </c>
      <c r="U66" s="52">
        <v>441.09</v>
      </c>
    </row>
    <row r="67" spans="1:21">
      <c r="A67">
        <f t="shared" si="0"/>
        <v>45</v>
      </c>
      <c r="B67" t="str">
        <f t="shared" si="1"/>
        <v>England</v>
      </c>
      <c r="C67" t="str">
        <f t="shared" si="2"/>
        <v>Ghana</v>
      </c>
      <c r="D67" t="str">
        <f t="shared" si="3"/>
        <v>Group L</v>
      </c>
      <c r="E67" s="49">
        <v>153023421</v>
      </c>
      <c r="F67" s="50" t="s">
        <v>418</v>
      </c>
      <c r="G67" s="50" t="s">
        <v>533</v>
      </c>
      <c r="H67" s="50" t="s">
        <v>419</v>
      </c>
      <c r="I67" s="50" t="s">
        <v>127</v>
      </c>
      <c r="J67" s="50" t="s">
        <v>544</v>
      </c>
      <c r="K67" s="50" t="s">
        <v>535</v>
      </c>
      <c r="L67" s="50">
        <v>28</v>
      </c>
      <c r="M67" s="51">
        <v>31261.040000000001</v>
      </c>
      <c r="N67" s="51">
        <v>10280</v>
      </c>
      <c r="O67" s="50">
        <v>0.67115617299999997</v>
      </c>
      <c r="P67" s="51">
        <v>20981.040000000001</v>
      </c>
      <c r="Q67" s="51">
        <v>749.32</v>
      </c>
      <c r="R67" s="51">
        <v>4181.32</v>
      </c>
      <c r="S67" s="50">
        <v>12</v>
      </c>
      <c r="T67" s="51">
        <v>4520</v>
      </c>
      <c r="U67" s="52">
        <v>376.67</v>
      </c>
    </row>
    <row r="68" spans="1:21">
      <c r="A68">
        <f t="shared" ref="A68:A97" si="4">--MID(F68,FIND("(Match ",F68)+7,FIND(")",F68)-FIND("(Match ",F68)-7)</f>
        <v>50</v>
      </c>
      <c r="B68" t="str">
        <f t="shared" ref="B68:B97" si="5">LEFT(F68,FIND(" vs ",F68)-1)</f>
        <v>Morocco</v>
      </c>
      <c r="C68" t="str">
        <f t="shared" ref="C68:C97" si="6">MID(F68,FIND(" vs ",F68)+4,FIND(" - ",F68)-FIND(" vs ",F68)-4)</f>
        <v>Haiti</v>
      </c>
      <c r="D68" t="str">
        <f t="shared" ref="D68:D97" si="7">TRIM(MID(F68,FIND("World Cup - ",F68)+12,FIND(" (Match",F68)-FIND("World Cup - ",F68)-12))</f>
        <v>Group C</v>
      </c>
      <c r="E68" s="49">
        <v>153023548</v>
      </c>
      <c r="F68" s="50" t="s">
        <v>426</v>
      </c>
      <c r="G68" s="50" t="s">
        <v>533</v>
      </c>
      <c r="H68" s="50" t="s">
        <v>427</v>
      </c>
      <c r="I68" s="50" t="s">
        <v>79</v>
      </c>
      <c r="J68" s="50" t="s">
        <v>547</v>
      </c>
      <c r="K68" s="50" t="s">
        <v>535</v>
      </c>
      <c r="L68" s="50">
        <v>12</v>
      </c>
      <c r="M68" s="51">
        <v>4346.93</v>
      </c>
      <c r="N68" s="51">
        <v>2758.28</v>
      </c>
      <c r="O68" s="50">
        <v>0.36546482200000002</v>
      </c>
      <c r="P68" s="51">
        <v>1588.65</v>
      </c>
      <c r="Q68" s="51">
        <v>132.38999999999999</v>
      </c>
      <c r="R68" s="51">
        <v>595.22</v>
      </c>
      <c r="S68" s="50">
        <v>42</v>
      </c>
      <c r="T68" s="51">
        <v>12810.22</v>
      </c>
      <c r="U68" s="52">
        <v>305.01</v>
      </c>
    </row>
    <row r="69" spans="1:21">
      <c r="A69">
        <f t="shared" si="4"/>
        <v>49</v>
      </c>
      <c r="B69" t="str">
        <f t="shared" si="5"/>
        <v>Scotland</v>
      </c>
      <c r="C69" t="str">
        <f t="shared" si="6"/>
        <v>Brazil</v>
      </c>
      <c r="D69" t="str">
        <f t="shared" si="7"/>
        <v>Group C</v>
      </c>
      <c r="E69" s="49">
        <v>153023575</v>
      </c>
      <c r="F69" s="50" t="s">
        <v>428</v>
      </c>
      <c r="G69" s="50" t="s">
        <v>533</v>
      </c>
      <c r="H69" s="50" t="s">
        <v>427</v>
      </c>
      <c r="I69" s="50" t="s">
        <v>370</v>
      </c>
      <c r="J69" s="50" t="s">
        <v>548</v>
      </c>
      <c r="K69" s="50" t="s">
        <v>535</v>
      </c>
      <c r="L69" s="50">
        <v>16</v>
      </c>
      <c r="M69" s="51">
        <v>25143</v>
      </c>
      <c r="N69" s="51">
        <v>7120</v>
      </c>
      <c r="O69" s="50">
        <v>0.71681978999999996</v>
      </c>
      <c r="P69" s="51">
        <v>18023</v>
      </c>
      <c r="Q69" s="51">
        <v>1126.44</v>
      </c>
      <c r="R69" s="51">
        <v>9395.7000000000007</v>
      </c>
      <c r="S69" s="50">
        <v>4</v>
      </c>
      <c r="T69" s="51">
        <v>1780</v>
      </c>
      <c r="U69" s="52">
        <v>445</v>
      </c>
    </row>
    <row r="70" spans="1:21">
      <c r="A70">
        <f t="shared" si="4"/>
        <v>55</v>
      </c>
      <c r="B70" t="str">
        <f t="shared" si="5"/>
        <v>Curaçao</v>
      </c>
      <c r="C70" t="str">
        <f t="shared" si="6"/>
        <v>Côte d'Ivoire</v>
      </c>
      <c r="D70" t="str">
        <f t="shared" si="7"/>
        <v>Group E</v>
      </c>
      <c r="E70" s="49">
        <v>153023579</v>
      </c>
      <c r="F70" s="50" t="s">
        <v>549</v>
      </c>
      <c r="G70" s="50" t="s">
        <v>533</v>
      </c>
      <c r="H70" s="50" t="s">
        <v>432</v>
      </c>
      <c r="I70" s="50" t="s">
        <v>171</v>
      </c>
      <c r="J70" s="50" t="s">
        <v>546</v>
      </c>
      <c r="K70" s="50" t="s">
        <v>535</v>
      </c>
      <c r="L70" s="50">
        <v>12</v>
      </c>
      <c r="M70" s="51">
        <v>3802.86</v>
      </c>
      <c r="N70" s="51">
        <v>3740</v>
      </c>
      <c r="O70" s="50">
        <v>1.6529663999999999E-2</v>
      </c>
      <c r="P70" s="51">
        <v>62.86</v>
      </c>
      <c r="Q70" s="51">
        <v>5.24</v>
      </c>
      <c r="R70" s="51">
        <v>807.82</v>
      </c>
      <c r="S70" s="50">
        <v>12</v>
      </c>
      <c r="T70" s="51">
        <v>5380</v>
      </c>
      <c r="U70" s="52">
        <v>448.33</v>
      </c>
    </row>
    <row r="71" spans="1:21">
      <c r="A71">
        <f t="shared" si="4"/>
        <v>56</v>
      </c>
      <c r="B71" t="str">
        <f t="shared" si="5"/>
        <v>Ecuador</v>
      </c>
      <c r="C71" t="str">
        <f t="shared" si="6"/>
        <v>Germany</v>
      </c>
      <c r="D71" t="str">
        <f t="shared" si="7"/>
        <v>Group E</v>
      </c>
      <c r="E71" s="49">
        <v>153023689</v>
      </c>
      <c r="F71" s="50" t="s">
        <v>433</v>
      </c>
      <c r="G71" s="50" t="s">
        <v>533</v>
      </c>
      <c r="H71" s="50" t="s">
        <v>432</v>
      </c>
      <c r="I71" s="50" t="s">
        <v>91</v>
      </c>
      <c r="J71" s="50" t="s">
        <v>534</v>
      </c>
      <c r="K71" s="50" t="s">
        <v>535</v>
      </c>
      <c r="L71" s="50">
        <v>4</v>
      </c>
      <c r="M71" s="51">
        <v>6742.52</v>
      </c>
      <c r="N71" s="51">
        <v>1860</v>
      </c>
      <c r="O71" s="50">
        <v>0.72413874899999997</v>
      </c>
      <c r="P71" s="51">
        <v>4882.5200000000004</v>
      </c>
      <c r="Q71" s="51">
        <v>1220.6300000000001</v>
      </c>
      <c r="R71" s="51">
        <v>3700.53</v>
      </c>
      <c r="S71" s="50">
        <v>8</v>
      </c>
      <c r="T71" s="51">
        <v>4960</v>
      </c>
      <c r="U71" s="52">
        <v>620</v>
      </c>
    </row>
    <row r="72" spans="1:21">
      <c r="A72">
        <f t="shared" si="4"/>
        <v>62</v>
      </c>
      <c r="B72" t="str">
        <f t="shared" si="5"/>
        <v>Senegal</v>
      </c>
      <c r="C72" t="str">
        <f t="shared" si="6"/>
        <v>TBD</v>
      </c>
      <c r="D72" t="str">
        <f t="shared" si="7"/>
        <v>Group I</v>
      </c>
      <c r="E72" s="49">
        <v>153023734</v>
      </c>
      <c r="F72" s="50" t="s">
        <v>442</v>
      </c>
      <c r="G72" s="50" t="s">
        <v>533</v>
      </c>
      <c r="H72" s="50" t="s">
        <v>441</v>
      </c>
      <c r="I72" s="50" t="s">
        <v>146</v>
      </c>
      <c r="J72" s="50" t="s">
        <v>543</v>
      </c>
      <c r="K72" s="50" t="s">
        <v>161</v>
      </c>
      <c r="L72" s="50">
        <v>0</v>
      </c>
      <c r="M72" s="50"/>
      <c r="N72" s="51">
        <v>0</v>
      </c>
      <c r="O72" s="50">
        <v>0</v>
      </c>
      <c r="P72" s="51">
        <v>0</v>
      </c>
      <c r="Q72" s="51">
        <v>0</v>
      </c>
      <c r="R72" s="51">
        <v>738.97</v>
      </c>
      <c r="S72" s="50">
        <v>13</v>
      </c>
      <c r="T72" s="51">
        <v>5430</v>
      </c>
      <c r="U72" s="52">
        <v>417.69</v>
      </c>
    </row>
    <row r="73" spans="1:21">
      <c r="A73">
        <f t="shared" si="4"/>
        <v>61</v>
      </c>
      <c r="B73" t="str">
        <f t="shared" si="5"/>
        <v>Norway</v>
      </c>
      <c r="C73" t="str">
        <f t="shared" si="6"/>
        <v>France</v>
      </c>
      <c r="D73" t="str">
        <f t="shared" si="7"/>
        <v>Group I</v>
      </c>
      <c r="E73" s="49">
        <v>153023735</v>
      </c>
      <c r="F73" s="50" t="s">
        <v>440</v>
      </c>
      <c r="G73" s="50" t="s">
        <v>533</v>
      </c>
      <c r="H73" s="50" t="s">
        <v>441</v>
      </c>
      <c r="I73" s="50" t="s">
        <v>127</v>
      </c>
      <c r="J73" s="50" t="s">
        <v>544</v>
      </c>
      <c r="K73" s="50" t="s">
        <v>535</v>
      </c>
      <c r="L73" s="50">
        <v>40</v>
      </c>
      <c r="M73" s="51">
        <v>44494.96</v>
      </c>
      <c r="N73" s="51">
        <v>13200</v>
      </c>
      <c r="O73" s="50">
        <v>0.70333718599999995</v>
      </c>
      <c r="P73" s="51">
        <v>31294.959999999999</v>
      </c>
      <c r="Q73" s="51">
        <v>782.37</v>
      </c>
      <c r="R73" s="51">
        <v>4235.2700000000004</v>
      </c>
      <c r="S73" s="50">
        <v>16</v>
      </c>
      <c r="T73" s="51">
        <v>4960</v>
      </c>
      <c r="U73" s="52">
        <v>310</v>
      </c>
    </row>
    <row r="74" spans="1:21">
      <c r="A74">
        <f t="shared" si="4"/>
        <v>72</v>
      </c>
      <c r="B74" t="str">
        <f t="shared" si="5"/>
        <v>TBD</v>
      </c>
      <c r="C74" t="str">
        <f t="shared" si="6"/>
        <v>Uzbekistan</v>
      </c>
      <c r="D74" t="str">
        <f t="shared" si="7"/>
        <v>Group K</v>
      </c>
      <c r="E74" s="49">
        <v>153023736</v>
      </c>
      <c r="F74" s="50" t="s">
        <v>454</v>
      </c>
      <c r="G74" s="50" t="s">
        <v>533</v>
      </c>
      <c r="H74" s="50" t="s">
        <v>453</v>
      </c>
      <c r="I74" s="50" t="s">
        <v>79</v>
      </c>
      <c r="J74" s="50" t="s">
        <v>547</v>
      </c>
      <c r="K74" s="50" t="s">
        <v>535</v>
      </c>
      <c r="L74" s="50">
        <v>20</v>
      </c>
      <c r="M74" s="51">
        <v>4305.3</v>
      </c>
      <c r="N74" s="51">
        <v>3480</v>
      </c>
      <c r="O74" s="50">
        <v>0.191693958</v>
      </c>
      <c r="P74" s="51">
        <v>825.3</v>
      </c>
      <c r="Q74" s="51">
        <v>41.26</v>
      </c>
      <c r="R74" s="51">
        <v>800.42</v>
      </c>
      <c r="S74" s="50">
        <v>15</v>
      </c>
      <c r="T74" s="51">
        <v>5160</v>
      </c>
      <c r="U74" s="52">
        <v>344</v>
      </c>
    </row>
    <row r="75" spans="1:21">
      <c r="A75">
        <f t="shared" si="4"/>
        <v>71</v>
      </c>
      <c r="B75" t="str">
        <f t="shared" si="5"/>
        <v>Colombia</v>
      </c>
      <c r="C75" t="str">
        <f t="shared" si="6"/>
        <v>Portugal</v>
      </c>
      <c r="D75" t="str">
        <f t="shared" si="7"/>
        <v>Group K</v>
      </c>
      <c r="E75" s="49">
        <v>153023764</v>
      </c>
      <c r="F75" s="50" t="s">
        <v>452</v>
      </c>
      <c r="G75" s="50" t="s">
        <v>533</v>
      </c>
      <c r="H75" s="50" t="s">
        <v>453</v>
      </c>
      <c r="I75" s="50" t="s">
        <v>370</v>
      </c>
      <c r="J75" s="50" t="s">
        <v>548</v>
      </c>
      <c r="K75" s="50" t="s">
        <v>535</v>
      </c>
      <c r="L75" s="50">
        <v>6</v>
      </c>
      <c r="M75" s="51">
        <v>14402.15</v>
      </c>
      <c r="N75" s="51">
        <v>5340</v>
      </c>
      <c r="O75" s="50">
        <v>0.62922202500000002</v>
      </c>
      <c r="P75" s="51">
        <v>9062.15</v>
      </c>
      <c r="Q75" s="51">
        <v>1510.36</v>
      </c>
      <c r="R75" s="51">
        <v>4975.53</v>
      </c>
      <c r="S75" s="50">
        <v>8</v>
      </c>
      <c r="T75" s="51">
        <v>3720</v>
      </c>
      <c r="U75" s="52">
        <v>465</v>
      </c>
    </row>
    <row r="76" spans="1:21">
      <c r="A76">
        <f t="shared" si="4"/>
        <v>68</v>
      </c>
      <c r="B76" t="str">
        <f t="shared" si="5"/>
        <v>Croatia</v>
      </c>
      <c r="C76" t="str">
        <f t="shared" si="6"/>
        <v>Ghana</v>
      </c>
      <c r="D76" t="str">
        <f t="shared" si="7"/>
        <v>Group L</v>
      </c>
      <c r="E76" s="49">
        <v>153023766</v>
      </c>
      <c r="F76" s="50" t="s">
        <v>449</v>
      </c>
      <c r="G76" s="50" t="s">
        <v>533</v>
      </c>
      <c r="H76" s="50" t="s">
        <v>450</v>
      </c>
      <c r="I76" s="50" t="s">
        <v>171</v>
      </c>
      <c r="J76" s="50" t="s">
        <v>546</v>
      </c>
      <c r="K76" s="50" t="s">
        <v>535</v>
      </c>
      <c r="L76" s="50">
        <v>8</v>
      </c>
      <c r="M76" s="51">
        <v>4703.8900000000003</v>
      </c>
      <c r="N76" s="51">
        <v>2060</v>
      </c>
      <c r="O76" s="50">
        <v>0.562064589</v>
      </c>
      <c r="P76" s="51">
        <v>2643.89</v>
      </c>
      <c r="Q76" s="51">
        <v>330.49</v>
      </c>
      <c r="R76" s="51">
        <v>893.84</v>
      </c>
      <c r="S76" s="50">
        <v>16</v>
      </c>
      <c r="T76" s="51">
        <v>6480</v>
      </c>
      <c r="U76" s="52">
        <v>405</v>
      </c>
    </row>
    <row r="77" spans="1:21">
      <c r="A77">
        <f t="shared" si="4"/>
        <v>67</v>
      </c>
      <c r="B77" t="str">
        <f t="shared" si="5"/>
        <v>Panama</v>
      </c>
      <c r="C77" t="str">
        <f t="shared" si="6"/>
        <v>England</v>
      </c>
      <c r="D77" t="str">
        <f t="shared" si="7"/>
        <v>Group L</v>
      </c>
      <c r="E77" s="49">
        <v>153023828</v>
      </c>
      <c r="F77" s="50" t="s">
        <v>451</v>
      </c>
      <c r="G77" s="50" t="s">
        <v>533</v>
      </c>
      <c r="H77" s="50" t="s">
        <v>450</v>
      </c>
      <c r="I77" s="50" t="s">
        <v>91</v>
      </c>
      <c r="J77" s="50" t="s">
        <v>534</v>
      </c>
      <c r="K77" s="50" t="s">
        <v>535</v>
      </c>
      <c r="L77" s="50">
        <v>32</v>
      </c>
      <c r="M77" s="51">
        <v>29993.9</v>
      </c>
      <c r="N77" s="51">
        <v>16120</v>
      </c>
      <c r="O77" s="50">
        <v>0.46255738600000001</v>
      </c>
      <c r="P77" s="51">
        <v>13873.9</v>
      </c>
      <c r="Q77" s="51">
        <v>433.56</v>
      </c>
      <c r="R77" s="51">
        <v>5484.58</v>
      </c>
      <c r="S77" s="50">
        <v>8</v>
      </c>
      <c r="T77" s="51">
        <v>4340</v>
      </c>
      <c r="U77" s="52">
        <v>542.5</v>
      </c>
    </row>
    <row r="78" spans="1:21">
      <c r="A78">
        <f t="shared" si="4"/>
        <v>74</v>
      </c>
      <c r="B78" t="str">
        <f t="shared" si="5"/>
        <v>1E</v>
      </c>
      <c r="C78" t="str">
        <f t="shared" si="6"/>
        <v>3A/B/C/D/F</v>
      </c>
      <c r="D78" t="str">
        <f t="shared" si="7"/>
        <v>Round of 32</v>
      </c>
      <c r="E78" s="49">
        <v>153023830</v>
      </c>
      <c r="F78" s="50" t="s">
        <v>462</v>
      </c>
      <c r="G78" s="50" t="s">
        <v>533</v>
      </c>
      <c r="H78" s="50" t="s">
        <v>463</v>
      </c>
      <c r="I78" s="50" t="s">
        <v>127</v>
      </c>
      <c r="J78" s="50" t="s">
        <v>544</v>
      </c>
      <c r="K78" s="50" t="s">
        <v>535</v>
      </c>
      <c r="L78" s="50">
        <v>0</v>
      </c>
      <c r="M78" s="50"/>
      <c r="N78" s="51">
        <v>0</v>
      </c>
      <c r="O78" s="50">
        <v>0</v>
      </c>
      <c r="P78" s="51">
        <v>0</v>
      </c>
      <c r="Q78" s="51">
        <v>0</v>
      </c>
      <c r="R78" s="51">
        <v>1017.62</v>
      </c>
      <c r="S78" s="50">
        <v>8</v>
      </c>
      <c r="T78" s="51">
        <v>3440</v>
      </c>
      <c r="U78" s="52">
        <v>430</v>
      </c>
    </row>
    <row r="79" spans="1:21">
      <c r="A79">
        <f t="shared" si="4"/>
        <v>77</v>
      </c>
      <c r="B79" t="str">
        <f t="shared" si="5"/>
        <v>1I</v>
      </c>
      <c r="C79" t="str">
        <f t="shared" si="6"/>
        <v>3C/D/F/G/H</v>
      </c>
      <c r="D79" t="str">
        <f t="shared" si="7"/>
        <v>Round of 32</v>
      </c>
      <c r="E79" s="49">
        <v>153023840</v>
      </c>
      <c r="F79" s="50" t="s">
        <v>468</v>
      </c>
      <c r="G79" s="50" t="s">
        <v>533</v>
      </c>
      <c r="H79" s="50" t="s">
        <v>469</v>
      </c>
      <c r="I79" s="50" t="s">
        <v>91</v>
      </c>
      <c r="J79" s="50" t="s">
        <v>534</v>
      </c>
      <c r="K79" s="50" t="s">
        <v>535</v>
      </c>
      <c r="L79" s="50">
        <v>4</v>
      </c>
      <c r="M79" s="51">
        <v>4843.21</v>
      </c>
      <c r="N79" s="51">
        <v>2860</v>
      </c>
      <c r="O79" s="50">
        <v>0.40948255300000003</v>
      </c>
      <c r="P79" s="51">
        <v>1983.21</v>
      </c>
      <c r="Q79" s="51">
        <v>495.8</v>
      </c>
      <c r="R79" s="51">
        <v>2377.37</v>
      </c>
      <c r="S79" s="50">
        <v>44</v>
      </c>
      <c r="T79" s="51">
        <v>26860</v>
      </c>
      <c r="U79" s="52">
        <v>610.45000000000005</v>
      </c>
    </row>
    <row r="80" spans="1:21">
      <c r="A80">
        <f t="shared" si="4"/>
        <v>80</v>
      </c>
      <c r="B80" t="str">
        <f t="shared" si="5"/>
        <v>1L</v>
      </c>
      <c r="C80" t="str">
        <f t="shared" si="6"/>
        <v>3E/H/I/J/K</v>
      </c>
      <c r="D80" t="str">
        <f t="shared" si="7"/>
        <v>Round of 32</v>
      </c>
      <c r="E80" s="49">
        <v>153023846</v>
      </c>
      <c r="F80" s="50" t="s">
        <v>470</v>
      </c>
      <c r="G80" s="50" t="s">
        <v>533</v>
      </c>
      <c r="H80" s="50" t="s">
        <v>471</v>
      </c>
      <c r="I80" s="50" t="s">
        <v>79</v>
      </c>
      <c r="J80" s="50" t="s">
        <v>547</v>
      </c>
      <c r="K80" s="50" t="s">
        <v>535</v>
      </c>
      <c r="L80" s="50">
        <v>0</v>
      </c>
      <c r="M80" s="50"/>
      <c r="N80" s="51">
        <v>0</v>
      </c>
      <c r="O80" s="50">
        <v>0</v>
      </c>
      <c r="P80" s="51">
        <v>0</v>
      </c>
      <c r="Q80" s="51">
        <v>0</v>
      </c>
      <c r="R80" s="51">
        <v>1226.76</v>
      </c>
      <c r="S80" s="50">
        <v>56</v>
      </c>
      <c r="T80" s="51">
        <v>21298.78</v>
      </c>
      <c r="U80" s="52">
        <v>380.34</v>
      </c>
    </row>
    <row r="81" spans="1:21">
      <c r="A81">
        <f t="shared" si="4"/>
        <v>83</v>
      </c>
      <c r="B81" t="str">
        <f t="shared" si="5"/>
        <v>2K</v>
      </c>
      <c r="C81" t="str">
        <f t="shared" si="6"/>
        <v>2L</v>
      </c>
      <c r="D81" t="str">
        <f t="shared" si="7"/>
        <v>Round of 32</v>
      </c>
      <c r="E81" s="49">
        <v>153023856</v>
      </c>
      <c r="F81" s="50" t="s">
        <v>479</v>
      </c>
      <c r="G81" s="50" t="s">
        <v>533</v>
      </c>
      <c r="H81" s="50" t="s">
        <v>480</v>
      </c>
      <c r="I81" s="50" t="s">
        <v>146</v>
      </c>
      <c r="J81" s="50" t="s">
        <v>543</v>
      </c>
      <c r="K81" s="50" t="s">
        <v>161</v>
      </c>
      <c r="L81" s="50">
        <v>0</v>
      </c>
      <c r="M81" s="50"/>
      <c r="N81" s="51">
        <v>0</v>
      </c>
      <c r="O81" s="50">
        <v>0</v>
      </c>
      <c r="P81" s="51">
        <v>0</v>
      </c>
      <c r="Q81" s="51">
        <v>0</v>
      </c>
      <c r="R81" s="51">
        <v>1976.59</v>
      </c>
      <c r="S81" s="50">
        <v>16</v>
      </c>
      <c r="T81" s="51">
        <v>14299.91</v>
      </c>
      <c r="U81" s="52">
        <v>893.74</v>
      </c>
    </row>
    <row r="82" spans="1:21">
      <c r="A82">
        <f t="shared" si="4"/>
        <v>86</v>
      </c>
      <c r="B82" t="str">
        <f t="shared" si="5"/>
        <v>1J</v>
      </c>
      <c r="C82" t="str">
        <f t="shared" si="6"/>
        <v>2H</v>
      </c>
      <c r="D82" t="str">
        <f t="shared" si="7"/>
        <v>Round of 32</v>
      </c>
      <c r="E82" s="49">
        <v>153023861</v>
      </c>
      <c r="F82" s="50" t="s">
        <v>485</v>
      </c>
      <c r="G82" s="50" t="s">
        <v>533</v>
      </c>
      <c r="H82" s="50" t="s">
        <v>486</v>
      </c>
      <c r="I82" s="50" t="s">
        <v>370</v>
      </c>
      <c r="J82" s="50" t="s">
        <v>548</v>
      </c>
      <c r="K82" s="50" t="s">
        <v>535</v>
      </c>
      <c r="L82" s="50">
        <v>0</v>
      </c>
      <c r="M82" s="50"/>
      <c r="N82" s="51">
        <v>0</v>
      </c>
      <c r="O82" s="50">
        <v>0</v>
      </c>
      <c r="P82" s="51">
        <v>0</v>
      </c>
      <c r="Q82" s="51">
        <v>0</v>
      </c>
      <c r="R82" s="51">
        <v>3021.52</v>
      </c>
      <c r="S82" s="50">
        <v>14</v>
      </c>
      <c r="T82" s="51">
        <v>7180.08</v>
      </c>
      <c r="U82" s="52">
        <v>512.86</v>
      </c>
    </row>
    <row r="83" spans="1:21">
      <c r="A83">
        <f t="shared" si="4"/>
        <v>89</v>
      </c>
      <c r="B83" t="str">
        <f t="shared" si="5"/>
        <v>W74</v>
      </c>
      <c r="C83" t="str">
        <f t="shared" si="6"/>
        <v>W77</v>
      </c>
      <c r="D83" t="str">
        <f t="shared" si="7"/>
        <v>Round of 16</v>
      </c>
      <c r="E83" s="49">
        <v>153023863</v>
      </c>
      <c r="F83" s="50" t="s">
        <v>492</v>
      </c>
      <c r="G83" s="50" t="s">
        <v>533</v>
      </c>
      <c r="H83" s="50" t="s">
        <v>493</v>
      </c>
      <c r="I83" s="50" t="s">
        <v>171</v>
      </c>
      <c r="J83" s="50" t="s">
        <v>546</v>
      </c>
      <c r="K83" s="50" t="s">
        <v>535</v>
      </c>
      <c r="L83" s="50">
        <v>0</v>
      </c>
      <c r="M83" s="50"/>
      <c r="N83" s="51">
        <v>0</v>
      </c>
      <c r="O83" s="50">
        <v>0</v>
      </c>
      <c r="P83" s="51">
        <v>0</v>
      </c>
      <c r="Q83" s="51">
        <v>0</v>
      </c>
      <c r="R83" s="51">
        <v>3023.55</v>
      </c>
      <c r="S83" s="50">
        <v>44</v>
      </c>
      <c r="T83" s="51">
        <v>29080</v>
      </c>
      <c r="U83" s="52">
        <v>660.91</v>
      </c>
    </row>
    <row r="84" spans="1:21">
      <c r="A84">
        <f t="shared" si="4"/>
        <v>91</v>
      </c>
      <c r="B84" t="str">
        <f t="shared" si="5"/>
        <v>W76</v>
      </c>
      <c r="C84" t="str">
        <f t="shared" si="6"/>
        <v>W78</v>
      </c>
      <c r="D84" t="str">
        <f t="shared" si="7"/>
        <v>Round of 16</v>
      </c>
      <c r="E84" s="49">
        <v>153023886</v>
      </c>
      <c r="F84" s="50" t="s">
        <v>494</v>
      </c>
      <c r="G84" s="50" t="s">
        <v>533</v>
      </c>
      <c r="H84" s="50" t="s">
        <v>495</v>
      </c>
      <c r="I84" s="50" t="s">
        <v>91</v>
      </c>
      <c r="J84" s="50" t="s">
        <v>534</v>
      </c>
      <c r="K84" s="50" t="s">
        <v>535</v>
      </c>
      <c r="L84" s="50">
        <v>0</v>
      </c>
      <c r="M84" s="50"/>
      <c r="N84" s="51">
        <v>0</v>
      </c>
      <c r="O84" s="50">
        <v>0</v>
      </c>
      <c r="P84" s="51">
        <v>0</v>
      </c>
      <c r="Q84" s="51">
        <v>0</v>
      </c>
      <c r="R84" s="51">
        <v>3121.1</v>
      </c>
      <c r="S84" s="50">
        <v>40</v>
      </c>
      <c r="T84" s="51">
        <v>31160</v>
      </c>
      <c r="U84" s="52">
        <v>779</v>
      </c>
    </row>
    <row r="85" spans="1:21">
      <c r="A85">
        <f t="shared" si="4"/>
        <v>97</v>
      </c>
      <c r="B85" t="str">
        <f t="shared" si="5"/>
        <v>W89</v>
      </c>
      <c r="C85" t="str">
        <f t="shared" si="6"/>
        <v>W90</v>
      </c>
      <c r="D85" t="str">
        <f t="shared" si="7"/>
        <v>Quarter-Finals</v>
      </c>
      <c r="E85" s="49">
        <v>153023895</v>
      </c>
      <c r="F85" s="50" t="s">
        <v>507</v>
      </c>
      <c r="G85" s="50" t="s">
        <v>533</v>
      </c>
      <c r="H85" s="50" t="s">
        <v>508</v>
      </c>
      <c r="I85" s="50" t="s">
        <v>127</v>
      </c>
      <c r="J85" s="50" t="s">
        <v>544</v>
      </c>
      <c r="K85" s="50" t="s">
        <v>535</v>
      </c>
      <c r="L85" s="50">
        <v>0</v>
      </c>
      <c r="M85" s="50"/>
      <c r="N85" s="51">
        <v>0</v>
      </c>
      <c r="O85" s="50">
        <v>0</v>
      </c>
      <c r="P85" s="51">
        <v>0</v>
      </c>
      <c r="Q85" s="51">
        <v>0</v>
      </c>
      <c r="R85" s="51">
        <v>3561.61</v>
      </c>
      <c r="S85" s="50">
        <v>44</v>
      </c>
      <c r="T85" s="51">
        <v>42200</v>
      </c>
      <c r="U85" s="52">
        <v>959.09</v>
      </c>
    </row>
    <row r="86" spans="1:21">
      <c r="A86">
        <f t="shared" si="4"/>
        <v>99</v>
      </c>
      <c r="B86" t="str">
        <f t="shared" si="5"/>
        <v>W91</v>
      </c>
      <c r="C86" t="str">
        <f t="shared" si="6"/>
        <v>W92</v>
      </c>
      <c r="D86" t="str">
        <f t="shared" si="7"/>
        <v>Quarter-Finals</v>
      </c>
      <c r="E86" s="49">
        <v>153023896</v>
      </c>
      <c r="F86" s="50" t="s">
        <v>511</v>
      </c>
      <c r="G86" s="50" t="s">
        <v>533</v>
      </c>
      <c r="H86" s="50" t="s">
        <v>512</v>
      </c>
      <c r="I86" s="50" t="s">
        <v>370</v>
      </c>
      <c r="J86" s="50" t="s">
        <v>548</v>
      </c>
      <c r="K86" s="50" t="s">
        <v>535</v>
      </c>
      <c r="L86" s="50">
        <v>0</v>
      </c>
      <c r="M86" s="50"/>
      <c r="N86" s="51">
        <v>0</v>
      </c>
      <c r="O86" s="50">
        <v>0</v>
      </c>
      <c r="P86" s="51">
        <v>0</v>
      </c>
      <c r="Q86" s="51">
        <v>0</v>
      </c>
      <c r="R86" s="51">
        <v>3487.05</v>
      </c>
      <c r="S86" s="50">
        <v>24</v>
      </c>
      <c r="T86" s="51">
        <v>28360</v>
      </c>
      <c r="U86" s="52">
        <v>1181.67</v>
      </c>
    </row>
    <row r="87" spans="1:21">
      <c r="A87">
        <f t="shared" si="4"/>
        <v>102</v>
      </c>
      <c r="B87" t="str">
        <f t="shared" si="5"/>
        <v>W99</v>
      </c>
      <c r="C87" t="str">
        <f t="shared" si="6"/>
        <v>W100</v>
      </c>
      <c r="D87" t="str">
        <f t="shared" si="7"/>
        <v>Semi Finals</v>
      </c>
      <c r="E87" s="49">
        <v>153023901</v>
      </c>
      <c r="F87" s="50" t="s">
        <v>521</v>
      </c>
      <c r="G87" s="50" t="s">
        <v>533</v>
      </c>
      <c r="H87" s="50" t="s">
        <v>522</v>
      </c>
      <c r="I87" s="50" t="s">
        <v>79</v>
      </c>
      <c r="J87" s="50" t="s">
        <v>547</v>
      </c>
      <c r="K87" s="50" t="s">
        <v>535</v>
      </c>
      <c r="L87" s="50">
        <v>0</v>
      </c>
      <c r="M87" s="50"/>
      <c r="N87" s="51">
        <v>0</v>
      </c>
      <c r="O87" s="50">
        <v>0</v>
      </c>
      <c r="P87" s="51">
        <v>0</v>
      </c>
      <c r="Q87" s="51">
        <v>0</v>
      </c>
      <c r="R87" s="51">
        <v>5453.75</v>
      </c>
      <c r="S87" s="50">
        <v>13</v>
      </c>
      <c r="T87" s="51">
        <v>15400</v>
      </c>
      <c r="U87" s="52">
        <v>1184.6199999999999</v>
      </c>
    </row>
    <row r="88" spans="1:21">
      <c r="A88">
        <f t="shared" si="4"/>
        <v>103</v>
      </c>
      <c r="B88" t="str">
        <f t="shared" si="5"/>
        <v>L101</v>
      </c>
      <c r="C88" t="str">
        <f t="shared" si="6"/>
        <v>L102</v>
      </c>
      <c r="D88" t="str">
        <f t="shared" si="7"/>
        <v>3rd Place</v>
      </c>
      <c r="E88" s="49">
        <v>153023903</v>
      </c>
      <c r="F88" s="50" t="s">
        <v>523</v>
      </c>
      <c r="G88" s="50" t="s">
        <v>533</v>
      </c>
      <c r="H88" s="50" t="s">
        <v>524</v>
      </c>
      <c r="I88" s="50" t="s">
        <v>370</v>
      </c>
      <c r="J88" s="50" t="s">
        <v>548</v>
      </c>
      <c r="K88" s="50" t="s">
        <v>535</v>
      </c>
      <c r="L88" s="50">
        <v>0</v>
      </c>
      <c r="M88" s="50"/>
      <c r="N88" s="51">
        <v>0</v>
      </c>
      <c r="O88" s="50">
        <v>0</v>
      </c>
      <c r="P88" s="51">
        <v>0</v>
      </c>
      <c r="Q88" s="51">
        <v>0</v>
      </c>
      <c r="R88" s="51">
        <v>0</v>
      </c>
      <c r="S88" s="50">
        <v>4</v>
      </c>
      <c r="T88" s="51">
        <v>3460</v>
      </c>
      <c r="U88" s="52">
        <v>865</v>
      </c>
    </row>
    <row r="89" spans="1:21">
      <c r="A89">
        <f t="shared" si="4"/>
        <v>2</v>
      </c>
      <c r="B89" t="str">
        <f t="shared" si="5"/>
        <v>Korea Republic</v>
      </c>
      <c r="C89" t="str">
        <f t="shared" si="6"/>
        <v>TBD</v>
      </c>
      <c r="D89" t="str">
        <f t="shared" si="7"/>
        <v>Group A</v>
      </c>
      <c r="E89" s="49">
        <v>153033402</v>
      </c>
      <c r="F89" s="50" t="s">
        <v>331</v>
      </c>
      <c r="G89" s="50" t="s">
        <v>533</v>
      </c>
      <c r="H89" s="50" t="s">
        <v>332</v>
      </c>
      <c r="I89" s="50" t="s">
        <v>135</v>
      </c>
      <c r="J89" s="50" t="s">
        <v>550</v>
      </c>
      <c r="K89" s="50" t="s">
        <v>51</v>
      </c>
      <c r="L89" s="50">
        <v>2</v>
      </c>
      <c r="M89" s="51">
        <v>724.56</v>
      </c>
      <c r="N89" s="51">
        <v>635.74</v>
      </c>
      <c r="O89" s="50">
        <v>0.122584741</v>
      </c>
      <c r="P89" s="51">
        <v>88.82</v>
      </c>
      <c r="Q89" s="51">
        <v>44.41</v>
      </c>
      <c r="R89" s="51">
        <v>654.17999999999995</v>
      </c>
      <c r="S89" s="50">
        <v>36</v>
      </c>
      <c r="T89" s="51">
        <v>15674.87</v>
      </c>
      <c r="U89" s="52">
        <v>435.41</v>
      </c>
    </row>
    <row r="90" spans="1:21">
      <c r="A90">
        <f t="shared" si="4"/>
        <v>12</v>
      </c>
      <c r="B90" t="str">
        <f t="shared" si="5"/>
        <v>TBA</v>
      </c>
      <c r="C90" t="str">
        <f t="shared" si="6"/>
        <v>Tunisia</v>
      </c>
      <c r="D90" t="str">
        <f t="shared" si="7"/>
        <v>Group F</v>
      </c>
      <c r="E90" s="49">
        <v>153033421</v>
      </c>
      <c r="F90" s="50" t="s">
        <v>361</v>
      </c>
      <c r="G90" s="50" t="s">
        <v>533</v>
      </c>
      <c r="H90" s="50" t="s">
        <v>362</v>
      </c>
      <c r="I90" s="50" t="s">
        <v>100</v>
      </c>
      <c r="J90" s="50" t="s">
        <v>551</v>
      </c>
      <c r="K90" s="50" t="s">
        <v>51</v>
      </c>
      <c r="L90" s="50">
        <v>0</v>
      </c>
      <c r="M90" s="50"/>
      <c r="N90" s="51">
        <v>0</v>
      </c>
      <c r="O90" s="50">
        <v>0</v>
      </c>
      <c r="P90" s="51">
        <v>0</v>
      </c>
      <c r="Q90" s="51">
        <v>0</v>
      </c>
      <c r="R90" s="51">
        <v>335.4</v>
      </c>
      <c r="S90" s="50">
        <v>28</v>
      </c>
      <c r="T90" s="51">
        <v>6702.18</v>
      </c>
      <c r="U90" s="52">
        <v>239.36</v>
      </c>
    </row>
    <row r="91" spans="1:21">
      <c r="A91">
        <f t="shared" si="4"/>
        <v>36</v>
      </c>
      <c r="B91" t="str">
        <f t="shared" si="5"/>
        <v>Tunisia</v>
      </c>
      <c r="C91" t="str">
        <f t="shared" si="6"/>
        <v>Japan</v>
      </c>
      <c r="D91" t="str">
        <f t="shared" si="7"/>
        <v>Group F</v>
      </c>
      <c r="E91" s="49">
        <v>153033460</v>
      </c>
      <c r="F91" s="50" t="s">
        <v>399</v>
      </c>
      <c r="G91" s="50" t="s">
        <v>533</v>
      </c>
      <c r="H91" s="50" t="s">
        <v>400</v>
      </c>
      <c r="I91" s="50" t="s">
        <v>100</v>
      </c>
      <c r="J91" s="50" t="s">
        <v>551</v>
      </c>
      <c r="K91" s="50" t="s">
        <v>51</v>
      </c>
      <c r="L91" s="50">
        <v>0</v>
      </c>
      <c r="M91" s="50"/>
      <c r="N91" s="51">
        <v>0</v>
      </c>
      <c r="O91" s="50">
        <v>0</v>
      </c>
      <c r="P91" s="51">
        <v>0</v>
      </c>
      <c r="Q91" s="51">
        <v>0</v>
      </c>
      <c r="R91" s="51">
        <v>452.13</v>
      </c>
      <c r="S91" s="50">
        <v>6</v>
      </c>
      <c r="T91" s="51">
        <v>2150.6999999999998</v>
      </c>
      <c r="U91" s="52">
        <v>358.45</v>
      </c>
    </row>
    <row r="92" spans="1:21">
      <c r="A92">
        <f t="shared" si="4"/>
        <v>54</v>
      </c>
      <c r="B92" t="str">
        <f t="shared" si="5"/>
        <v>South Africa</v>
      </c>
      <c r="C92" t="str">
        <f t="shared" si="6"/>
        <v>Korea Republic</v>
      </c>
      <c r="D92" t="str">
        <f t="shared" si="7"/>
        <v>Group A</v>
      </c>
      <c r="E92" s="49">
        <v>153033494</v>
      </c>
      <c r="F92" s="50" t="s">
        <v>429</v>
      </c>
      <c r="G92" s="50" t="s">
        <v>533</v>
      </c>
      <c r="H92" s="50" t="s">
        <v>430</v>
      </c>
      <c r="I92" s="50" t="s">
        <v>100</v>
      </c>
      <c r="J92" s="50" t="s">
        <v>551</v>
      </c>
      <c r="K92" s="50" t="s">
        <v>51</v>
      </c>
      <c r="L92" s="50">
        <v>2</v>
      </c>
      <c r="M92" s="51">
        <v>488.04</v>
      </c>
      <c r="N92" s="51">
        <v>288.42</v>
      </c>
      <c r="O92" s="50">
        <v>0.40902385000000002</v>
      </c>
      <c r="P92" s="51">
        <v>199.62</v>
      </c>
      <c r="Q92" s="51">
        <v>99.81</v>
      </c>
      <c r="R92" s="51">
        <v>339.89</v>
      </c>
      <c r="S92" s="50">
        <v>8</v>
      </c>
      <c r="T92" s="51">
        <v>1163.1199999999999</v>
      </c>
      <c r="U92" s="52">
        <v>145.38999999999999</v>
      </c>
    </row>
    <row r="93" spans="1:21">
      <c r="A93">
        <f t="shared" si="4"/>
        <v>75</v>
      </c>
      <c r="B93" t="str">
        <f t="shared" si="5"/>
        <v>1F</v>
      </c>
      <c r="C93" t="str">
        <f t="shared" si="6"/>
        <v>2C</v>
      </c>
      <c r="D93" t="str">
        <f t="shared" si="7"/>
        <v>Round of 32</v>
      </c>
      <c r="E93" s="49">
        <v>153033502</v>
      </c>
      <c r="F93" s="50" t="s">
        <v>552</v>
      </c>
      <c r="G93" s="50" t="s">
        <v>533</v>
      </c>
      <c r="H93" s="50" t="s">
        <v>465</v>
      </c>
      <c r="I93" s="50" t="s">
        <v>100</v>
      </c>
      <c r="J93" s="50" t="s">
        <v>551</v>
      </c>
      <c r="K93" s="50" t="s">
        <v>51</v>
      </c>
      <c r="L93" s="50">
        <v>0</v>
      </c>
      <c r="M93" s="50"/>
      <c r="N93" s="51">
        <v>0</v>
      </c>
      <c r="O93" s="50">
        <v>0</v>
      </c>
      <c r="P93" s="51">
        <v>0</v>
      </c>
      <c r="Q93" s="51">
        <v>0</v>
      </c>
      <c r="R93" s="51">
        <v>915.28</v>
      </c>
      <c r="S93" s="50">
        <v>30</v>
      </c>
      <c r="T93" s="51">
        <v>12748.28</v>
      </c>
      <c r="U93" s="52">
        <v>424.94</v>
      </c>
    </row>
    <row r="94" spans="1:21">
      <c r="A94">
        <f t="shared" si="4"/>
        <v>92</v>
      </c>
      <c r="B94" t="str">
        <f t="shared" si="5"/>
        <v>W79</v>
      </c>
      <c r="C94" t="str">
        <f t="shared" si="6"/>
        <v>W80</v>
      </c>
      <c r="D94" t="str">
        <f t="shared" si="7"/>
        <v>Round of 16</v>
      </c>
      <c r="E94" s="49">
        <v>153033507</v>
      </c>
      <c r="F94" s="50" t="s">
        <v>496</v>
      </c>
      <c r="G94" s="50" t="s">
        <v>533</v>
      </c>
      <c r="H94" s="50" t="s">
        <v>497</v>
      </c>
      <c r="I94" s="50" t="s">
        <v>56</v>
      </c>
      <c r="J94" s="50" t="s">
        <v>553</v>
      </c>
      <c r="K94" s="50" t="s">
        <v>51</v>
      </c>
      <c r="L94" s="50">
        <v>0</v>
      </c>
      <c r="M94" s="50"/>
      <c r="N94" s="51">
        <v>0</v>
      </c>
      <c r="O94" s="50">
        <v>0</v>
      </c>
      <c r="P94" s="51">
        <v>0</v>
      </c>
      <c r="Q94" s="51">
        <v>0</v>
      </c>
      <c r="R94" s="51">
        <v>1693.6</v>
      </c>
      <c r="S94" s="50">
        <v>12</v>
      </c>
      <c r="T94" s="51">
        <v>9343.2000000000007</v>
      </c>
      <c r="U94" s="52">
        <v>778.6</v>
      </c>
    </row>
    <row r="95" spans="1:21">
      <c r="A95">
        <f t="shared" si="4"/>
        <v>40</v>
      </c>
      <c r="B95" t="str">
        <f t="shared" si="5"/>
        <v>New Zealand</v>
      </c>
      <c r="C95" t="str">
        <f t="shared" si="6"/>
        <v>Egypt</v>
      </c>
      <c r="D95" t="str">
        <f t="shared" si="7"/>
        <v>Group G</v>
      </c>
      <c r="E95" s="49">
        <v>154852936</v>
      </c>
      <c r="F95" s="50" t="s">
        <v>405</v>
      </c>
      <c r="G95" s="50" t="s">
        <v>533</v>
      </c>
      <c r="H95" s="50" t="s">
        <v>406</v>
      </c>
      <c r="I95" s="50" t="s">
        <v>164</v>
      </c>
      <c r="J95" s="50" t="s">
        <v>536</v>
      </c>
      <c r="K95" s="50" t="s">
        <v>161</v>
      </c>
      <c r="L95" s="50">
        <v>4</v>
      </c>
      <c r="M95" s="51">
        <v>1452.79</v>
      </c>
      <c r="N95" s="51">
        <v>1240</v>
      </c>
      <c r="O95" s="50">
        <v>0.14646989499999999</v>
      </c>
      <c r="P95" s="51">
        <v>212.79</v>
      </c>
      <c r="Q95" s="51">
        <v>53.2</v>
      </c>
      <c r="R95" s="51">
        <v>612.6</v>
      </c>
      <c r="S95" s="50">
        <v>4</v>
      </c>
      <c r="T95" s="51">
        <v>1800</v>
      </c>
      <c r="U95" s="52">
        <v>450</v>
      </c>
    </row>
    <row r="96" spans="1:21">
      <c r="A96">
        <f t="shared" si="4"/>
        <v>95</v>
      </c>
      <c r="B96" t="str">
        <f t="shared" si="5"/>
        <v>W86</v>
      </c>
      <c r="C96" t="str">
        <f t="shared" si="6"/>
        <v>W88</v>
      </c>
      <c r="D96" t="str">
        <f t="shared" si="7"/>
        <v>Round of 16</v>
      </c>
      <c r="E96" s="49">
        <v>155049347</v>
      </c>
      <c r="F96" s="50" t="s">
        <v>502</v>
      </c>
      <c r="G96" s="50" t="s">
        <v>533</v>
      </c>
      <c r="H96" s="50" t="s">
        <v>503</v>
      </c>
      <c r="I96" s="50" t="s">
        <v>79</v>
      </c>
      <c r="J96" s="50" t="s">
        <v>547</v>
      </c>
      <c r="K96" s="50" t="s">
        <v>535</v>
      </c>
      <c r="L96" s="50">
        <v>10</v>
      </c>
      <c r="M96" s="51">
        <v>5642.16</v>
      </c>
      <c r="N96" s="51">
        <v>4030</v>
      </c>
      <c r="O96" s="50">
        <v>0.28573454100000001</v>
      </c>
      <c r="P96" s="51">
        <v>1612.16</v>
      </c>
      <c r="Q96" s="51">
        <v>161.22</v>
      </c>
      <c r="R96" s="51">
        <v>2714.07</v>
      </c>
      <c r="S96" s="50">
        <v>48</v>
      </c>
      <c r="T96" s="51">
        <v>22000</v>
      </c>
      <c r="U96" s="52">
        <v>458.33</v>
      </c>
    </row>
    <row r="97" spans="1:21">
      <c r="A97">
        <f t="shared" si="4"/>
        <v>66</v>
      </c>
      <c r="B97" t="str">
        <f t="shared" si="5"/>
        <v>Uruguay</v>
      </c>
      <c r="C97" t="str">
        <f t="shared" si="6"/>
        <v>Spain</v>
      </c>
      <c r="D97" t="str">
        <f t="shared" si="7"/>
        <v>Group H</v>
      </c>
      <c r="E97" s="53">
        <v>156535642</v>
      </c>
      <c r="F97" s="40" t="s">
        <v>445</v>
      </c>
      <c r="G97" s="40" t="s">
        <v>533</v>
      </c>
      <c r="H97" s="40" t="s">
        <v>444</v>
      </c>
      <c r="I97" s="40" t="s">
        <v>135</v>
      </c>
      <c r="J97" s="40" t="s">
        <v>550</v>
      </c>
      <c r="K97" s="40" t="s">
        <v>51</v>
      </c>
      <c r="L97" s="40">
        <v>2</v>
      </c>
      <c r="M97" s="54">
        <v>1871.8</v>
      </c>
      <c r="N97" s="54">
        <v>618</v>
      </c>
      <c r="O97" s="40">
        <v>0.66983652000000005</v>
      </c>
      <c r="P97" s="54">
        <v>1253.8</v>
      </c>
      <c r="Q97" s="54">
        <v>626.9</v>
      </c>
      <c r="R97" s="54">
        <v>0</v>
      </c>
      <c r="S97" s="40">
        <v>0</v>
      </c>
      <c r="T97" s="54">
        <v>0</v>
      </c>
      <c r="U97" s="5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2026-03-11T02:36:02Z</dcterms:created>
  <dcterms:modified xsi:type="dcterms:W3CDTF">2026-03-26T13:47:45Z</dcterms:modified>
  <cp:category/>
  <cp:contentStatus/>
</cp:coreProperties>
</file>